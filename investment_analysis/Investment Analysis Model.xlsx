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README" sheetId="1" state="visible" r:id="rId1"/>
    <sheet xmlns:r="http://schemas.openxmlformats.org/officeDocument/2006/relationships" name="02 Config" sheetId="2" state="visible" r:id="rId2"/>
    <sheet xmlns:r="http://schemas.openxmlformats.org/officeDocument/2006/relationships" name="03 Raw Data" sheetId="3" state="visible" r:id="rId3"/>
    <sheet xmlns:r="http://schemas.openxmlformats.org/officeDocument/2006/relationships" name="04 Prices" sheetId="4" state="visible" r:id="rId4"/>
    <sheet xmlns:r="http://schemas.openxmlformats.org/officeDocument/2006/relationships" name="05 Simple Returns" sheetId="5" state="visible" r:id="rId5"/>
    <sheet xmlns:r="http://schemas.openxmlformats.org/officeDocument/2006/relationships" name="06 Log Returns" sheetId="6" state="visible" r:id="rId6"/>
    <sheet xmlns:r="http://schemas.openxmlformats.org/officeDocument/2006/relationships" name="07 Annualised Inputs" sheetId="7" state="visible" r:id="rId7"/>
    <sheet xmlns:r="http://schemas.openxmlformats.org/officeDocument/2006/relationships" name="08 Optimisation" sheetId="8" state="visible" r:id="rId8"/>
    <sheet xmlns:r="http://schemas.openxmlformats.org/officeDocument/2006/relationships" name="09 Monte Carlo" sheetId="9" state="visible" r:id="rId9"/>
    <sheet xmlns:r="http://schemas.openxmlformats.org/officeDocument/2006/relationships" name="10 Portfolio Returns" sheetId="10" state="visible" r:id="rId10"/>
    <sheet xmlns:r="http://schemas.openxmlformats.org/officeDocument/2006/relationships" name="11 Risk Metrics" sheetId="11" state="visible" r:id="rId11"/>
    <sheet xmlns:r="http://schemas.openxmlformats.org/officeDocument/2006/relationships" name="12 Charts" sheetId="12" state="visible" r:id="rId12"/>
  </sheets>
  <definedNames/>
  <calcPr calcId="124519" fullCalcOnLoad="1"/>
</workbook>
</file>

<file path=xl/styles.xml><?xml version="1.0" encoding="utf-8"?>
<styleSheet xmlns="http://schemas.openxmlformats.org/spreadsheetml/2006/main">
  <numFmts count="7">
    <numFmt numFmtId="164" formatCode="yyyy-mm-dd h:mm:ss"/>
    <numFmt numFmtId="165" formatCode="yyyy-mm-dd"/>
    <numFmt numFmtId="166" formatCode="$#,##0;($#,##0);-"/>
    <numFmt numFmtId="167" formatCode="0.000000"/>
    <numFmt numFmtId="168" formatCode="0.0000%"/>
    <numFmt numFmtId="169" formatCode="0.0000"/>
    <numFmt numFmtId="170" formatCode="0.0%"/>
  </numFmts>
  <fonts count="12">
    <font>
      <name val="Calibri"/>
      <family val="2"/>
      <color theme="1"/>
      <sz val="11"/>
      <scheme val="minor"/>
    </font>
    <font>
      <name val="Arial"/>
      <b val="1"/>
      <color rgb="001C5CAB"/>
      <sz val="14"/>
    </font>
    <font>
      <name val="Arial"/>
      <i val="1"/>
      <color rgb="00595959"/>
      <sz val="10"/>
    </font>
    <font>
      <name val="Arial"/>
      <i val="1"/>
      <color rgb="007F7F7F"/>
      <sz val="9"/>
    </font>
    <font>
      <name val="Arial"/>
      <b val="1"/>
      <color rgb="001C5CAB"/>
      <sz val="11"/>
    </font>
    <font>
      <name val="Arial"/>
      <b val="1"/>
      <color rgb="00FFFFFF"/>
      <sz val="10"/>
    </font>
    <font>
      <name val="Arial"/>
      <b val="1"/>
      <sz val="10"/>
    </font>
    <font>
      <name val="Arial"/>
      <color rgb="000000FF"/>
      <sz val="10"/>
    </font>
    <font>
      <name val="Arial"/>
      <sz val="10"/>
    </font>
    <font>
      <name val="Arial"/>
      <color rgb="00008000"/>
      <sz val="10"/>
    </font>
    <font>
      <name val="Arial"/>
      <b val="1"/>
      <i val="1"/>
      <sz val="10"/>
    </font>
    <font>
      <name val="Arial"/>
      <b val="1"/>
      <color rgb="00C00000"/>
      <sz val="10"/>
    </font>
  </fonts>
  <fills count="5">
    <fill>
      <patternFill/>
    </fill>
    <fill>
      <patternFill patternType="gray125"/>
    </fill>
    <fill>
      <patternFill patternType="solid">
        <fgColor rgb="001C5CAB"/>
      </patternFill>
    </fill>
    <fill>
      <patternFill patternType="solid">
        <fgColor rgb="00FFF2CC"/>
      </patternFill>
    </fill>
    <fill>
      <patternFill patternType="solid">
        <fgColor rgb="00EAF1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6" fillId="0" borderId="0" pivotButton="0" quotePrefix="0" xfId="0"/>
    <xf numFmtId="0" fontId="3"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pivotButton="0" quotePrefix="0" xfId="0"/>
    <xf numFmtId="0" fontId="3" fillId="0" borderId="1" applyAlignment="1" pivotButton="0" quotePrefix="0" xfId="0">
      <alignment vertical="top" wrapText="1"/>
    </xf>
    <xf numFmtId="0" fontId="11" fillId="0" borderId="0" pivotButton="0" quotePrefix="0" xfId="0"/>
    <xf numFmtId="0" fontId="7" fillId="3" borderId="0" pivotButton="0" quotePrefix="0" xfId="0"/>
    <xf numFmtId="0" fontId="8" fillId="0" borderId="0" pivotButton="0" quotePrefix="0" xfId="0"/>
    <xf numFmtId="0" fontId="9" fillId="0" borderId="0" pivotButton="0" quotePrefix="0" xfId="0"/>
    <xf numFmtId="165" fontId="7" fillId="3" borderId="1" pivotButton="0" quotePrefix="0" xfId="0"/>
    <xf numFmtId="165" fontId="8" fillId="0" borderId="1" pivotButton="0" quotePrefix="0" xfId="0"/>
    <xf numFmtId="0" fontId="7" fillId="3" borderId="1" pivotButton="0" quotePrefix="0" xfId="0"/>
    <xf numFmtId="10" fontId="7" fillId="3" borderId="1" pivotButton="0" quotePrefix="0" xfId="0"/>
    <xf numFmtId="166" fontId="7" fillId="3" borderId="1" pivotButton="0" quotePrefix="0" xfId="0"/>
    <xf numFmtId="9" fontId="7" fillId="3" borderId="1" pivotButton="0" quotePrefix="0" xfId="0"/>
    <xf numFmtId="3" fontId="7" fillId="3" borderId="1" pivotButton="0" quotePrefix="0" xfId="0"/>
    <xf numFmtId="0" fontId="8" fillId="0" borderId="1" pivotButton="0" quotePrefix="0" xfId="0"/>
    <xf numFmtId="0" fontId="3" fillId="0" borderId="1" pivotButton="0" quotePrefix="0" xfId="0"/>
    <xf numFmtId="165" fontId="9" fillId="0" borderId="0" pivotButton="0" quotePrefix="0" xfId="0"/>
    <xf numFmtId="167" fontId="8" fillId="0" borderId="0" pivotButton="0" quotePrefix="0" xfId="0"/>
    <xf numFmtId="10" fontId="8" fillId="0" borderId="0" pivotButton="0" quotePrefix="0" xfId="0"/>
    <xf numFmtId="168" fontId="8" fillId="0" borderId="1" pivotButton="0" quotePrefix="0" xfId="0"/>
    <xf numFmtId="0" fontId="9" fillId="0" borderId="1" pivotButton="0" quotePrefix="0" xfId="0"/>
    <xf numFmtId="10" fontId="8" fillId="0" borderId="1" pivotButton="0" quotePrefix="0" xfId="0"/>
    <xf numFmtId="0" fontId="5" fillId="2" borderId="1" pivotButton="0" quotePrefix="0" xfId="0"/>
    <xf numFmtId="0" fontId="5" fillId="2" borderId="1" applyAlignment="1" pivotButton="0" quotePrefix="0" xfId="0">
      <alignment horizontal="center"/>
    </xf>
    <xf numFmtId="167" fontId="8" fillId="4" borderId="1" pivotButton="0" quotePrefix="0" xfId="0"/>
    <xf numFmtId="167" fontId="8" fillId="0" borderId="1" pivotButton="0" quotePrefix="0" xfId="0"/>
    <xf numFmtId="169" fontId="8" fillId="0" borderId="1" pivotButton="0" quotePrefix="0" xfId="0"/>
    <xf numFmtId="0" fontId="5" fillId="2" borderId="0" pivotButton="0" quotePrefix="0" xfId="0"/>
    <xf numFmtId="0" fontId="10" fillId="0" borderId="0" pivotButton="0" quotePrefix="0" xfId="0"/>
    <xf numFmtId="169" fontId="7" fillId="0" borderId="0" pivotButton="0" quotePrefix="0" xfId="0"/>
    <xf numFmtId="169" fontId="8" fillId="0" borderId="0" pivotButton="0" quotePrefix="0" xfId="0"/>
    <xf numFmtId="9" fontId="9" fillId="0" borderId="1" pivotButton="0" quotePrefix="0" xfId="0"/>
    <xf numFmtId="170" fontId="8" fillId="0" borderId="1" pivotButton="0" quotePrefix="0" xfId="0"/>
    <xf numFmtId="166" fontId="8" fillId="0" borderId="1" pivotButton="0" quotePrefix="0" xfId="0"/>
    <xf numFmtId="1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Closing Price of Portfolio Assets</a:t>
            </a:r>
          </a:p>
        </rich>
      </tx>
    </title>
    <plotArea>
      <lineChart>
        <grouping val="standard"/>
        <ser>
          <idx val="0"/>
          <order val="0"/>
          <tx>
            <strRef>
              <f>'04 Prices'!B4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Prices'!$B$5:$B$724</f>
            </numRef>
          </val>
          <smooth val="0"/>
        </ser>
        <ser>
          <idx val="1"/>
          <order val="1"/>
          <tx>
            <strRef>
              <f>'04 Prices'!C4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Prices'!$C$5:$C$724</f>
            </numRef>
          </val>
          <smooth val="0"/>
        </ser>
        <ser>
          <idx val="2"/>
          <order val="2"/>
          <tx>
            <strRef>
              <f>'04 Prices'!D4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Prices'!$D$5:$D$724</f>
            </numRef>
          </val>
          <smooth val="0"/>
        </ser>
        <ser>
          <idx val="3"/>
          <order val="3"/>
          <tx>
            <strRef>
              <f>'04 Prices'!E4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Prices'!$E$5:$E$724</f>
            </numRef>
          </val>
          <smooth val="0"/>
        </ser>
        <ser>
          <idx val="4"/>
          <order val="4"/>
          <tx>
            <strRef>
              <f>'04 Prices'!F4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Prices'!$F$5:$F$724</f>
            </numRef>
          </val>
          <smooth val="0"/>
        </ser>
        <ser>
          <idx val="5"/>
          <order val="5"/>
          <tx>
            <strRef>
              <f>'04 Prices'!G4</f>
            </strRef>
          </tx>
          <spPr>
            <a:ln xmlns:a="http://schemas.openxmlformats.org/drawingml/2006/main" w="14000">
              <a:prstDash val="solid"/>
            </a:ln>
          </spPr>
          <marker>
            <symbol val="none"/>
            <spPr>
              <a:ln xmlns:a="http://schemas.openxmlformats.org/drawingml/2006/main">
                <a:prstDash val="solid"/>
              </a:ln>
            </spPr>
          </marker>
          <cat>
            <numRef>
              <f>'04 Prices'!$A$5:$A$724</f>
            </numRef>
          </cat>
          <val>
            <numRef>
              <f>'04 Prices'!$G$5:$G$724</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Date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Price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Markowitz Efficient Frontier</a:t>
            </a:r>
          </a:p>
        </rich>
      </tx>
    </title>
    <plotArea>
      <scatterChart>
        <ser>
          <idx val="0"/>
          <order val="0"/>
          <tx>
            <v>Simulated Portfolios</v>
          </tx>
          <spPr>
            <a:ln xmlns:a="http://schemas.openxmlformats.org/drawingml/2006/main">
              <a:noFill/>
              <a:prstDash val="solid"/>
            </a:ln>
          </spPr>
          <marker>
            <symbol val="circle"/>
            <size val="4"/>
            <spPr>
              <a:ln xmlns:a="http://schemas.openxmlformats.org/drawingml/2006/main">
                <a:prstDash val="solid"/>
              </a:ln>
            </spPr>
          </marker>
          <xVal>
            <numRef>
              <f>'09 Monte Carlo'!$P$6:$P$1005</f>
            </numRef>
          </xVal>
          <yVal>
            <numRef>
              <f>'09 Monte Carlo'!$O$6:$O$1005</f>
            </numRef>
          </yVal>
        </ser>
        <ser>
          <idx val="1"/>
          <order val="1"/>
          <tx>
            <v>Efficient Frontier</v>
          </tx>
          <spPr>
            <a:ln xmlns:a="http://schemas.openxmlformats.org/drawingml/2006/main" w="28000">
              <a:solidFill>
                <a:srgbClr val="0B0B0B"/>
              </a:solidFill>
              <a:prstDash val="solid"/>
            </a:ln>
          </spPr>
          <marker>
            <symbol val="none"/>
            <spPr>
              <a:ln xmlns:a="http://schemas.openxmlformats.org/drawingml/2006/main">
                <a:prstDash val="solid"/>
              </a:ln>
            </spPr>
          </marker>
          <xVal>
            <numRef>
              <f>'08 Optimisation'!$C$65:$C$164</f>
            </numRef>
          </xVal>
          <yVal>
            <numRef>
              <f>'08 Optimisation'!$B$65:$B$164</f>
            </numRef>
          </yVal>
        </ser>
        <ser>
          <idx val="2"/>
          <order val="2"/>
          <tx>
            <v>Minimum Variance Portfolio</v>
          </tx>
          <spPr>
            <a:ln xmlns:a="http://schemas.openxmlformats.org/drawingml/2006/main">
              <a:noFill/>
              <a:prstDash val="solid"/>
            </a:ln>
          </spPr>
          <marker>
            <symbol val="diamond"/>
            <size val="12"/>
            <spPr>
              <a:solidFill xmlns:a="http://schemas.openxmlformats.org/drawingml/2006/main">
                <a:srgbClr val="1BAF7A"/>
              </a:solidFill>
              <a:ln xmlns:a="http://schemas.openxmlformats.org/drawingml/2006/main">
                <a:prstDash val="solid"/>
              </a:ln>
            </spPr>
          </marker>
          <xVal>
            <numRef>
              <f>'12 Charts'!$B$6</f>
            </numRef>
          </xVal>
          <yVal>
            <numRef>
              <f>'12 Charts'!$B$7</f>
            </numRef>
          </yVal>
        </ser>
        <ser>
          <idx val="3"/>
          <order val="3"/>
          <tx>
            <v>Maximum Sharpe (Tangency)</v>
          </tx>
          <spPr>
            <a:ln xmlns:a="http://schemas.openxmlformats.org/drawingml/2006/main">
              <a:noFill/>
              <a:prstDash val="solid"/>
            </a:ln>
          </spPr>
          <marker>
            <symbol val="diamond"/>
            <size val="12"/>
            <spPr>
              <a:solidFill xmlns:a="http://schemas.openxmlformats.org/drawingml/2006/main">
                <a:srgbClr val="D6452A"/>
              </a:solidFill>
              <a:ln xmlns:a="http://schemas.openxmlformats.org/drawingml/2006/main">
                <a:prstDash val="solid"/>
              </a:ln>
            </spPr>
          </marker>
          <xVal>
            <numRef>
              <f>'12 Charts'!$B$8</f>
            </numRef>
          </xVal>
          <yVal>
            <numRef>
              <f>'12 Charts'!$B$9</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Annual Volatility (Risk)</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Expected Annual Return</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Growth of $1 Invested in the Portfolio</a:t>
            </a:r>
          </a:p>
        </rich>
      </tx>
    </title>
    <plotArea>
      <lineChart>
        <grouping val="standard"/>
        <ser>
          <idx val="0"/>
          <order val="0"/>
          <tx>
            <strRef>
              <f>'10 Portfolio Returns'!D4</f>
            </strRef>
          </tx>
          <spPr>
            <a:ln xmlns:a="http://schemas.openxmlformats.org/drawingml/2006/main">
              <a:prstDash val="solid"/>
            </a:ln>
          </spPr>
          <marker>
            <symbol val="none"/>
            <spPr>
              <a:ln xmlns:a="http://schemas.openxmlformats.org/drawingml/2006/main">
                <a:prstDash val="solid"/>
              </a:ln>
            </spPr>
          </marker>
          <cat>
            <numRef>
              <f>'10 Portfolio Returns'!$A$5:$A$723</f>
            </numRef>
          </cat>
          <val>
            <numRef>
              <f>'10 Portfolio Returns'!$D$5:$D$723</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Date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Cumulative value ($)</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Portfolio Drawdown from Running Peak</a:t>
            </a:r>
          </a:p>
        </rich>
      </tx>
    </title>
    <plotArea>
      <lineChart>
        <grouping val="standard"/>
        <ser>
          <idx val="0"/>
          <order val="0"/>
          <tx>
            <strRef>
              <f>'10 Portfolio Returns'!F4</f>
            </strRef>
          </tx>
          <spPr>
            <a:ln xmlns:a="http://schemas.openxmlformats.org/drawingml/2006/main">
              <a:prstDash val="solid"/>
            </a:ln>
          </spPr>
          <marker>
            <symbol val="none"/>
            <spPr>
              <a:ln xmlns:a="http://schemas.openxmlformats.org/drawingml/2006/main">
                <a:prstDash val="solid"/>
              </a:ln>
            </spPr>
          </marker>
          <cat>
            <numRef>
              <f>'10 Portfolio Returns'!$A$5:$A$723</f>
            </numRef>
          </cat>
          <val>
            <numRef>
              <f>'10 Portfolio Returns'!$F$5:$F$723</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Date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Drawdown</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Investment Analysis Model</author>
  </authors>
  <commentList>
    <comment ref="B9" authorId="0" shapeId="0">
      <text>
        <t>Python uses '^GSPC'. STOCKHISTORY uses the ticker 'SPX' for the S&amp;P 500 index.</t>
      </text>
    </comment>
    <comment ref="B10" authorId="0" shapeId="0">
      <text>
        <t>MANUAL INPUT — the only market number not pulled automatically.
Python downloads ^FVX (5-year Treasury) and divides the latest close by 100. Excel's STOCKHISTORY does not cover Treasury yield tickers, so enter the rate yourself as a decimal.</t>
      </text>
    </comment>
  </commentList>
</comments>
</file>

<file path=xl/comments/comment2.xml><?xml version="1.0" encoding="utf-8"?>
<comments xmlns="http://schemas.openxmlformats.org/spreadsheetml/2006/main">
  <authors>
    <author>Investment Analysis Model</author>
  </authors>
  <commentList>
    <comment ref="A3" authorId="0" shapeId="0">
      <text>
        <t>STOCKHISTORY(JPM, start, end, interval=0 daily, headers=0 none, properties 0=Date, 1=Close)
Python equivalent: yf.download(ticker, start, end)['Adj Close'].
Ticker, start date and end date all come from '02 Config' — nothing is hardcoded here.</t>
      </text>
    </comment>
    <comment ref="D3" authorId="0" shapeId="0">
      <text>
        <t>STOCKHISTORY(MS, start, end, interval=0 daily, headers=0 none, properties 0=Date, 1=Close)
Python equivalent: yf.download(ticker, start, end)['Adj Close'].
Ticker, start date and end date all come from '02 Config' — nothing is hardcoded here.</t>
      </text>
    </comment>
    <comment ref="G3" authorId="0" shapeId="0">
      <text>
        <t>STOCKHISTORY(BAC, start, end, interval=0 daily, headers=0 none, properties 0=Date, 1=Close)
Python equivalent: yf.download(ticker, start, end)['Adj Close'].
Ticker, start date and end date all come from '02 Config' — nothing is hardcoded here.</t>
      </text>
    </comment>
    <comment ref="J3" authorId="0" shapeId="0">
      <text>
        <t>STOCKHISTORY(AAPL, start, end, interval=0 daily, headers=0 none, properties 0=Date, 1=Close)
Python equivalent: yf.download(ticker, start, end)['Adj Close'].
Ticker, start date and end date all come from '02 Config' — nothing is hardcoded here.</t>
      </text>
    </comment>
    <comment ref="M3" authorId="0" shapeId="0">
      <text>
        <t>STOCKHISTORY(MSFT, start, end, interval=0 daily, headers=0 none, properties 0=Date, 1=Close)
Python equivalent: yf.download(ticker, start, end)['Adj Close'].
Ticker, start date and end date all come from '02 Config' — nothing is hardcoded here.</t>
      </text>
    </comment>
    <comment ref="P3" authorId="0" shapeId="0">
      <text>
        <t>STOCKHISTORY(GLD, start, end, interval=0 daily, headers=0 none, properties 0=Date, 1=Close)
Python equivalent: yf.download(ticker, start, end)['Adj Close'].
Ticker, start date and end date all come from '02 Config' — nothing is hardcoded here.</t>
      </text>
    </comment>
    <comment ref="S3" authorId="0" shapeId="0">
      <text>
        <t>STOCKHISTORY(BENCHMARK, start, end, interval=0 daily, headers=0 none, properties 0=Date, 1=Close)
Python equivalent: yf.download(ticker, start, end)['Adj Close'].
Ticker, start date and end date all come from '02 Config' — nothing is hardcoded here.</t>
      </text>
    </comment>
  </commentList>
</comments>
</file>

<file path=xl/comments/comment3.xml><?xml version="1.0" encoding="utf-8"?>
<comments xmlns="http://schemas.openxmlformats.org/spreadsheetml/2006/main">
  <authors>
    <author>Investment Analysis Model</author>
  </authors>
  <commentList>
    <comment ref="A5" authorId="0" shapeId="0">
      <text>
        <t>The trading calendar is taken from the first asset's STOCKHISTORY block.
Every other column is looked up against this date, so a ticker that did not trade on a given day leaves a blank rather than silently shifting the series up a row.</t>
      </text>
    </comment>
    <comment ref="B5" authorId="0" shapeId="0">
      <text>
        <t>INDEX(close column, MATCH(this date, date column, 0))
Exact-match lookup of this row's date inside that asset's own raw block. Python does this implicitly when yfinance returns one DataFrame indexed by date.</t>
      </text>
    </comment>
  </commentList>
</comments>
</file>

<file path=xl/comments/comment4.xml><?xml version="1.0" encoding="utf-8"?>
<comments xmlns="http://schemas.openxmlformats.org/spreadsheetml/2006/main">
  <authors>
    <author>Investment Analysis Model</author>
  </authors>
  <commentList>
    <comment ref="B5" authorId="0" shapeId="0">
      <text>
        <t>Simple return = today's price / yesterday's price - 1.
Python: prices.pct_change().dropna(). The .dropna() is reproduced by the IF() guard, which leaves a blank instead of an error when either price is missing.
Blanks are ignored by AVERAGE, COUNT, STDEV and PERCENTILE downstream.</t>
      </text>
    </comment>
    <comment ref="H5" authorId="0" shapeId="0">
      <text>
        <t>Benchmark daily returns.
Python: benchmark_prices.pct_change().dropna() in main.py — used for Beta and Alpha on sheet '11 Risk Metrics'.</t>
      </text>
    </comment>
  </commentList>
</comments>
</file>

<file path=xl/comments/comment5.xml><?xml version="1.0" encoding="utf-8"?>
<comments xmlns="http://schemas.openxmlformats.org/spreadsheetml/2006/main">
  <authors>
    <author>Investment Analysis Model</author>
  </authors>
  <commentList>
    <comment ref="B5" authorId="0" shapeId="0">
      <text>
        <t>Log return = LN(today's price / yesterday's price).
Python: np.log(prices / prices.shift(1)).dropna().
Why both return types exist: log returns are time-additive so the annual figure is just mean x 252, while simple returns are asset-additive so a weighted sum across holdings is a valid portfolio return. Each is used where it is mathematically correct.</t>
      </text>
    </comment>
  </commentList>
</comments>
</file>

<file path=xl/comments/comment6.xml><?xml version="1.0" encoding="utf-8"?>
<comments xmlns="http://schemas.openxmlformats.org/spreadsheetml/2006/main">
  <authors>
    <author>Investment Analysis Model</author>
  </authors>
  <commentList>
    <comment ref="B7" authorId="0" shapeId="0">
      <text>
        <t>AVERAGE() of the whole log-return column. Blank guard cells are text, and AVERAGE ignores text, so the mean is taken over actual trading days only.
Python: log_return_df.mean()</t>
      </text>
    </comment>
    <comment ref="D7" authorId="0" shapeId="0">
      <text>
        <t>Log returns are additive through time, so annualising is a straight multiplication by 252 — no compounding. This is exactly why the optimisation is fed log returns rather than simple ones.
Python: expected_returns = log_return_df.mean() * periods</t>
      </text>
    </comment>
    <comment ref="B17" authorId="0" shapeId="0">
      <text>
        <t>SAMPLE covariance, entered as an array formula (Ctrl+Shift+Enter):
  SUM((x - mean x)(y - mean y)) / (n - 1)  x  252
The IF(range="",0,...) wrappers neutralise the blank guard cells, which would otherwise make the arithmetic fail. Dividing by (n-1) rather than n matches pandas .cov(), which defaults to ddof=1.
The shaded diagonal is each asset's own annual variance; its square root is that asset's annual volatility. Off-diagonal entries are what diversification actually feeds on.
Python: cov_matrix_annual = log_return_df.cov() * periods</t>
      </text>
    </comment>
    <comment ref="B27" authorId="0" shapeId="0">
      <text>
        <t>Correlation = Cov(i,j) / (sigma_i x sigma_j). Shown because it is the intuitive read of the covariance matrix: the closer to 1, the less diversification benefit the pair offers. GLD against the banks is the pair worth looking at.</t>
      </text>
    </comment>
  </commentList>
</comments>
</file>

<file path=xl/comments/comment7.xml><?xml version="1.0" encoding="utf-8"?>
<comments xmlns="http://schemas.openxmlformats.org/spreadsheetml/2006/main">
  <authors>
    <author>Investment Analysis Model</author>
  </authors>
  <commentList>
    <comment ref="B8" authorId="0" shapeId="0">
      <text>
        <t>MINVERSE(Sigma), entered once as a 6x6 array formula (select B8:G13, type the formula, press Ctrl+Shift+Enter).
Sigma^-1 is the engine of every closed-form portfolio result below. Intuitively it re-weights each asset by how much INDEPENDENT information it carries: assets that duplicate risk already present in the portfolio get pushed down, genuine diversifiers get pushed up.</t>
      </text>
    </comment>
    <comment ref="B18" authorId="0" shapeId="0">
      <text>
        <t>Sigma^-1 . 1 is just the row sum of the inverse matrix (multiplying by a vector of ones).
Sigma^-1 . mu multiplies that row of the inverse by the expected-return vector via MMULT.
Sigma^-1 . (mu - rf.1) is the excess-return version, and is all the tangency portfolio needs.</t>
      </text>
    </comment>
    <comment ref="B36" authorId="0" shapeId="0">
      <text>
        <t>Global minimum-variance portfolio in closed form:  w = Sigma^-1 1 / (1' Sigma^-1 1).
Derivation: minimise w'Sigma w subject to w'1 = 1. The Lagrangian gives 2 Sigma w = lambda 1, so w is proportional to Sigma^-1 1; dividing by A = 1'Sigma^-1 1 makes the weights sum to one.
Note that expected returns play NO part — this portfolio depends on the covariance structure alone.
Python equivalent: optimization.minimum_volatility_portfolio(), which solves the same problem numerically with SLSQP but adds 0 &lt;= w &lt;= 1 bounds. Any negative weight you see here is a short position the bounded Python version is not allowed to take.</t>
      </text>
    </comment>
    <comment ref="B43" authorId="0" shapeId="0">
      <text>
        <t>Portfolio expected return = w' mu, the weighted sum of the assets' annualised expected returns.
Python: PortfolioMath.portfolio_return() = np.dot(weights, expected_returns)</t>
      </text>
    </comment>
    <comment ref="B44" authorId="0" shapeId="0">
      <text>
        <t>Portfolio volatility = SQRT( w' Sigma w ).
MMULT(TRANSPOSE(w), Sigma) produces the 1x6 row vector w'Sigma; SUMPRODUCT then multiplies it back through w to give the scalar portfolio variance. The square root is the annual standard deviation.
Python: PortfolioMath.portfolio_volatility() = np.sqrt(w.T @ cov_matrix_annual @ w)</t>
      </text>
    </comment>
    <comment ref="B50" authorId="0" shapeId="0">
      <text>
        <t>Tangency (maximum Sharpe) portfolio:  w = Sigma^-1 (mu - rf 1) / 1' Sigma^-1 (mu - rf 1).
This is the portfolio where a straight line drawn from the risk-free rate just touches the efficient frontier — the highest attainable Sharpe ratio. Unlike the minimum-variance portfolio it does depend on expected returns, which is why it is the more fragile of the two in practice: small changes in mu move these weights a long way.
Python: optimization.maximum_sharpe_portfolio(), minimising neg_sharpe_ratio() under SLSQP.</t>
      </text>
    </comment>
    <comment ref="B57" authorId="0" shapeId="0">
      <text>
        <t>Portfolio expected return = w' mu, the weighted sum of the assets' annualised expected returns.
Python: PortfolioMath.portfolio_return() = np.dot(weights, expected_returns)</t>
      </text>
    </comment>
    <comment ref="B58" authorId="0" shapeId="0">
      <text>
        <t>Portfolio volatility = SQRT( w' Sigma w ).
MMULT(TRANSPOSE(w), Sigma) produces the 1x6 row vector w'Sigma; SUMPRODUCT then multiplies it back through w to give the scalar portfolio variance. The square root is the annual standard deviation.
Python: PortfolioMath.portfolio_volatility() = np.sqrt(w.T @ cov_matrix_annual @ w)</t>
      </text>
    </comment>
    <comment ref="C65" authorId="0" shapeId="0">
      <text>
        <t>Closed-form efficient frontier. For any target return r, the minimum attainable variance is
   sigma^2(r) = (A r^2 - 2 B r + C) / D      with D = A.C - B^2
This is a parabola in (variance, return) space and a hyperbola in (volatility, return) space — the familiar bullet shape plotted on sheet '12 Charts'. Its leftmost point is the minimum-variance portfolio from Step 4.
Python: optimization.efficient_frontier() re-runs a constrained SLSQP solve for each of the 100 target returns. Because that version is long-only, its curve sits on or to the RIGHT of this one — constraints can never reduce risk.</t>
      </text>
    </comment>
  </commentList>
</comments>
</file>

<file path=xl/comments/comment8.xml><?xml version="1.0" encoding="utf-8"?>
<comments xmlns="http://schemas.openxmlformats.org/spreadsheetml/2006/main">
  <authors>
    <author>Investment Analysis Model</author>
  </authors>
  <commentList>
    <comment ref="B6" authorId="0" shapeId="0">
      <text>
        <t>Python: w = rng.random(n_assets); w /= w.sum()
Six uniform draws on [0,1), rescaled so they sum to 1. That guarantees a valid long-only portfolio but does NOT sample the simplex uniformly — the draws cluster towards equal weighting, which is why the cloud is dense in the middle and thin at the edges. The frontier is computed analytically on sheet '08 Optimisation', so this bias affects only the picture, never the result.</t>
      </text>
    </comment>
    <comment ref="I6" authorId="0" shapeId="0">
      <text>
        <t>Normalised weight = this asset's draw / the sum of the six draws. Live formula, so if you overwrite the blue draws with your own numbers the whole row re-solves.</t>
      </text>
    </comment>
    <comment ref="O6" authorId="0" shapeId="0">
      <text>
        <t>Return = w . mu  via MMULT (1x6 weights by 6x1 expected returns).
Volatility = SQRT(w' Sigma w).
Sharpe = (Return - risk-free rate) / Volatility.
Identical formulas to those used for the optimised portfolios on sheet '08 Optimisation'.</t>
      </text>
    </comment>
    <comment ref="V10" authorId="0" shapeId="0">
      <text>
        <t>The analytically optimal Sharpe ratio must be greater than or equal to the best random draw. If it is not, something upstream is wrong — a useful sanity check on the whole optimisation.</t>
      </text>
    </comment>
  </commentList>
</comments>
</file>

<file path=xl/comments/comment9.xml><?xml version="1.0" encoding="utf-8"?>
<comments xmlns="http://schemas.openxmlformats.org/spreadsheetml/2006/main">
  <authors>
    <author>Investment Analysis Model</author>
  </authors>
  <commentList>
    <comment ref="B5" authorId="0" shapeId="0">
      <text>
        <t>Portfolio return = sum over assets of (weight x that asset's return), via MMULT of the 1x6 row of asset returns by the 6x1 weight vector.
Python: asset_returns.dot(weights)
SIMPLE returns are used here because they are the ones that aggregate correctly across assets on a given day — a weighted average of log returns is not the log return of the portfolio.</t>
      </text>
    </comment>
    <comment ref="D5" authorId="0" shapeId="0">
      <text>
        <t>Cumulative growth of $1 = running product of (1 + daily return).
Running peak = the highest value reached so far (MAX of an expanding range).
Drawdown = (peak - current) / peak, the percentage below the previous high-water mark.
Python: cumulative = (1 + daily_returns).cumprod();  drawdown = (cumulative.cummax() - cumulative) / cumulative.cummax()</t>
      </text>
    </comment>
  </commentList>
</comments>
</file>

<file path=xl/comments/comment10.xml><?xml version="1.0" encoding="utf-8"?>
<comments xmlns="http://schemas.openxmlformats.org/spreadsheetml/2006/main">
  <authors>
    <author>Investment Analysis Model</author>
  </authors>
  <commentList>
    <comment ref="C35" authorId="0" shapeId="0">
      <text>
        <t>Historical VaR: the (1 - confidence) percentile of the actual daily return distribution. At 95% confidence that is the 5th percentile — the loss exceeded on the worst 1 day in 20.
PERCENTILE() interpolates linearly between observations, the same convention as np.percentile().
Python: risk_metrics.value_at_risk()</t>
      </text>
    </comment>
    <comment ref="E35" authorId="0" shapeId="0">
      <text>
        <t>CVaR / Expected Shortfall: the AVERAGE loss on the days that breach VaR, not the threshold itself. VaR tells you how bad a bad day is; CVaR tells you how bad the bad days are on average — it is the coherent risk measure and the one regulators moved to.
AVERAGEIF over every return at or below the VaR cut-off.
Python: risk_metrics.conditional_value_at_risk() — computed at 95% only in main.py; shown here at all three configured levels.</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12</row>
      <rowOff>0</rowOff>
    </from>
    <ext cx="93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33</row>
      <rowOff>0</rowOff>
    </from>
    <ext cx="936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61</row>
      <rowOff>0</rowOff>
    </from>
    <ext cx="9360000" cy="32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80</row>
      <rowOff>0</rowOff>
    </from>
    <ext cx="936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40"/>
  <sheetViews>
    <sheetView showGridLines="0" workbookViewId="0">
      <selection activeCell="A1" sqref="A1"/>
    </sheetView>
  </sheetViews>
  <sheetFormatPr baseColWidth="8" defaultRowHeight="15"/>
  <cols>
    <col width="26" customWidth="1" min="1" max="1"/>
    <col width="62" customWidth="1" min="2" max="2"/>
    <col width="62" customWidth="1" min="3" max="3"/>
  </cols>
  <sheetData>
    <row r="1">
      <c r="A1" s="1" t="inlineStr">
        <is>
          <t>Investment Analysis Toolkit — Excel Edition</t>
        </is>
      </c>
    </row>
    <row r="2">
      <c r="A2" s="2" t="inlineStr">
        <is>
          <t>A formula-for-formula translation of the investment_analysis Python package. No VBA, no macros: every number is a native Excel formula you can click into and audit.</t>
        </is>
      </c>
    </row>
    <row r="3">
      <c r="A3" s="3" t="inlineStr">
        <is>
          <t>Mirrors: Project 1 — Investment Analysis (Markowitz Frontier)</t>
        </is>
      </c>
    </row>
    <row r="5">
      <c r="A5" s="4" t="inlineStr">
        <is>
          <t>HOW TO USE THIS WORKBOOK</t>
        </is>
      </c>
    </row>
    <row r="6" ht="46" customHeight="1">
      <c r="A6" s="5" t="inlineStr">
        <is>
          <t>1. Open in Microsoft 365 Excel</t>
        </is>
      </c>
      <c r="B6" s="6" t="inlineStr">
        <is>
          <t>Sheet '03 Raw Data' pulls live prices with STOCKHISTORY(), which needs a Microsoft 365 subscription and an internet connection. In Excel for the web, LibreOffice or a perpetual-licence version (2019/2021) those cells return a name error and nothing downstream will compute.</t>
        </is>
      </c>
    </row>
    <row r="7" ht="46" customHeight="1">
      <c r="A7" s="5" t="inlineStr">
        <is>
          <t>2. Let it calculate</t>
        </is>
      </c>
      <c r="B7" s="6" t="inlineStr">
        <is>
          <t>On first open Excel fetches ~700 days x 7 tickers. Give it a few seconds. If the sheets look empty, press Ctrl+Alt+F9 to force a full recalculation.</t>
        </is>
      </c>
    </row>
    <row r="8" ht="46" customHeight="1">
      <c r="A8" s="5" t="inlineStr">
        <is>
          <t>3. Set the risk-free rate</t>
        </is>
      </c>
      <c r="B8" s="6" t="inlineStr">
        <is>
          <t>Cell B10 on '02 Config' is the one market number that cannot be fetched by formula — STOCKHISTORY does not cover Treasury yield tickers. Enter the current 5-year Treasury yield as a decimal. The Python project pulls this automatically from ^FVX.</t>
        </is>
      </c>
    </row>
    <row r="9" ht="46" customHeight="1">
      <c r="A9" s="5" t="inlineStr">
        <is>
          <t>4. Change anything blue</t>
        </is>
      </c>
      <c r="B9" s="6" t="inlineStr">
        <is>
          <t>Tickers, dates, portfolio value, confidence levels — every blue cell is an input, and the entire workbook re-solves from it. Nothing is hardcoded downstream.</t>
        </is>
      </c>
    </row>
    <row r="12">
      <c r="A12" s="4" t="inlineStr">
        <is>
          <t>SHEET MAP — WHICH PYTHON MODULE EACH SHEET REPLACES</t>
        </is>
      </c>
    </row>
    <row r="13">
      <c r="A13" s="7" t="inlineStr">
        <is>
          <t>Sheet</t>
        </is>
      </c>
      <c r="B13" s="7" t="inlineStr">
        <is>
          <t>What it does</t>
        </is>
      </c>
      <c r="C13" s="7" t="inlineStr">
        <is>
          <t>Python source</t>
        </is>
      </c>
    </row>
    <row r="14" ht="34" customHeight="1">
      <c r="A14" s="8" t="inlineStr">
        <is>
          <t>02 Config</t>
        </is>
      </c>
      <c r="B14" s="9" t="inlineStr">
        <is>
          <t>All inputs: dates, tickers, risk-free rate, portfolio value, VaR confidence levels, simulation settings.</t>
        </is>
      </c>
      <c r="C14" s="9" t="inlineStr">
        <is>
          <t>config.py (AnalysisConfig) + portfolio.xlsx</t>
        </is>
      </c>
    </row>
    <row r="15" ht="34" customHeight="1">
      <c r="A15" s="8" t="inlineStr">
        <is>
          <t>03 Raw Data</t>
        </is>
      </c>
      <c r="B15" s="9" t="inlineStr">
        <is>
          <t>Live STOCKHISTORY price feed, one block per asset plus the benchmark. The only cells touching the internet.</t>
        </is>
      </c>
      <c r="C15" s="9" t="inlineStr">
        <is>
          <t>data.py — download_prices(), download_benchmark()</t>
        </is>
      </c>
    </row>
    <row r="16" ht="34" customHeight="1">
      <c r="A16" s="8" t="inlineStr">
        <is>
          <t>04 Prices</t>
        </is>
      </c>
      <c r="B16" s="9" t="inlineStr">
        <is>
          <t>Raw blocks stitched onto one shared trading calendar with INDEX/MATCH.</t>
        </is>
      </c>
      <c r="C16" s="9" t="inlineStr">
        <is>
          <t>the aligned DataFrame yfinance returns</t>
        </is>
      </c>
    </row>
    <row r="17" ht="34" customHeight="1">
      <c r="A17" s="8" t="inlineStr">
        <is>
          <t>05 Simple Returns</t>
        </is>
      </c>
      <c r="B17" s="9" t="inlineStr">
        <is>
          <t>Daily simple returns, P_t/P_(t-1) - 1.</t>
        </is>
      </c>
      <c r="C17" s="9" t="inlineStr">
        <is>
          <t>returns.py — simple_returns()</t>
        </is>
      </c>
    </row>
    <row r="18" ht="34" customHeight="1">
      <c r="A18" s="8" t="inlineStr">
        <is>
          <t>06 Log Returns</t>
        </is>
      </c>
      <c r="B18" s="9" t="inlineStr">
        <is>
          <t>Daily log returns, ln(P_t/P_(t-1)).</t>
        </is>
      </c>
      <c r="C18" s="9" t="inlineStr">
        <is>
          <t>returns.py — log_returns()</t>
        </is>
      </c>
    </row>
    <row r="19" ht="34" customHeight="1">
      <c r="A19" s="8" t="inlineStr">
        <is>
          <t>07 Annualised Inputs</t>
        </is>
      </c>
      <c r="B19" s="9" t="inlineStr">
        <is>
          <t>Annualised expected returns, the annualised covariance matrix, and the correlation matrix.</t>
        </is>
      </c>
      <c r="C19" s="9" t="inlineStr">
        <is>
          <t>optimization.py — annualized_inputs()</t>
        </is>
      </c>
    </row>
    <row r="20" ht="34" customHeight="1">
      <c r="A20" s="8" t="inlineStr">
        <is>
          <t>08 Optimisation</t>
        </is>
      </c>
      <c r="B20" s="9" t="inlineStr">
        <is>
          <t>Matrix-algebra solution: Sigma inverse, the frontier constants A/B/C/D, minimum-variance and tangency weights, the 100-point frontier.</t>
        </is>
      </c>
      <c r="C20" s="9" t="inlineStr">
        <is>
          <t>optimization.py — PortfolioMath, minimum_volatility_portfolio(), maximum_sharpe_portfolio(), efficient_frontier()</t>
        </is>
      </c>
    </row>
    <row r="21" ht="34" customHeight="1">
      <c r="A21" s="8" t="inlineStr">
        <is>
          <t>09 Monte Carlo</t>
        </is>
      </c>
      <c r="B21" s="9" t="inlineStr">
        <is>
          <t>1,000 randomly weighted portfolios forming the feasible-set cloud.</t>
        </is>
      </c>
      <c r="C21" s="9" t="inlineStr">
        <is>
          <t>optimization.py — monte_carlo_portfolios()</t>
        </is>
      </c>
    </row>
    <row r="22" ht="34" customHeight="1">
      <c r="A22" s="8" t="inlineStr">
        <is>
          <t>10 Portfolio Returns</t>
        </is>
      </c>
      <c r="B22" s="9" t="inlineStr">
        <is>
          <t>Asset returns collapsed to one portfolio series, plus cumulative growth and the drawdown path.</t>
        </is>
      </c>
      <c r="C22" s="9" t="inlineStr">
        <is>
          <t>returns.py — portfolio_returns(); risk_metrics.py — max_drawdown()</t>
        </is>
      </c>
    </row>
    <row r="23" ht="34" customHeight="1">
      <c r="A23" s="8" t="inlineStr">
        <is>
          <t>11 Risk Metrics</t>
        </is>
      </c>
      <c r="B23" s="9" t="inlineStr">
        <is>
          <t>Beta, Alpha, Sharpe, Sortino, Calmar, Treynor, max drawdown, VaR and CVaR.</t>
        </is>
      </c>
      <c r="C23" s="9" t="inlineStr">
        <is>
          <t>risk_metrics.py (all functions)</t>
        </is>
      </c>
    </row>
    <row r="24" ht="34" customHeight="1">
      <c r="A24" s="8" t="inlineStr">
        <is>
          <t>12 Charts</t>
        </is>
      </c>
      <c r="B24" s="9" t="inlineStr">
        <is>
          <t>Price lines, the efficient frontier scatter, growth of $1 and the drawdown chart.</t>
        </is>
      </c>
      <c r="C24" s="9" t="inlineStr">
        <is>
          <t>visualization.py — plot_prices(), plot_efficient_frontier()</t>
        </is>
      </c>
    </row>
    <row r="27">
      <c r="A27" s="4" t="inlineStr">
        <is>
          <t>THREE PLACES THIS WORKBOOK KNOWINGLY DIFFERS FROM THE PYTHON PROJECT</t>
        </is>
      </c>
    </row>
    <row r="28" ht="62" customHeight="1">
      <c r="A28" s="10" t="inlineStr">
        <is>
          <t>Unconstrained optimisation</t>
        </is>
      </c>
      <c r="B28" s="6" t="inlineStr">
        <is>
          <t>optimization.py bounds every weight to [0, 1] and solves numerically with SciPy's SLSQP. A bounded problem has no closed form, so the matrix solution on '08 Optimisation' solves the same objective WITHOUT the bounds. Where a short position would help, these weights differ and this frontier sits slightly to the left of the Python one — constraints can never reduce risk. Everything else in the workbook is identical maths.</t>
        </is>
      </c>
    </row>
    <row r="29" ht="62" customHeight="1">
      <c r="A29" s="10" t="inlineStr">
        <is>
          <t>Unadjusted closing prices</t>
        </is>
      </c>
      <c r="B29" s="6" t="inlineStr">
        <is>
          <t>data.py requests 'Adj Close', which is back-adjusted for dividends and splits. STOCKHISTORY returns the unadjusted close. Total-return figures will therefore sit slightly below the Python output for dividend-paying holdings, and a split in the sample period would show as a jump.</t>
        </is>
      </c>
    </row>
    <row r="30" ht="62" customHeight="1">
      <c r="A30" s="10" t="inlineStr">
        <is>
          <t>Risk-free rate is a manual input</t>
        </is>
      </c>
      <c r="B30" s="6" t="inlineStr">
        <is>
          <t>data.download_risk_free_rate() pulls ^FVX and divides by 100. STOCKHISTORY cannot address Treasury yield tickers, so cell B10 on '02 Config' is typed in by hand.</t>
        </is>
      </c>
    </row>
    <row r="31" ht="62" customHeight="1">
      <c r="A31" s="10" t="inlineStr">
        <is>
          <t>1,000 Monte Carlo draws instead of 10,000</t>
        </is>
      </c>
      <c r="B31" s="6" t="inlineStr">
        <is>
          <t>Purely for file size and recalculation speed. The draws are the first rows of the same numpy default_rng(42) sequence, so they match the Python simulation row for row. The frontier itself is solved analytically and does not depend on the simulation at all.</t>
        </is>
      </c>
    </row>
    <row r="32" ht="62" customHeight="1">
      <c r="A32" s="10" t="inlineStr">
        <is>
          <t>Sortino ratio kept 'wrong' on purpose</t>
        </is>
      </c>
      <c r="B32" s="6" t="inlineStr">
        <is>
          <t>risk_metrics.sortino_ratio() divides an annual excess return by a DAILY downside deviation, inflating the ratio by about SQRT(252). The workbook reproduces that rather than silently correcting it, and says so on '11 Risk Metrics'.</t>
        </is>
      </c>
    </row>
    <row r="35">
      <c r="A35" s="4" t="inlineStr">
        <is>
          <t>COLOUR CONVENTION</t>
        </is>
      </c>
    </row>
    <row r="36">
      <c r="A36" s="11" t="inlineStr">
        <is>
          <t>Blue text on cream fill</t>
        </is>
      </c>
      <c r="B36" s="3" t="inlineStr">
        <is>
          <t>Hardcoded input — safe to edit.</t>
        </is>
      </c>
    </row>
    <row r="37">
      <c r="A37" s="12" t="inlineStr">
        <is>
          <t>Black text</t>
        </is>
      </c>
      <c r="B37" s="3" t="inlineStr">
        <is>
          <t>Calculated by formula — do not overwrite.</t>
        </is>
      </c>
    </row>
    <row r="38">
      <c r="A38" s="13" t="inlineStr">
        <is>
          <t>Green text</t>
        </is>
      </c>
      <c r="B38" s="3" t="inlineStr">
        <is>
          <t>A link to another sheet.</t>
        </is>
      </c>
    </row>
    <row r="40">
      <c r="A40" s="3" t="inlineStr">
        <is>
          <t>Cells with a small red corner carry a comment explaining the maths and naming the Python function they come from. Hover to read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showGridLines="0" workbookViewId="0">
      <selection activeCell="A1" sqref="A1"/>
    </sheetView>
  </sheetViews>
  <sheetFormatPr baseColWidth="8" defaultRowHeight="15"/>
  <cols>
    <col width="34" customWidth="1" min="1" max="1"/>
    <col width="18" customWidth="1" min="2" max="2"/>
    <col width="12" customWidth="1" min="3" max="3"/>
    <col width="92" customWidth="1" min="4" max="4"/>
  </cols>
  <sheetData>
    <row r="1">
      <c r="A1" s="1" t="inlineStr">
        <is>
          <t>Configuration &amp; Inputs</t>
        </is>
      </c>
    </row>
    <row r="2">
      <c r="A2" s="2" t="inlineStr">
        <is>
          <t>Every analysis parameter lives here. Blue cells are hardcoded inputs you may edit; black cells are formulas. Nothing downstream hardcodes a parameter.</t>
        </is>
      </c>
    </row>
    <row r="3">
      <c r="A3" s="3" t="inlineStr">
        <is>
          <t>Mirrors: config.py -&gt; AnalysisConfig dataclass</t>
        </is>
      </c>
    </row>
    <row r="5">
      <c r="A5" s="4" t="inlineStr">
        <is>
          <t>MARKET DATA &amp; PORTFOLIO PARAMETERS</t>
        </is>
      </c>
    </row>
    <row r="6">
      <c r="A6" s="7" t="inlineStr">
        <is>
          <t>Parameter</t>
        </is>
      </c>
      <c r="B6" s="7" t="inlineStr">
        <is>
          <t>Value</t>
        </is>
      </c>
      <c r="C6" s="7" t="inlineStr">
        <is>
          <t>Units</t>
        </is>
      </c>
      <c r="D6" s="7" t="inlineStr">
        <is>
          <t>What it does / where it comes from in the Python project</t>
        </is>
      </c>
    </row>
    <row r="7" ht="30" customHeight="1">
      <c r="A7" s="5" t="inlineStr">
        <is>
          <t>Start date</t>
        </is>
      </c>
      <c r="B7" s="14" t="n">
        <v>45292</v>
      </c>
      <c r="C7" s="3" t="inlineStr">
        <is>
          <t>date</t>
        </is>
      </c>
      <c r="D7" s="6" t="inlineStr">
        <is>
          <t>config.py: start_date = dt.datetime(2024, 1, 1). First date requested from the market data feed.</t>
        </is>
      </c>
    </row>
    <row r="8" ht="30" customHeight="1">
      <c r="A8" s="5" t="inlineStr">
        <is>
          <t>End date</t>
        </is>
      </c>
      <c r="B8" s="15">
        <f>TODAY()</f>
        <v/>
      </c>
      <c r="C8" s="3" t="inlineStr">
        <is>
          <t>date</t>
        </is>
      </c>
      <c r="D8" s="6" t="inlineStr">
        <is>
          <t>config.py: end_date = None, which main.py resolves to dt.datetime.now(). TODAY() reproduces that behaviour live.</t>
        </is>
      </c>
    </row>
    <row r="9" ht="30" customHeight="1">
      <c r="A9" s="5" t="inlineStr">
        <is>
          <t>Benchmark ticker</t>
        </is>
      </c>
      <c r="B9" s="16" t="inlineStr">
        <is>
          <t>SPX</t>
        </is>
      </c>
      <c r="C9" s="3" t="inlineStr">
        <is>
          <t>text</t>
        </is>
      </c>
      <c r="D9" s="6" t="inlineStr">
        <is>
          <t>config.py: benchmark_ticker = '^GSPC'. Excel's STOCKHISTORY addresses the S&amp;P 500 as 'SPX'. Used for Beta, Alpha and Treynor. If your Excel build rejects 'SPX', try '.INX' or 'INDEX:SPX'.</t>
        </is>
      </c>
    </row>
    <row r="10" ht="30" customHeight="1">
      <c r="A10" s="5" t="inlineStr">
        <is>
          <t>Risk-free rate (annual)</t>
        </is>
      </c>
      <c r="B10" s="17" t="n">
        <v>0.0375</v>
      </c>
      <c r="C10" s="3" t="inlineStr">
        <is>
          <t>% p.a.</t>
        </is>
      </c>
      <c r="D10" s="6" t="inlineStr">
        <is>
          <t>config.py: risk_free_ticker = '^FVX' (5-year Treasury yield), taken as latest close / 100. STOCKHISTORY cannot return Treasury yield tickers, so this is a MANUAL INPUT. Update it from the current 5-year Treasury yield, entered as a decimal (4.25% -&gt; 0.0425).</t>
        </is>
      </c>
    </row>
    <row r="11" ht="30" customHeight="1">
      <c r="A11" s="5" t="inlineStr">
        <is>
          <t>Portfolio value</t>
        </is>
      </c>
      <c r="B11" s="18" t="n">
        <v>1000000</v>
      </c>
      <c r="C11" s="3" t="inlineStr">
        <is>
          <t>$</t>
        </is>
      </c>
      <c r="D11" s="6" t="inlineStr">
        <is>
          <t>config.py: portfolio_value = 1_000_000. Converts VaR and CVaR from a return into a currency loss.</t>
        </is>
      </c>
    </row>
    <row r="12" ht="30" customHeight="1">
      <c r="A12" s="5" t="inlineStr">
        <is>
          <t>Trading days per year</t>
        </is>
      </c>
      <c r="B12" s="16" t="n">
        <v>252</v>
      </c>
      <c r="C12" s="3" t="inlineStr">
        <is>
          <t>days</t>
        </is>
      </c>
      <c r="D12" s="6" t="inlineStr">
        <is>
          <t>returns.py: TRADING_DAYS_PER_YEAR = 252. The annualisation factor used everywhere.</t>
        </is>
      </c>
    </row>
    <row r="13" ht="30" customHeight="1">
      <c r="A13" s="5" t="inlineStr">
        <is>
          <t>VaR confidence level 1</t>
        </is>
      </c>
      <c r="B13" s="19" t="n">
        <v>0.9</v>
      </c>
      <c r="C13" s="3" t="inlineStr">
        <is>
          <t>%</t>
        </is>
      </c>
      <c r="D13" s="6" t="inlineStr">
        <is>
          <t>config.py: var_confidence_levels = (0.90, 0.95, 0.99).</t>
        </is>
      </c>
    </row>
    <row r="14" ht="30" customHeight="1">
      <c r="A14" s="5" t="inlineStr">
        <is>
          <t>VaR confidence level 2</t>
        </is>
      </c>
      <c r="B14" s="19" t="n">
        <v>0.95</v>
      </c>
      <c r="C14" s="3" t="inlineStr">
        <is>
          <t>%</t>
        </is>
      </c>
      <c r="D14" s="6" t="inlineStr">
        <is>
          <t>config.py: var_confidence_levels[1].</t>
        </is>
      </c>
    </row>
    <row r="15" ht="30" customHeight="1">
      <c r="A15" s="5" t="inlineStr">
        <is>
          <t>VaR confidence level 3</t>
        </is>
      </c>
      <c r="B15" s="19" t="n">
        <v>0.99</v>
      </c>
      <c r="C15" s="3" t="inlineStr">
        <is>
          <t>%</t>
        </is>
      </c>
      <c r="D15" s="6" t="inlineStr">
        <is>
          <t>config.py: var_confidence_levels[2].</t>
        </is>
      </c>
    </row>
    <row r="16" ht="30" customHeight="1">
      <c r="A16" s="5" t="inlineStr">
        <is>
          <t>Monte Carlo portfolios</t>
        </is>
      </c>
      <c r="B16" s="20" t="n">
        <v>1000</v>
      </c>
      <c r="C16" s="3" t="inlineStr">
        <is>
          <t>count</t>
        </is>
      </c>
      <c r="D16" s="6" t="inlineStr">
        <is>
          <t>config.py: n_monte_carlo_portfolios = 10_000. Reduced to 1,000 here to keep the workbook responsive; the random draws used are the FIRST 1,000 draws of numpy's default_rng(42), so these rows are numerically identical to the first rows of the Python simulation.</t>
        </is>
      </c>
    </row>
    <row r="17" ht="30" customHeight="1">
      <c r="A17" s="5" t="inlineStr">
        <is>
          <t>Efficient frontier points</t>
        </is>
      </c>
      <c r="B17" s="20" t="n">
        <v>100</v>
      </c>
      <c r="C17" s="3" t="inlineStr">
        <is>
          <t>count</t>
        </is>
      </c>
      <c r="D17" s="6" t="inlineStr">
        <is>
          <t>config.py: n_frontier_points = 100. Number of target returns traced along the frontier.</t>
        </is>
      </c>
    </row>
    <row r="18" ht="30" customHeight="1">
      <c r="A18" s="5" t="inlineStr">
        <is>
          <t>Random seed</t>
        </is>
      </c>
      <c r="B18" s="16" t="n">
        <v>42</v>
      </c>
      <c r="C18" s="3" t="inlineStr">
        <is>
          <t>int</t>
        </is>
      </c>
      <c r="D18" s="6" t="inlineStr">
        <is>
          <t>config.py: random_seed = 42. The seed used to generate the Monte Carlo weight draws on sheet '09 Monte Carlo'.</t>
        </is>
      </c>
    </row>
    <row r="21">
      <c r="A21" s="4" t="inlineStr">
        <is>
          <t>PORTFOLIO HOLDINGS</t>
        </is>
      </c>
    </row>
    <row r="22">
      <c r="A22" s="3" t="inlineStr">
        <is>
          <t>Read in Python from portfolio.xlsx (single 'Ticker' column) by data.load_tickers_from_excel(). Edit these cells to change the investable universe — every sheet follows automatically.</t>
        </is>
      </c>
    </row>
    <row r="23">
      <c r="A23" s="7" t="inlineStr">
        <is>
          <t>#</t>
        </is>
      </c>
      <c r="B23" s="7" t="inlineStr">
        <is>
          <t>Ticker</t>
        </is>
      </c>
      <c r="C23" s="7" t="inlineStr">
        <is>
          <t>Asset</t>
        </is>
      </c>
    </row>
    <row r="24">
      <c r="A24" s="21" t="n">
        <v>1</v>
      </c>
      <c r="B24" s="16" t="inlineStr">
        <is>
          <t>JPM</t>
        </is>
      </c>
      <c r="C24" s="22" t="inlineStr">
        <is>
          <t>JPMorgan Chase &amp; Co.</t>
        </is>
      </c>
    </row>
    <row r="25">
      <c r="A25" s="21" t="n">
        <v>2</v>
      </c>
      <c r="B25" s="16" t="inlineStr">
        <is>
          <t>MS</t>
        </is>
      </c>
      <c r="C25" s="22" t="inlineStr">
        <is>
          <t>Morgan Stanley</t>
        </is>
      </c>
    </row>
    <row r="26">
      <c r="A26" s="21" t="n">
        <v>3</v>
      </c>
      <c r="B26" s="16" t="inlineStr">
        <is>
          <t>BAC</t>
        </is>
      </c>
      <c r="C26" s="22" t="inlineStr">
        <is>
          <t>Bank of America Corp.</t>
        </is>
      </c>
    </row>
    <row r="27">
      <c r="A27" s="21" t="n">
        <v>4</v>
      </c>
      <c r="B27" s="16" t="inlineStr">
        <is>
          <t>AAPL</t>
        </is>
      </c>
      <c r="C27" s="22" t="inlineStr">
        <is>
          <t>Apple Inc.</t>
        </is>
      </c>
    </row>
    <row r="28">
      <c r="A28" s="21" t="n">
        <v>5</v>
      </c>
      <c r="B28" s="16" t="inlineStr">
        <is>
          <t>MSFT</t>
        </is>
      </c>
      <c r="C28" s="22" t="inlineStr">
        <is>
          <t>Microsoft Corp.</t>
        </is>
      </c>
    </row>
    <row r="29">
      <c r="A29" s="21" t="n">
        <v>6</v>
      </c>
      <c r="B29" s="16" t="inlineStr">
        <is>
          <t>GLD</t>
        </is>
      </c>
      <c r="C29" s="22" t="inlineStr">
        <is>
          <t>SPDR Gold Shares ETF</t>
        </is>
      </c>
    </row>
    <row r="32">
      <c r="A32" s="4" t="inlineStr">
        <is>
          <t>COLOUR KEY</t>
        </is>
      </c>
    </row>
    <row r="33">
      <c r="A33" s="11" t="inlineStr">
        <is>
          <t>Blue = hardcoded input you may edit</t>
        </is>
      </c>
    </row>
    <row r="34">
      <c r="A34" s="12" t="inlineStr">
        <is>
          <t>Black = calculated by formula</t>
        </is>
      </c>
    </row>
    <row r="35">
      <c r="A35" s="13" t="inlineStr">
        <is>
          <t>Green = link to another sheet</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4"/>
  <sheetViews>
    <sheetView showGridLines="0" workbookViewId="0">
      <selection activeCell="A1" sqref="A1"/>
    </sheetView>
  </sheetViews>
  <sheetFormatPr baseColWidth="8" defaultRowHeight="15"/>
  <cols>
    <col width="12" customWidth="1" min="1" max="1"/>
    <col width="12" customWidth="1" min="2" max="2"/>
    <col width="12" customWidth="1" min="4" max="4"/>
    <col width="12" customWidth="1" min="5" max="5"/>
    <col width="12" customWidth="1" min="7" max="7"/>
    <col width="12" customWidth="1" min="8" max="8"/>
    <col width="12" customWidth="1" min="10" max="10"/>
    <col width="12" customWidth="1" min="11" max="11"/>
    <col width="12" customWidth="1" min="13" max="13"/>
    <col width="12" customWidth="1" min="14" max="14"/>
    <col width="12" customWidth="1" min="16" max="16"/>
    <col width="12" customWidth="1" min="17" max="17"/>
    <col width="12" customWidth="1" min="19" max="19"/>
    <col width="12" customWidth="1" min="20" max="20"/>
  </cols>
  <sheetData>
    <row r="1">
      <c r="A1" s="4" t="inlineStr">
        <is>
          <t>JPM</t>
        </is>
      </c>
      <c r="D1" s="4" t="inlineStr">
        <is>
          <t>MS</t>
        </is>
      </c>
      <c r="G1" s="4" t="inlineStr">
        <is>
          <t>BAC</t>
        </is>
      </c>
      <c r="J1" s="4" t="inlineStr">
        <is>
          <t>AAPL</t>
        </is>
      </c>
      <c r="M1" s="4" t="inlineStr">
        <is>
          <t>MSFT</t>
        </is>
      </c>
      <c r="P1" s="4" t="inlineStr">
        <is>
          <t>GLD</t>
        </is>
      </c>
      <c r="S1" s="4" t="inlineStr">
        <is>
          <t>BENCHMARK</t>
        </is>
      </c>
    </row>
    <row r="2">
      <c r="A2" s="7" t="inlineStr">
        <is>
          <t>Date</t>
        </is>
      </c>
      <c r="B2" s="7" t="inlineStr">
        <is>
          <t>Close</t>
        </is>
      </c>
      <c r="D2" s="7" t="inlineStr">
        <is>
          <t>Date</t>
        </is>
      </c>
      <c r="E2" s="7" t="inlineStr">
        <is>
          <t>Close</t>
        </is>
      </c>
      <c r="G2" s="7" t="inlineStr">
        <is>
          <t>Date</t>
        </is>
      </c>
      <c r="H2" s="7" t="inlineStr">
        <is>
          <t>Close</t>
        </is>
      </c>
      <c r="J2" s="7" t="inlineStr">
        <is>
          <t>Date</t>
        </is>
      </c>
      <c r="K2" s="7" t="inlineStr">
        <is>
          <t>Close</t>
        </is>
      </c>
      <c r="M2" s="7" t="inlineStr">
        <is>
          <t>Date</t>
        </is>
      </c>
      <c r="N2" s="7" t="inlineStr">
        <is>
          <t>Close</t>
        </is>
      </c>
      <c r="P2" s="7" t="inlineStr">
        <is>
          <t>Date</t>
        </is>
      </c>
      <c r="Q2" s="7" t="inlineStr">
        <is>
          <t>Close</t>
        </is>
      </c>
      <c r="S2" s="7" t="inlineStr">
        <is>
          <t>Date</t>
        </is>
      </c>
      <c r="T2" s="7" t="inlineStr">
        <is>
          <t>Close</t>
        </is>
      </c>
    </row>
    <row r="3">
      <c r="A3" s="3">
        <f t="array" ref="A3:B722">_xlfn.STOCKHISTORY('02 Config'!$B$24,'02 Config'!$B$7,'02 Config'!$B$8,0,0,0,1)</f>
        <v/>
      </c>
      <c r="D3">
        <f t="array" ref="D3:E722">_xlfn.STOCKHISTORY('02 Config'!$B$25,'02 Config'!$B$7,'02 Config'!$B$8,0,0,0,1)</f>
        <v/>
      </c>
      <c r="G3">
        <f t="array" ref="G3:H722">_xlfn.STOCKHISTORY('02 Config'!$B$26,'02 Config'!$B$7,'02 Config'!$B$8,0,0,0,1)</f>
        <v/>
      </c>
      <c r="J3">
        <f t="array" ref="J3:K722">_xlfn.STOCKHISTORY('02 Config'!$B$27,'02 Config'!$B$7,'02 Config'!$B$8,0,0,0,1)</f>
        <v/>
      </c>
      <c r="M3">
        <f t="array" ref="M3:N722">_xlfn.STOCKHISTORY('02 Config'!$B$28,'02 Config'!$B$7,'02 Config'!$B$8,0,0,0,1)</f>
        <v/>
      </c>
      <c r="P3">
        <f t="array" ref="P3:Q722">_xlfn.STOCKHISTORY('02 Config'!$B$29,'02 Config'!$B$7,'02 Config'!$B$8,0,0,0,1)</f>
        <v/>
      </c>
      <c r="S3">
        <f t="array" ref="S3:T722">_xlfn.STOCKHISTORY('02 Config'!$B$9,'02 Config'!$B$7,'02 Config'!$B$8,0,0,0,1)</f>
        <v/>
      </c>
    </row>
    <row r="4" ht="42" customHeight="1">
      <c r="A4" s="6" t="inlineStr">
        <is>
          <t>NOTE: STOCKHISTORY requires a Microsoft 365 subscription and an internet connection. It returns the UNADJUSTED close, whereas the Python project uses Adj Close — dividend and split adjustments aside, the two differ slightly. Each block is a single array formula in its top-left cell.</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7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Aligned Price Matrix</t>
        </is>
      </c>
    </row>
    <row r="2">
      <c r="A2" s="2" t="inlineStr">
        <is>
          <t>The raw blocks are stitched onto one shared trading calendar with INDEX/MATCH, so every asset and the benchmark sit on the same row for the same date. This is the single price grid the whole model reads.</t>
        </is>
      </c>
    </row>
    <row r="3">
      <c r="A3" s="3" t="inlineStr">
        <is>
          <t>Mirrors: data.download_prices() returning a DataFrame: columns = tickers, index = trading dates</t>
        </is>
      </c>
    </row>
    <row r="4">
      <c r="A4" s="7" t="inlineStr">
        <is>
          <t>Date</t>
        </is>
      </c>
      <c r="B4" s="7" t="inlineStr">
        <is>
          <t>JPM</t>
        </is>
      </c>
      <c r="C4" s="7" t="inlineStr">
        <is>
          <t>MS</t>
        </is>
      </c>
      <c r="D4" s="7" t="inlineStr">
        <is>
          <t>BAC</t>
        </is>
      </c>
      <c r="E4" s="7" t="inlineStr">
        <is>
          <t>AAPL</t>
        </is>
      </c>
      <c r="F4" s="7" t="inlineStr">
        <is>
          <t>MSFT</t>
        </is>
      </c>
      <c r="G4" s="7" t="inlineStr">
        <is>
          <t>GLD</t>
        </is>
      </c>
      <c r="H4" s="7" t="inlineStr">
        <is>
          <t>BENCHMARK</t>
        </is>
      </c>
    </row>
    <row r="5">
      <c r="A5" s="23">
        <f>IFERROR(IF(OR('03 Raw Data'!A3="",'03 Raw Data'!A3=0),"",'03 Raw Data'!A3),"")</f>
        <v/>
      </c>
      <c r="B5" s="24">
        <f>IF($A5="","",IFERROR(INDEX('03 Raw Data'!$B$3:$B$722,MATCH($A5,'03 Raw Data'!$A$3:$A$722,0)),""))</f>
        <v/>
      </c>
      <c r="C5" s="24">
        <f>IF($A5="","",IFERROR(INDEX('03 Raw Data'!$E$3:$E$722,MATCH($A5,'03 Raw Data'!$D$3:$D$722,0)),""))</f>
        <v/>
      </c>
      <c r="D5" s="24">
        <f>IF($A5="","",IFERROR(INDEX('03 Raw Data'!$H$3:$H$722,MATCH($A5,'03 Raw Data'!$G$3:$G$722,0)),""))</f>
        <v/>
      </c>
      <c r="E5" s="24">
        <f>IF($A5="","",IFERROR(INDEX('03 Raw Data'!$K$3:$K$722,MATCH($A5,'03 Raw Data'!$J$3:$J$722,0)),""))</f>
        <v/>
      </c>
      <c r="F5" s="24">
        <f>IF($A5="","",IFERROR(INDEX('03 Raw Data'!$N$3:$N$722,MATCH($A5,'03 Raw Data'!$M$3:$M$722,0)),""))</f>
        <v/>
      </c>
      <c r="G5" s="24">
        <f>IF($A5="","",IFERROR(INDEX('03 Raw Data'!$Q$3:$Q$722,MATCH($A5,'03 Raw Data'!$P$3:$P$722,0)),""))</f>
        <v/>
      </c>
      <c r="H5" s="24">
        <f>IF($A5="","",IFERROR(INDEX('03 Raw Data'!$T$3:$T$722,MATCH($A5,'03 Raw Data'!$S$3:$S$722,0)),""))</f>
        <v/>
      </c>
    </row>
    <row r="6">
      <c r="A6" s="23">
        <f>IFERROR(IF(OR('03 Raw Data'!A4="",'03 Raw Data'!A4=0),"",'03 Raw Data'!A4),"")</f>
        <v/>
      </c>
      <c r="B6" s="24">
        <f>IF($A6="","",IFERROR(INDEX('03 Raw Data'!$B$3:$B$722,MATCH($A6,'03 Raw Data'!$A$3:$A$722,0)),""))</f>
        <v/>
      </c>
      <c r="C6" s="24">
        <f>IF($A6="","",IFERROR(INDEX('03 Raw Data'!$E$3:$E$722,MATCH($A6,'03 Raw Data'!$D$3:$D$722,0)),""))</f>
        <v/>
      </c>
      <c r="D6" s="24">
        <f>IF($A6="","",IFERROR(INDEX('03 Raw Data'!$H$3:$H$722,MATCH($A6,'03 Raw Data'!$G$3:$G$722,0)),""))</f>
        <v/>
      </c>
      <c r="E6" s="24">
        <f>IF($A6="","",IFERROR(INDEX('03 Raw Data'!$K$3:$K$722,MATCH($A6,'03 Raw Data'!$J$3:$J$722,0)),""))</f>
        <v/>
      </c>
      <c r="F6" s="24">
        <f>IF($A6="","",IFERROR(INDEX('03 Raw Data'!$N$3:$N$722,MATCH($A6,'03 Raw Data'!$M$3:$M$722,0)),""))</f>
        <v/>
      </c>
      <c r="G6" s="24">
        <f>IF($A6="","",IFERROR(INDEX('03 Raw Data'!$Q$3:$Q$722,MATCH($A6,'03 Raw Data'!$P$3:$P$722,0)),""))</f>
        <v/>
      </c>
      <c r="H6" s="24">
        <f>IF($A6="","",IFERROR(INDEX('03 Raw Data'!$T$3:$T$722,MATCH($A6,'03 Raw Data'!$S$3:$S$722,0)),""))</f>
        <v/>
      </c>
    </row>
    <row r="7">
      <c r="A7" s="23">
        <f>IFERROR(IF(OR('03 Raw Data'!A5="",'03 Raw Data'!A5=0),"",'03 Raw Data'!A5),"")</f>
        <v/>
      </c>
      <c r="B7" s="24">
        <f>IF($A7="","",IFERROR(INDEX('03 Raw Data'!$B$3:$B$722,MATCH($A7,'03 Raw Data'!$A$3:$A$722,0)),""))</f>
        <v/>
      </c>
      <c r="C7" s="24">
        <f>IF($A7="","",IFERROR(INDEX('03 Raw Data'!$E$3:$E$722,MATCH($A7,'03 Raw Data'!$D$3:$D$722,0)),""))</f>
        <v/>
      </c>
      <c r="D7" s="24">
        <f>IF($A7="","",IFERROR(INDEX('03 Raw Data'!$H$3:$H$722,MATCH($A7,'03 Raw Data'!$G$3:$G$722,0)),""))</f>
        <v/>
      </c>
      <c r="E7" s="24">
        <f>IF($A7="","",IFERROR(INDEX('03 Raw Data'!$K$3:$K$722,MATCH($A7,'03 Raw Data'!$J$3:$J$722,0)),""))</f>
        <v/>
      </c>
      <c r="F7" s="24">
        <f>IF($A7="","",IFERROR(INDEX('03 Raw Data'!$N$3:$N$722,MATCH($A7,'03 Raw Data'!$M$3:$M$722,0)),""))</f>
        <v/>
      </c>
      <c r="G7" s="24">
        <f>IF($A7="","",IFERROR(INDEX('03 Raw Data'!$Q$3:$Q$722,MATCH($A7,'03 Raw Data'!$P$3:$P$722,0)),""))</f>
        <v/>
      </c>
      <c r="H7" s="24">
        <f>IF($A7="","",IFERROR(INDEX('03 Raw Data'!$T$3:$T$722,MATCH($A7,'03 Raw Data'!$S$3:$S$722,0)),""))</f>
        <v/>
      </c>
    </row>
    <row r="8">
      <c r="A8" s="23">
        <f>IFERROR(IF(OR('03 Raw Data'!A6="",'03 Raw Data'!A6=0),"",'03 Raw Data'!A6),"")</f>
        <v/>
      </c>
      <c r="B8" s="24">
        <f>IF($A8="","",IFERROR(INDEX('03 Raw Data'!$B$3:$B$722,MATCH($A8,'03 Raw Data'!$A$3:$A$722,0)),""))</f>
        <v/>
      </c>
      <c r="C8" s="24">
        <f>IF($A8="","",IFERROR(INDEX('03 Raw Data'!$E$3:$E$722,MATCH($A8,'03 Raw Data'!$D$3:$D$722,0)),""))</f>
        <v/>
      </c>
      <c r="D8" s="24">
        <f>IF($A8="","",IFERROR(INDEX('03 Raw Data'!$H$3:$H$722,MATCH($A8,'03 Raw Data'!$G$3:$G$722,0)),""))</f>
        <v/>
      </c>
      <c r="E8" s="24">
        <f>IF($A8="","",IFERROR(INDEX('03 Raw Data'!$K$3:$K$722,MATCH($A8,'03 Raw Data'!$J$3:$J$722,0)),""))</f>
        <v/>
      </c>
      <c r="F8" s="24">
        <f>IF($A8="","",IFERROR(INDEX('03 Raw Data'!$N$3:$N$722,MATCH($A8,'03 Raw Data'!$M$3:$M$722,0)),""))</f>
        <v/>
      </c>
      <c r="G8" s="24">
        <f>IF($A8="","",IFERROR(INDEX('03 Raw Data'!$Q$3:$Q$722,MATCH($A8,'03 Raw Data'!$P$3:$P$722,0)),""))</f>
        <v/>
      </c>
      <c r="H8" s="24">
        <f>IF($A8="","",IFERROR(INDEX('03 Raw Data'!$T$3:$T$722,MATCH($A8,'03 Raw Data'!$S$3:$S$722,0)),""))</f>
        <v/>
      </c>
    </row>
    <row r="9">
      <c r="A9" s="23">
        <f>IFERROR(IF(OR('03 Raw Data'!A7="",'03 Raw Data'!A7=0),"",'03 Raw Data'!A7),"")</f>
        <v/>
      </c>
      <c r="B9" s="24">
        <f>IF($A9="","",IFERROR(INDEX('03 Raw Data'!$B$3:$B$722,MATCH($A9,'03 Raw Data'!$A$3:$A$722,0)),""))</f>
        <v/>
      </c>
      <c r="C9" s="24">
        <f>IF($A9="","",IFERROR(INDEX('03 Raw Data'!$E$3:$E$722,MATCH($A9,'03 Raw Data'!$D$3:$D$722,0)),""))</f>
        <v/>
      </c>
      <c r="D9" s="24">
        <f>IF($A9="","",IFERROR(INDEX('03 Raw Data'!$H$3:$H$722,MATCH($A9,'03 Raw Data'!$G$3:$G$722,0)),""))</f>
        <v/>
      </c>
      <c r="E9" s="24">
        <f>IF($A9="","",IFERROR(INDEX('03 Raw Data'!$K$3:$K$722,MATCH($A9,'03 Raw Data'!$J$3:$J$722,0)),""))</f>
        <v/>
      </c>
      <c r="F9" s="24">
        <f>IF($A9="","",IFERROR(INDEX('03 Raw Data'!$N$3:$N$722,MATCH($A9,'03 Raw Data'!$M$3:$M$722,0)),""))</f>
        <v/>
      </c>
      <c r="G9" s="24">
        <f>IF($A9="","",IFERROR(INDEX('03 Raw Data'!$Q$3:$Q$722,MATCH($A9,'03 Raw Data'!$P$3:$P$722,0)),""))</f>
        <v/>
      </c>
      <c r="H9" s="24">
        <f>IF($A9="","",IFERROR(INDEX('03 Raw Data'!$T$3:$T$722,MATCH($A9,'03 Raw Data'!$S$3:$S$722,0)),""))</f>
        <v/>
      </c>
    </row>
    <row r="10">
      <c r="A10" s="23">
        <f>IFERROR(IF(OR('03 Raw Data'!A8="",'03 Raw Data'!A8=0),"",'03 Raw Data'!A8),"")</f>
        <v/>
      </c>
      <c r="B10" s="24">
        <f>IF($A10="","",IFERROR(INDEX('03 Raw Data'!$B$3:$B$722,MATCH($A10,'03 Raw Data'!$A$3:$A$722,0)),""))</f>
        <v/>
      </c>
      <c r="C10" s="24">
        <f>IF($A10="","",IFERROR(INDEX('03 Raw Data'!$E$3:$E$722,MATCH($A10,'03 Raw Data'!$D$3:$D$722,0)),""))</f>
        <v/>
      </c>
      <c r="D10" s="24">
        <f>IF($A10="","",IFERROR(INDEX('03 Raw Data'!$H$3:$H$722,MATCH($A10,'03 Raw Data'!$G$3:$G$722,0)),""))</f>
        <v/>
      </c>
      <c r="E10" s="24">
        <f>IF($A10="","",IFERROR(INDEX('03 Raw Data'!$K$3:$K$722,MATCH($A10,'03 Raw Data'!$J$3:$J$722,0)),""))</f>
        <v/>
      </c>
      <c r="F10" s="24">
        <f>IF($A10="","",IFERROR(INDEX('03 Raw Data'!$N$3:$N$722,MATCH($A10,'03 Raw Data'!$M$3:$M$722,0)),""))</f>
        <v/>
      </c>
      <c r="G10" s="24">
        <f>IF($A10="","",IFERROR(INDEX('03 Raw Data'!$Q$3:$Q$722,MATCH($A10,'03 Raw Data'!$P$3:$P$722,0)),""))</f>
        <v/>
      </c>
      <c r="H10" s="24">
        <f>IF($A10="","",IFERROR(INDEX('03 Raw Data'!$T$3:$T$722,MATCH($A10,'03 Raw Data'!$S$3:$S$722,0)),""))</f>
        <v/>
      </c>
    </row>
    <row r="11">
      <c r="A11" s="23">
        <f>IFERROR(IF(OR('03 Raw Data'!A9="",'03 Raw Data'!A9=0),"",'03 Raw Data'!A9),"")</f>
        <v/>
      </c>
      <c r="B11" s="24">
        <f>IF($A11="","",IFERROR(INDEX('03 Raw Data'!$B$3:$B$722,MATCH($A11,'03 Raw Data'!$A$3:$A$722,0)),""))</f>
        <v/>
      </c>
      <c r="C11" s="24">
        <f>IF($A11="","",IFERROR(INDEX('03 Raw Data'!$E$3:$E$722,MATCH($A11,'03 Raw Data'!$D$3:$D$722,0)),""))</f>
        <v/>
      </c>
      <c r="D11" s="24">
        <f>IF($A11="","",IFERROR(INDEX('03 Raw Data'!$H$3:$H$722,MATCH($A11,'03 Raw Data'!$G$3:$G$722,0)),""))</f>
        <v/>
      </c>
      <c r="E11" s="24">
        <f>IF($A11="","",IFERROR(INDEX('03 Raw Data'!$K$3:$K$722,MATCH($A11,'03 Raw Data'!$J$3:$J$722,0)),""))</f>
        <v/>
      </c>
      <c r="F11" s="24">
        <f>IF($A11="","",IFERROR(INDEX('03 Raw Data'!$N$3:$N$722,MATCH($A11,'03 Raw Data'!$M$3:$M$722,0)),""))</f>
        <v/>
      </c>
      <c r="G11" s="24">
        <f>IF($A11="","",IFERROR(INDEX('03 Raw Data'!$Q$3:$Q$722,MATCH($A11,'03 Raw Data'!$P$3:$P$722,0)),""))</f>
        <v/>
      </c>
      <c r="H11" s="24">
        <f>IF($A11="","",IFERROR(INDEX('03 Raw Data'!$T$3:$T$722,MATCH($A11,'03 Raw Data'!$S$3:$S$722,0)),""))</f>
        <v/>
      </c>
    </row>
    <row r="12">
      <c r="A12" s="23">
        <f>IFERROR(IF(OR('03 Raw Data'!A10="",'03 Raw Data'!A10=0),"",'03 Raw Data'!A10),"")</f>
        <v/>
      </c>
      <c r="B12" s="24">
        <f>IF($A12="","",IFERROR(INDEX('03 Raw Data'!$B$3:$B$722,MATCH($A12,'03 Raw Data'!$A$3:$A$722,0)),""))</f>
        <v/>
      </c>
      <c r="C12" s="24">
        <f>IF($A12="","",IFERROR(INDEX('03 Raw Data'!$E$3:$E$722,MATCH($A12,'03 Raw Data'!$D$3:$D$722,0)),""))</f>
        <v/>
      </c>
      <c r="D12" s="24">
        <f>IF($A12="","",IFERROR(INDEX('03 Raw Data'!$H$3:$H$722,MATCH($A12,'03 Raw Data'!$G$3:$G$722,0)),""))</f>
        <v/>
      </c>
      <c r="E12" s="24">
        <f>IF($A12="","",IFERROR(INDEX('03 Raw Data'!$K$3:$K$722,MATCH($A12,'03 Raw Data'!$J$3:$J$722,0)),""))</f>
        <v/>
      </c>
      <c r="F12" s="24">
        <f>IF($A12="","",IFERROR(INDEX('03 Raw Data'!$N$3:$N$722,MATCH($A12,'03 Raw Data'!$M$3:$M$722,0)),""))</f>
        <v/>
      </c>
      <c r="G12" s="24">
        <f>IF($A12="","",IFERROR(INDEX('03 Raw Data'!$Q$3:$Q$722,MATCH($A12,'03 Raw Data'!$P$3:$P$722,0)),""))</f>
        <v/>
      </c>
      <c r="H12" s="24">
        <f>IF($A12="","",IFERROR(INDEX('03 Raw Data'!$T$3:$T$722,MATCH($A12,'03 Raw Data'!$S$3:$S$722,0)),""))</f>
        <v/>
      </c>
    </row>
    <row r="13">
      <c r="A13" s="23">
        <f>IFERROR(IF(OR('03 Raw Data'!A11="",'03 Raw Data'!A11=0),"",'03 Raw Data'!A11),"")</f>
        <v/>
      </c>
      <c r="B13" s="24">
        <f>IF($A13="","",IFERROR(INDEX('03 Raw Data'!$B$3:$B$722,MATCH($A13,'03 Raw Data'!$A$3:$A$722,0)),""))</f>
        <v/>
      </c>
      <c r="C13" s="24">
        <f>IF($A13="","",IFERROR(INDEX('03 Raw Data'!$E$3:$E$722,MATCH($A13,'03 Raw Data'!$D$3:$D$722,0)),""))</f>
        <v/>
      </c>
      <c r="D13" s="24">
        <f>IF($A13="","",IFERROR(INDEX('03 Raw Data'!$H$3:$H$722,MATCH($A13,'03 Raw Data'!$G$3:$G$722,0)),""))</f>
        <v/>
      </c>
      <c r="E13" s="24">
        <f>IF($A13="","",IFERROR(INDEX('03 Raw Data'!$K$3:$K$722,MATCH($A13,'03 Raw Data'!$J$3:$J$722,0)),""))</f>
        <v/>
      </c>
      <c r="F13" s="24">
        <f>IF($A13="","",IFERROR(INDEX('03 Raw Data'!$N$3:$N$722,MATCH($A13,'03 Raw Data'!$M$3:$M$722,0)),""))</f>
        <v/>
      </c>
      <c r="G13" s="24">
        <f>IF($A13="","",IFERROR(INDEX('03 Raw Data'!$Q$3:$Q$722,MATCH($A13,'03 Raw Data'!$P$3:$P$722,0)),""))</f>
        <v/>
      </c>
      <c r="H13" s="24">
        <f>IF($A13="","",IFERROR(INDEX('03 Raw Data'!$T$3:$T$722,MATCH($A13,'03 Raw Data'!$S$3:$S$722,0)),""))</f>
        <v/>
      </c>
    </row>
    <row r="14">
      <c r="A14" s="23">
        <f>IFERROR(IF(OR('03 Raw Data'!A12="",'03 Raw Data'!A12=0),"",'03 Raw Data'!A12),"")</f>
        <v/>
      </c>
      <c r="B14" s="24">
        <f>IF($A14="","",IFERROR(INDEX('03 Raw Data'!$B$3:$B$722,MATCH($A14,'03 Raw Data'!$A$3:$A$722,0)),""))</f>
        <v/>
      </c>
      <c r="C14" s="24">
        <f>IF($A14="","",IFERROR(INDEX('03 Raw Data'!$E$3:$E$722,MATCH($A14,'03 Raw Data'!$D$3:$D$722,0)),""))</f>
        <v/>
      </c>
      <c r="D14" s="24">
        <f>IF($A14="","",IFERROR(INDEX('03 Raw Data'!$H$3:$H$722,MATCH($A14,'03 Raw Data'!$G$3:$G$722,0)),""))</f>
        <v/>
      </c>
      <c r="E14" s="24">
        <f>IF($A14="","",IFERROR(INDEX('03 Raw Data'!$K$3:$K$722,MATCH($A14,'03 Raw Data'!$J$3:$J$722,0)),""))</f>
        <v/>
      </c>
      <c r="F14" s="24">
        <f>IF($A14="","",IFERROR(INDEX('03 Raw Data'!$N$3:$N$722,MATCH($A14,'03 Raw Data'!$M$3:$M$722,0)),""))</f>
        <v/>
      </c>
      <c r="G14" s="24">
        <f>IF($A14="","",IFERROR(INDEX('03 Raw Data'!$Q$3:$Q$722,MATCH($A14,'03 Raw Data'!$P$3:$P$722,0)),""))</f>
        <v/>
      </c>
      <c r="H14" s="24">
        <f>IF($A14="","",IFERROR(INDEX('03 Raw Data'!$T$3:$T$722,MATCH($A14,'03 Raw Data'!$S$3:$S$722,0)),""))</f>
        <v/>
      </c>
    </row>
    <row r="15">
      <c r="A15" s="23">
        <f>IFERROR(IF(OR('03 Raw Data'!A13="",'03 Raw Data'!A13=0),"",'03 Raw Data'!A13),"")</f>
        <v/>
      </c>
      <c r="B15" s="24">
        <f>IF($A15="","",IFERROR(INDEX('03 Raw Data'!$B$3:$B$722,MATCH($A15,'03 Raw Data'!$A$3:$A$722,0)),""))</f>
        <v/>
      </c>
      <c r="C15" s="24">
        <f>IF($A15="","",IFERROR(INDEX('03 Raw Data'!$E$3:$E$722,MATCH($A15,'03 Raw Data'!$D$3:$D$722,0)),""))</f>
        <v/>
      </c>
      <c r="D15" s="24">
        <f>IF($A15="","",IFERROR(INDEX('03 Raw Data'!$H$3:$H$722,MATCH($A15,'03 Raw Data'!$G$3:$G$722,0)),""))</f>
        <v/>
      </c>
      <c r="E15" s="24">
        <f>IF($A15="","",IFERROR(INDEX('03 Raw Data'!$K$3:$K$722,MATCH($A15,'03 Raw Data'!$J$3:$J$722,0)),""))</f>
        <v/>
      </c>
      <c r="F15" s="24">
        <f>IF($A15="","",IFERROR(INDEX('03 Raw Data'!$N$3:$N$722,MATCH($A15,'03 Raw Data'!$M$3:$M$722,0)),""))</f>
        <v/>
      </c>
      <c r="G15" s="24">
        <f>IF($A15="","",IFERROR(INDEX('03 Raw Data'!$Q$3:$Q$722,MATCH($A15,'03 Raw Data'!$P$3:$P$722,0)),""))</f>
        <v/>
      </c>
      <c r="H15" s="24">
        <f>IF($A15="","",IFERROR(INDEX('03 Raw Data'!$T$3:$T$722,MATCH($A15,'03 Raw Data'!$S$3:$S$722,0)),""))</f>
        <v/>
      </c>
    </row>
    <row r="16">
      <c r="A16" s="23">
        <f>IFERROR(IF(OR('03 Raw Data'!A14="",'03 Raw Data'!A14=0),"",'03 Raw Data'!A14),"")</f>
        <v/>
      </c>
      <c r="B16" s="24">
        <f>IF($A16="","",IFERROR(INDEX('03 Raw Data'!$B$3:$B$722,MATCH($A16,'03 Raw Data'!$A$3:$A$722,0)),""))</f>
        <v/>
      </c>
      <c r="C16" s="24">
        <f>IF($A16="","",IFERROR(INDEX('03 Raw Data'!$E$3:$E$722,MATCH($A16,'03 Raw Data'!$D$3:$D$722,0)),""))</f>
        <v/>
      </c>
      <c r="D16" s="24">
        <f>IF($A16="","",IFERROR(INDEX('03 Raw Data'!$H$3:$H$722,MATCH($A16,'03 Raw Data'!$G$3:$G$722,0)),""))</f>
        <v/>
      </c>
      <c r="E16" s="24">
        <f>IF($A16="","",IFERROR(INDEX('03 Raw Data'!$K$3:$K$722,MATCH($A16,'03 Raw Data'!$J$3:$J$722,0)),""))</f>
        <v/>
      </c>
      <c r="F16" s="24">
        <f>IF($A16="","",IFERROR(INDEX('03 Raw Data'!$N$3:$N$722,MATCH($A16,'03 Raw Data'!$M$3:$M$722,0)),""))</f>
        <v/>
      </c>
      <c r="G16" s="24">
        <f>IF($A16="","",IFERROR(INDEX('03 Raw Data'!$Q$3:$Q$722,MATCH($A16,'03 Raw Data'!$P$3:$P$722,0)),""))</f>
        <v/>
      </c>
      <c r="H16" s="24">
        <f>IF($A16="","",IFERROR(INDEX('03 Raw Data'!$T$3:$T$722,MATCH($A16,'03 Raw Data'!$S$3:$S$722,0)),""))</f>
        <v/>
      </c>
    </row>
    <row r="17">
      <c r="A17" s="23">
        <f>IFERROR(IF(OR('03 Raw Data'!A15="",'03 Raw Data'!A15=0),"",'03 Raw Data'!A15),"")</f>
        <v/>
      </c>
      <c r="B17" s="24">
        <f>IF($A17="","",IFERROR(INDEX('03 Raw Data'!$B$3:$B$722,MATCH($A17,'03 Raw Data'!$A$3:$A$722,0)),""))</f>
        <v/>
      </c>
      <c r="C17" s="24">
        <f>IF($A17="","",IFERROR(INDEX('03 Raw Data'!$E$3:$E$722,MATCH($A17,'03 Raw Data'!$D$3:$D$722,0)),""))</f>
        <v/>
      </c>
      <c r="D17" s="24">
        <f>IF($A17="","",IFERROR(INDEX('03 Raw Data'!$H$3:$H$722,MATCH($A17,'03 Raw Data'!$G$3:$G$722,0)),""))</f>
        <v/>
      </c>
      <c r="E17" s="24">
        <f>IF($A17="","",IFERROR(INDEX('03 Raw Data'!$K$3:$K$722,MATCH($A17,'03 Raw Data'!$J$3:$J$722,0)),""))</f>
        <v/>
      </c>
      <c r="F17" s="24">
        <f>IF($A17="","",IFERROR(INDEX('03 Raw Data'!$N$3:$N$722,MATCH($A17,'03 Raw Data'!$M$3:$M$722,0)),""))</f>
        <v/>
      </c>
      <c r="G17" s="24">
        <f>IF($A17="","",IFERROR(INDEX('03 Raw Data'!$Q$3:$Q$722,MATCH($A17,'03 Raw Data'!$P$3:$P$722,0)),""))</f>
        <v/>
      </c>
      <c r="H17" s="24">
        <f>IF($A17="","",IFERROR(INDEX('03 Raw Data'!$T$3:$T$722,MATCH($A17,'03 Raw Data'!$S$3:$S$722,0)),""))</f>
        <v/>
      </c>
    </row>
    <row r="18">
      <c r="A18" s="23">
        <f>IFERROR(IF(OR('03 Raw Data'!A16="",'03 Raw Data'!A16=0),"",'03 Raw Data'!A16),"")</f>
        <v/>
      </c>
      <c r="B18" s="24">
        <f>IF($A18="","",IFERROR(INDEX('03 Raw Data'!$B$3:$B$722,MATCH($A18,'03 Raw Data'!$A$3:$A$722,0)),""))</f>
        <v/>
      </c>
      <c r="C18" s="24">
        <f>IF($A18="","",IFERROR(INDEX('03 Raw Data'!$E$3:$E$722,MATCH($A18,'03 Raw Data'!$D$3:$D$722,0)),""))</f>
        <v/>
      </c>
      <c r="D18" s="24">
        <f>IF($A18="","",IFERROR(INDEX('03 Raw Data'!$H$3:$H$722,MATCH($A18,'03 Raw Data'!$G$3:$G$722,0)),""))</f>
        <v/>
      </c>
      <c r="E18" s="24">
        <f>IF($A18="","",IFERROR(INDEX('03 Raw Data'!$K$3:$K$722,MATCH($A18,'03 Raw Data'!$J$3:$J$722,0)),""))</f>
        <v/>
      </c>
      <c r="F18" s="24">
        <f>IF($A18="","",IFERROR(INDEX('03 Raw Data'!$N$3:$N$722,MATCH($A18,'03 Raw Data'!$M$3:$M$722,0)),""))</f>
        <v/>
      </c>
      <c r="G18" s="24">
        <f>IF($A18="","",IFERROR(INDEX('03 Raw Data'!$Q$3:$Q$722,MATCH($A18,'03 Raw Data'!$P$3:$P$722,0)),""))</f>
        <v/>
      </c>
      <c r="H18" s="24">
        <f>IF($A18="","",IFERROR(INDEX('03 Raw Data'!$T$3:$T$722,MATCH($A18,'03 Raw Data'!$S$3:$S$722,0)),""))</f>
        <v/>
      </c>
    </row>
    <row r="19">
      <c r="A19" s="23">
        <f>IFERROR(IF(OR('03 Raw Data'!A17="",'03 Raw Data'!A17=0),"",'03 Raw Data'!A17),"")</f>
        <v/>
      </c>
      <c r="B19" s="24">
        <f>IF($A19="","",IFERROR(INDEX('03 Raw Data'!$B$3:$B$722,MATCH($A19,'03 Raw Data'!$A$3:$A$722,0)),""))</f>
        <v/>
      </c>
      <c r="C19" s="24">
        <f>IF($A19="","",IFERROR(INDEX('03 Raw Data'!$E$3:$E$722,MATCH($A19,'03 Raw Data'!$D$3:$D$722,0)),""))</f>
        <v/>
      </c>
      <c r="D19" s="24">
        <f>IF($A19="","",IFERROR(INDEX('03 Raw Data'!$H$3:$H$722,MATCH($A19,'03 Raw Data'!$G$3:$G$722,0)),""))</f>
        <v/>
      </c>
      <c r="E19" s="24">
        <f>IF($A19="","",IFERROR(INDEX('03 Raw Data'!$K$3:$K$722,MATCH($A19,'03 Raw Data'!$J$3:$J$722,0)),""))</f>
        <v/>
      </c>
      <c r="F19" s="24">
        <f>IF($A19="","",IFERROR(INDEX('03 Raw Data'!$N$3:$N$722,MATCH($A19,'03 Raw Data'!$M$3:$M$722,0)),""))</f>
        <v/>
      </c>
      <c r="G19" s="24">
        <f>IF($A19="","",IFERROR(INDEX('03 Raw Data'!$Q$3:$Q$722,MATCH($A19,'03 Raw Data'!$P$3:$P$722,0)),""))</f>
        <v/>
      </c>
      <c r="H19" s="24">
        <f>IF($A19="","",IFERROR(INDEX('03 Raw Data'!$T$3:$T$722,MATCH($A19,'03 Raw Data'!$S$3:$S$722,0)),""))</f>
        <v/>
      </c>
    </row>
    <row r="20">
      <c r="A20" s="23">
        <f>IFERROR(IF(OR('03 Raw Data'!A18="",'03 Raw Data'!A18=0),"",'03 Raw Data'!A18),"")</f>
        <v/>
      </c>
      <c r="B20" s="24">
        <f>IF($A20="","",IFERROR(INDEX('03 Raw Data'!$B$3:$B$722,MATCH($A20,'03 Raw Data'!$A$3:$A$722,0)),""))</f>
        <v/>
      </c>
      <c r="C20" s="24">
        <f>IF($A20="","",IFERROR(INDEX('03 Raw Data'!$E$3:$E$722,MATCH($A20,'03 Raw Data'!$D$3:$D$722,0)),""))</f>
        <v/>
      </c>
      <c r="D20" s="24">
        <f>IF($A20="","",IFERROR(INDEX('03 Raw Data'!$H$3:$H$722,MATCH($A20,'03 Raw Data'!$G$3:$G$722,0)),""))</f>
        <v/>
      </c>
      <c r="E20" s="24">
        <f>IF($A20="","",IFERROR(INDEX('03 Raw Data'!$K$3:$K$722,MATCH($A20,'03 Raw Data'!$J$3:$J$722,0)),""))</f>
        <v/>
      </c>
      <c r="F20" s="24">
        <f>IF($A20="","",IFERROR(INDEX('03 Raw Data'!$N$3:$N$722,MATCH($A20,'03 Raw Data'!$M$3:$M$722,0)),""))</f>
        <v/>
      </c>
      <c r="G20" s="24">
        <f>IF($A20="","",IFERROR(INDEX('03 Raw Data'!$Q$3:$Q$722,MATCH($A20,'03 Raw Data'!$P$3:$P$722,0)),""))</f>
        <v/>
      </c>
      <c r="H20" s="24">
        <f>IF($A20="","",IFERROR(INDEX('03 Raw Data'!$T$3:$T$722,MATCH($A20,'03 Raw Data'!$S$3:$S$722,0)),""))</f>
        <v/>
      </c>
    </row>
    <row r="21">
      <c r="A21" s="23">
        <f>IFERROR(IF(OR('03 Raw Data'!A19="",'03 Raw Data'!A19=0),"",'03 Raw Data'!A19),"")</f>
        <v/>
      </c>
      <c r="B21" s="24">
        <f>IF($A21="","",IFERROR(INDEX('03 Raw Data'!$B$3:$B$722,MATCH($A21,'03 Raw Data'!$A$3:$A$722,0)),""))</f>
        <v/>
      </c>
      <c r="C21" s="24">
        <f>IF($A21="","",IFERROR(INDEX('03 Raw Data'!$E$3:$E$722,MATCH($A21,'03 Raw Data'!$D$3:$D$722,0)),""))</f>
        <v/>
      </c>
      <c r="D21" s="24">
        <f>IF($A21="","",IFERROR(INDEX('03 Raw Data'!$H$3:$H$722,MATCH($A21,'03 Raw Data'!$G$3:$G$722,0)),""))</f>
        <v/>
      </c>
      <c r="E21" s="24">
        <f>IF($A21="","",IFERROR(INDEX('03 Raw Data'!$K$3:$K$722,MATCH($A21,'03 Raw Data'!$J$3:$J$722,0)),""))</f>
        <v/>
      </c>
      <c r="F21" s="24">
        <f>IF($A21="","",IFERROR(INDEX('03 Raw Data'!$N$3:$N$722,MATCH($A21,'03 Raw Data'!$M$3:$M$722,0)),""))</f>
        <v/>
      </c>
      <c r="G21" s="24">
        <f>IF($A21="","",IFERROR(INDEX('03 Raw Data'!$Q$3:$Q$722,MATCH($A21,'03 Raw Data'!$P$3:$P$722,0)),""))</f>
        <v/>
      </c>
      <c r="H21" s="24">
        <f>IF($A21="","",IFERROR(INDEX('03 Raw Data'!$T$3:$T$722,MATCH($A21,'03 Raw Data'!$S$3:$S$722,0)),""))</f>
        <v/>
      </c>
    </row>
    <row r="22">
      <c r="A22" s="23">
        <f>IFERROR(IF(OR('03 Raw Data'!A20="",'03 Raw Data'!A20=0),"",'03 Raw Data'!A20),"")</f>
        <v/>
      </c>
      <c r="B22" s="24">
        <f>IF($A22="","",IFERROR(INDEX('03 Raw Data'!$B$3:$B$722,MATCH($A22,'03 Raw Data'!$A$3:$A$722,0)),""))</f>
        <v/>
      </c>
      <c r="C22" s="24">
        <f>IF($A22="","",IFERROR(INDEX('03 Raw Data'!$E$3:$E$722,MATCH($A22,'03 Raw Data'!$D$3:$D$722,0)),""))</f>
        <v/>
      </c>
      <c r="D22" s="24">
        <f>IF($A22="","",IFERROR(INDEX('03 Raw Data'!$H$3:$H$722,MATCH($A22,'03 Raw Data'!$G$3:$G$722,0)),""))</f>
        <v/>
      </c>
      <c r="E22" s="24">
        <f>IF($A22="","",IFERROR(INDEX('03 Raw Data'!$K$3:$K$722,MATCH($A22,'03 Raw Data'!$J$3:$J$722,0)),""))</f>
        <v/>
      </c>
      <c r="F22" s="24">
        <f>IF($A22="","",IFERROR(INDEX('03 Raw Data'!$N$3:$N$722,MATCH($A22,'03 Raw Data'!$M$3:$M$722,0)),""))</f>
        <v/>
      </c>
      <c r="G22" s="24">
        <f>IF($A22="","",IFERROR(INDEX('03 Raw Data'!$Q$3:$Q$722,MATCH($A22,'03 Raw Data'!$P$3:$P$722,0)),""))</f>
        <v/>
      </c>
      <c r="H22" s="24">
        <f>IF($A22="","",IFERROR(INDEX('03 Raw Data'!$T$3:$T$722,MATCH($A22,'03 Raw Data'!$S$3:$S$722,0)),""))</f>
        <v/>
      </c>
    </row>
    <row r="23">
      <c r="A23" s="23">
        <f>IFERROR(IF(OR('03 Raw Data'!A21="",'03 Raw Data'!A21=0),"",'03 Raw Data'!A21),"")</f>
        <v/>
      </c>
      <c r="B23" s="24">
        <f>IF($A23="","",IFERROR(INDEX('03 Raw Data'!$B$3:$B$722,MATCH($A23,'03 Raw Data'!$A$3:$A$722,0)),""))</f>
        <v/>
      </c>
      <c r="C23" s="24">
        <f>IF($A23="","",IFERROR(INDEX('03 Raw Data'!$E$3:$E$722,MATCH($A23,'03 Raw Data'!$D$3:$D$722,0)),""))</f>
        <v/>
      </c>
      <c r="D23" s="24">
        <f>IF($A23="","",IFERROR(INDEX('03 Raw Data'!$H$3:$H$722,MATCH($A23,'03 Raw Data'!$G$3:$G$722,0)),""))</f>
        <v/>
      </c>
      <c r="E23" s="24">
        <f>IF($A23="","",IFERROR(INDEX('03 Raw Data'!$K$3:$K$722,MATCH($A23,'03 Raw Data'!$J$3:$J$722,0)),""))</f>
        <v/>
      </c>
      <c r="F23" s="24">
        <f>IF($A23="","",IFERROR(INDEX('03 Raw Data'!$N$3:$N$722,MATCH($A23,'03 Raw Data'!$M$3:$M$722,0)),""))</f>
        <v/>
      </c>
      <c r="G23" s="24">
        <f>IF($A23="","",IFERROR(INDEX('03 Raw Data'!$Q$3:$Q$722,MATCH($A23,'03 Raw Data'!$P$3:$P$722,0)),""))</f>
        <v/>
      </c>
      <c r="H23" s="24">
        <f>IF($A23="","",IFERROR(INDEX('03 Raw Data'!$T$3:$T$722,MATCH($A23,'03 Raw Data'!$S$3:$S$722,0)),""))</f>
        <v/>
      </c>
    </row>
    <row r="24">
      <c r="A24" s="23">
        <f>IFERROR(IF(OR('03 Raw Data'!A22="",'03 Raw Data'!A22=0),"",'03 Raw Data'!A22),"")</f>
        <v/>
      </c>
      <c r="B24" s="24">
        <f>IF($A24="","",IFERROR(INDEX('03 Raw Data'!$B$3:$B$722,MATCH($A24,'03 Raw Data'!$A$3:$A$722,0)),""))</f>
        <v/>
      </c>
      <c r="C24" s="24">
        <f>IF($A24="","",IFERROR(INDEX('03 Raw Data'!$E$3:$E$722,MATCH($A24,'03 Raw Data'!$D$3:$D$722,0)),""))</f>
        <v/>
      </c>
      <c r="D24" s="24">
        <f>IF($A24="","",IFERROR(INDEX('03 Raw Data'!$H$3:$H$722,MATCH($A24,'03 Raw Data'!$G$3:$G$722,0)),""))</f>
        <v/>
      </c>
      <c r="E24" s="24">
        <f>IF($A24="","",IFERROR(INDEX('03 Raw Data'!$K$3:$K$722,MATCH($A24,'03 Raw Data'!$J$3:$J$722,0)),""))</f>
        <v/>
      </c>
      <c r="F24" s="24">
        <f>IF($A24="","",IFERROR(INDEX('03 Raw Data'!$N$3:$N$722,MATCH($A24,'03 Raw Data'!$M$3:$M$722,0)),""))</f>
        <v/>
      </c>
      <c r="G24" s="24">
        <f>IF($A24="","",IFERROR(INDEX('03 Raw Data'!$Q$3:$Q$722,MATCH($A24,'03 Raw Data'!$P$3:$P$722,0)),""))</f>
        <v/>
      </c>
      <c r="H24" s="24">
        <f>IF($A24="","",IFERROR(INDEX('03 Raw Data'!$T$3:$T$722,MATCH($A24,'03 Raw Data'!$S$3:$S$722,0)),""))</f>
        <v/>
      </c>
    </row>
    <row r="25">
      <c r="A25" s="23">
        <f>IFERROR(IF(OR('03 Raw Data'!A23="",'03 Raw Data'!A23=0),"",'03 Raw Data'!A23),"")</f>
        <v/>
      </c>
      <c r="B25" s="24">
        <f>IF($A25="","",IFERROR(INDEX('03 Raw Data'!$B$3:$B$722,MATCH($A25,'03 Raw Data'!$A$3:$A$722,0)),""))</f>
        <v/>
      </c>
      <c r="C25" s="24">
        <f>IF($A25="","",IFERROR(INDEX('03 Raw Data'!$E$3:$E$722,MATCH($A25,'03 Raw Data'!$D$3:$D$722,0)),""))</f>
        <v/>
      </c>
      <c r="D25" s="24">
        <f>IF($A25="","",IFERROR(INDEX('03 Raw Data'!$H$3:$H$722,MATCH($A25,'03 Raw Data'!$G$3:$G$722,0)),""))</f>
        <v/>
      </c>
      <c r="E25" s="24">
        <f>IF($A25="","",IFERROR(INDEX('03 Raw Data'!$K$3:$K$722,MATCH($A25,'03 Raw Data'!$J$3:$J$722,0)),""))</f>
        <v/>
      </c>
      <c r="F25" s="24">
        <f>IF($A25="","",IFERROR(INDEX('03 Raw Data'!$N$3:$N$722,MATCH($A25,'03 Raw Data'!$M$3:$M$722,0)),""))</f>
        <v/>
      </c>
      <c r="G25" s="24">
        <f>IF($A25="","",IFERROR(INDEX('03 Raw Data'!$Q$3:$Q$722,MATCH($A25,'03 Raw Data'!$P$3:$P$722,0)),""))</f>
        <v/>
      </c>
      <c r="H25" s="24">
        <f>IF($A25="","",IFERROR(INDEX('03 Raw Data'!$T$3:$T$722,MATCH($A25,'03 Raw Data'!$S$3:$S$722,0)),""))</f>
        <v/>
      </c>
    </row>
    <row r="26">
      <c r="A26" s="23">
        <f>IFERROR(IF(OR('03 Raw Data'!A24="",'03 Raw Data'!A24=0),"",'03 Raw Data'!A24),"")</f>
        <v/>
      </c>
      <c r="B26" s="24">
        <f>IF($A26="","",IFERROR(INDEX('03 Raw Data'!$B$3:$B$722,MATCH($A26,'03 Raw Data'!$A$3:$A$722,0)),""))</f>
        <v/>
      </c>
      <c r="C26" s="24">
        <f>IF($A26="","",IFERROR(INDEX('03 Raw Data'!$E$3:$E$722,MATCH($A26,'03 Raw Data'!$D$3:$D$722,0)),""))</f>
        <v/>
      </c>
      <c r="D26" s="24">
        <f>IF($A26="","",IFERROR(INDEX('03 Raw Data'!$H$3:$H$722,MATCH($A26,'03 Raw Data'!$G$3:$G$722,0)),""))</f>
        <v/>
      </c>
      <c r="E26" s="24">
        <f>IF($A26="","",IFERROR(INDEX('03 Raw Data'!$K$3:$K$722,MATCH($A26,'03 Raw Data'!$J$3:$J$722,0)),""))</f>
        <v/>
      </c>
      <c r="F26" s="24">
        <f>IF($A26="","",IFERROR(INDEX('03 Raw Data'!$N$3:$N$722,MATCH($A26,'03 Raw Data'!$M$3:$M$722,0)),""))</f>
        <v/>
      </c>
      <c r="G26" s="24">
        <f>IF($A26="","",IFERROR(INDEX('03 Raw Data'!$Q$3:$Q$722,MATCH($A26,'03 Raw Data'!$P$3:$P$722,0)),""))</f>
        <v/>
      </c>
      <c r="H26" s="24">
        <f>IF($A26="","",IFERROR(INDEX('03 Raw Data'!$T$3:$T$722,MATCH($A26,'03 Raw Data'!$S$3:$S$722,0)),""))</f>
        <v/>
      </c>
    </row>
    <row r="27">
      <c r="A27" s="23">
        <f>IFERROR(IF(OR('03 Raw Data'!A25="",'03 Raw Data'!A25=0),"",'03 Raw Data'!A25),"")</f>
        <v/>
      </c>
      <c r="B27" s="24">
        <f>IF($A27="","",IFERROR(INDEX('03 Raw Data'!$B$3:$B$722,MATCH($A27,'03 Raw Data'!$A$3:$A$722,0)),""))</f>
        <v/>
      </c>
      <c r="C27" s="24">
        <f>IF($A27="","",IFERROR(INDEX('03 Raw Data'!$E$3:$E$722,MATCH($A27,'03 Raw Data'!$D$3:$D$722,0)),""))</f>
        <v/>
      </c>
      <c r="D27" s="24">
        <f>IF($A27="","",IFERROR(INDEX('03 Raw Data'!$H$3:$H$722,MATCH($A27,'03 Raw Data'!$G$3:$G$722,0)),""))</f>
        <v/>
      </c>
      <c r="E27" s="24">
        <f>IF($A27="","",IFERROR(INDEX('03 Raw Data'!$K$3:$K$722,MATCH($A27,'03 Raw Data'!$J$3:$J$722,0)),""))</f>
        <v/>
      </c>
      <c r="F27" s="24">
        <f>IF($A27="","",IFERROR(INDEX('03 Raw Data'!$N$3:$N$722,MATCH($A27,'03 Raw Data'!$M$3:$M$722,0)),""))</f>
        <v/>
      </c>
      <c r="G27" s="24">
        <f>IF($A27="","",IFERROR(INDEX('03 Raw Data'!$Q$3:$Q$722,MATCH($A27,'03 Raw Data'!$P$3:$P$722,0)),""))</f>
        <v/>
      </c>
      <c r="H27" s="24">
        <f>IF($A27="","",IFERROR(INDEX('03 Raw Data'!$T$3:$T$722,MATCH($A27,'03 Raw Data'!$S$3:$S$722,0)),""))</f>
        <v/>
      </c>
    </row>
    <row r="28">
      <c r="A28" s="23">
        <f>IFERROR(IF(OR('03 Raw Data'!A26="",'03 Raw Data'!A26=0),"",'03 Raw Data'!A26),"")</f>
        <v/>
      </c>
      <c r="B28" s="24">
        <f>IF($A28="","",IFERROR(INDEX('03 Raw Data'!$B$3:$B$722,MATCH($A28,'03 Raw Data'!$A$3:$A$722,0)),""))</f>
        <v/>
      </c>
      <c r="C28" s="24">
        <f>IF($A28="","",IFERROR(INDEX('03 Raw Data'!$E$3:$E$722,MATCH($A28,'03 Raw Data'!$D$3:$D$722,0)),""))</f>
        <v/>
      </c>
      <c r="D28" s="24">
        <f>IF($A28="","",IFERROR(INDEX('03 Raw Data'!$H$3:$H$722,MATCH($A28,'03 Raw Data'!$G$3:$G$722,0)),""))</f>
        <v/>
      </c>
      <c r="E28" s="24">
        <f>IF($A28="","",IFERROR(INDEX('03 Raw Data'!$K$3:$K$722,MATCH($A28,'03 Raw Data'!$J$3:$J$722,0)),""))</f>
        <v/>
      </c>
      <c r="F28" s="24">
        <f>IF($A28="","",IFERROR(INDEX('03 Raw Data'!$N$3:$N$722,MATCH($A28,'03 Raw Data'!$M$3:$M$722,0)),""))</f>
        <v/>
      </c>
      <c r="G28" s="24">
        <f>IF($A28="","",IFERROR(INDEX('03 Raw Data'!$Q$3:$Q$722,MATCH($A28,'03 Raw Data'!$P$3:$P$722,0)),""))</f>
        <v/>
      </c>
      <c r="H28" s="24">
        <f>IF($A28="","",IFERROR(INDEX('03 Raw Data'!$T$3:$T$722,MATCH($A28,'03 Raw Data'!$S$3:$S$722,0)),""))</f>
        <v/>
      </c>
    </row>
    <row r="29">
      <c r="A29" s="23">
        <f>IFERROR(IF(OR('03 Raw Data'!A27="",'03 Raw Data'!A27=0),"",'03 Raw Data'!A27),"")</f>
        <v/>
      </c>
      <c r="B29" s="24">
        <f>IF($A29="","",IFERROR(INDEX('03 Raw Data'!$B$3:$B$722,MATCH($A29,'03 Raw Data'!$A$3:$A$722,0)),""))</f>
        <v/>
      </c>
      <c r="C29" s="24">
        <f>IF($A29="","",IFERROR(INDEX('03 Raw Data'!$E$3:$E$722,MATCH($A29,'03 Raw Data'!$D$3:$D$722,0)),""))</f>
        <v/>
      </c>
      <c r="D29" s="24">
        <f>IF($A29="","",IFERROR(INDEX('03 Raw Data'!$H$3:$H$722,MATCH($A29,'03 Raw Data'!$G$3:$G$722,0)),""))</f>
        <v/>
      </c>
      <c r="E29" s="24">
        <f>IF($A29="","",IFERROR(INDEX('03 Raw Data'!$K$3:$K$722,MATCH($A29,'03 Raw Data'!$J$3:$J$722,0)),""))</f>
        <v/>
      </c>
      <c r="F29" s="24">
        <f>IF($A29="","",IFERROR(INDEX('03 Raw Data'!$N$3:$N$722,MATCH($A29,'03 Raw Data'!$M$3:$M$722,0)),""))</f>
        <v/>
      </c>
      <c r="G29" s="24">
        <f>IF($A29="","",IFERROR(INDEX('03 Raw Data'!$Q$3:$Q$722,MATCH($A29,'03 Raw Data'!$P$3:$P$722,0)),""))</f>
        <v/>
      </c>
      <c r="H29" s="24">
        <f>IF($A29="","",IFERROR(INDEX('03 Raw Data'!$T$3:$T$722,MATCH($A29,'03 Raw Data'!$S$3:$S$722,0)),""))</f>
        <v/>
      </c>
    </row>
    <row r="30">
      <c r="A30" s="23">
        <f>IFERROR(IF(OR('03 Raw Data'!A28="",'03 Raw Data'!A28=0),"",'03 Raw Data'!A28),"")</f>
        <v/>
      </c>
      <c r="B30" s="24">
        <f>IF($A30="","",IFERROR(INDEX('03 Raw Data'!$B$3:$B$722,MATCH($A30,'03 Raw Data'!$A$3:$A$722,0)),""))</f>
        <v/>
      </c>
      <c r="C30" s="24">
        <f>IF($A30="","",IFERROR(INDEX('03 Raw Data'!$E$3:$E$722,MATCH($A30,'03 Raw Data'!$D$3:$D$722,0)),""))</f>
        <v/>
      </c>
      <c r="D30" s="24">
        <f>IF($A30="","",IFERROR(INDEX('03 Raw Data'!$H$3:$H$722,MATCH($A30,'03 Raw Data'!$G$3:$G$722,0)),""))</f>
        <v/>
      </c>
      <c r="E30" s="24">
        <f>IF($A30="","",IFERROR(INDEX('03 Raw Data'!$K$3:$K$722,MATCH($A30,'03 Raw Data'!$J$3:$J$722,0)),""))</f>
        <v/>
      </c>
      <c r="F30" s="24">
        <f>IF($A30="","",IFERROR(INDEX('03 Raw Data'!$N$3:$N$722,MATCH($A30,'03 Raw Data'!$M$3:$M$722,0)),""))</f>
        <v/>
      </c>
      <c r="G30" s="24">
        <f>IF($A30="","",IFERROR(INDEX('03 Raw Data'!$Q$3:$Q$722,MATCH($A30,'03 Raw Data'!$P$3:$P$722,0)),""))</f>
        <v/>
      </c>
      <c r="H30" s="24">
        <f>IF($A30="","",IFERROR(INDEX('03 Raw Data'!$T$3:$T$722,MATCH($A30,'03 Raw Data'!$S$3:$S$722,0)),""))</f>
        <v/>
      </c>
    </row>
    <row r="31">
      <c r="A31" s="23">
        <f>IFERROR(IF(OR('03 Raw Data'!A29="",'03 Raw Data'!A29=0),"",'03 Raw Data'!A29),"")</f>
        <v/>
      </c>
      <c r="B31" s="24">
        <f>IF($A31="","",IFERROR(INDEX('03 Raw Data'!$B$3:$B$722,MATCH($A31,'03 Raw Data'!$A$3:$A$722,0)),""))</f>
        <v/>
      </c>
      <c r="C31" s="24">
        <f>IF($A31="","",IFERROR(INDEX('03 Raw Data'!$E$3:$E$722,MATCH($A31,'03 Raw Data'!$D$3:$D$722,0)),""))</f>
        <v/>
      </c>
      <c r="D31" s="24">
        <f>IF($A31="","",IFERROR(INDEX('03 Raw Data'!$H$3:$H$722,MATCH($A31,'03 Raw Data'!$G$3:$G$722,0)),""))</f>
        <v/>
      </c>
      <c r="E31" s="24">
        <f>IF($A31="","",IFERROR(INDEX('03 Raw Data'!$K$3:$K$722,MATCH($A31,'03 Raw Data'!$J$3:$J$722,0)),""))</f>
        <v/>
      </c>
      <c r="F31" s="24">
        <f>IF($A31="","",IFERROR(INDEX('03 Raw Data'!$N$3:$N$722,MATCH($A31,'03 Raw Data'!$M$3:$M$722,0)),""))</f>
        <v/>
      </c>
      <c r="G31" s="24">
        <f>IF($A31="","",IFERROR(INDEX('03 Raw Data'!$Q$3:$Q$722,MATCH($A31,'03 Raw Data'!$P$3:$P$722,0)),""))</f>
        <v/>
      </c>
      <c r="H31" s="24">
        <f>IF($A31="","",IFERROR(INDEX('03 Raw Data'!$T$3:$T$722,MATCH($A31,'03 Raw Data'!$S$3:$S$722,0)),""))</f>
        <v/>
      </c>
    </row>
    <row r="32">
      <c r="A32" s="23">
        <f>IFERROR(IF(OR('03 Raw Data'!A30="",'03 Raw Data'!A30=0),"",'03 Raw Data'!A30),"")</f>
        <v/>
      </c>
      <c r="B32" s="24">
        <f>IF($A32="","",IFERROR(INDEX('03 Raw Data'!$B$3:$B$722,MATCH($A32,'03 Raw Data'!$A$3:$A$722,0)),""))</f>
        <v/>
      </c>
      <c r="C32" s="24">
        <f>IF($A32="","",IFERROR(INDEX('03 Raw Data'!$E$3:$E$722,MATCH($A32,'03 Raw Data'!$D$3:$D$722,0)),""))</f>
        <v/>
      </c>
      <c r="D32" s="24">
        <f>IF($A32="","",IFERROR(INDEX('03 Raw Data'!$H$3:$H$722,MATCH($A32,'03 Raw Data'!$G$3:$G$722,0)),""))</f>
        <v/>
      </c>
      <c r="E32" s="24">
        <f>IF($A32="","",IFERROR(INDEX('03 Raw Data'!$K$3:$K$722,MATCH($A32,'03 Raw Data'!$J$3:$J$722,0)),""))</f>
        <v/>
      </c>
      <c r="F32" s="24">
        <f>IF($A32="","",IFERROR(INDEX('03 Raw Data'!$N$3:$N$722,MATCH($A32,'03 Raw Data'!$M$3:$M$722,0)),""))</f>
        <v/>
      </c>
      <c r="G32" s="24">
        <f>IF($A32="","",IFERROR(INDEX('03 Raw Data'!$Q$3:$Q$722,MATCH($A32,'03 Raw Data'!$P$3:$P$722,0)),""))</f>
        <v/>
      </c>
      <c r="H32" s="24">
        <f>IF($A32="","",IFERROR(INDEX('03 Raw Data'!$T$3:$T$722,MATCH($A32,'03 Raw Data'!$S$3:$S$722,0)),""))</f>
        <v/>
      </c>
    </row>
    <row r="33">
      <c r="A33" s="23">
        <f>IFERROR(IF(OR('03 Raw Data'!A31="",'03 Raw Data'!A31=0),"",'03 Raw Data'!A31),"")</f>
        <v/>
      </c>
      <c r="B33" s="24">
        <f>IF($A33="","",IFERROR(INDEX('03 Raw Data'!$B$3:$B$722,MATCH($A33,'03 Raw Data'!$A$3:$A$722,0)),""))</f>
        <v/>
      </c>
      <c r="C33" s="24">
        <f>IF($A33="","",IFERROR(INDEX('03 Raw Data'!$E$3:$E$722,MATCH($A33,'03 Raw Data'!$D$3:$D$722,0)),""))</f>
        <v/>
      </c>
      <c r="D33" s="24">
        <f>IF($A33="","",IFERROR(INDEX('03 Raw Data'!$H$3:$H$722,MATCH($A33,'03 Raw Data'!$G$3:$G$722,0)),""))</f>
        <v/>
      </c>
      <c r="E33" s="24">
        <f>IF($A33="","",IFERROR(INDEX('03 Raw Data'!$K$3:$K$722,MATCH($A33,'03 Raw Data'!$J$3:$J$722,0)),""))</f>
        <v/>
      </c>
      <c r="F33" s="24">
        <f>IF($A33="","",IFERROR(INDEX('03 Raw Data'!$N$3:$N$722,MATCH($A33,'03 Raw Data'!$M$3:$M$722,0)),""))</f>
        <v/>
      </c>
      <c r="G33" s="24">
        <f>IF($A33="","",IFERROR(INDEX('03 Raw Data'!$Q$3:$Q$722,MATCH($A33,'03 Raw Data'!$P$3:$P$722,0)),""))</f>
        <v/>
      </c>
      <c r="H33" s="24">
        <f>IF($A33="","",IFERROR(INDEX('03 Raw Data'!$T$3:$T$722,MATCH($A33,'03 Raw Data'!$S$3:$S$722,0)),""))</f>
        <v/>
      </c>
    </row>
    <row r="34">
      <c r="A34" s="23">
        <f>IFERROR(IF(OR('03 Raw Data'!A32="",'03 Raw Data'!A32=0),"",'03 Raw Data'!A32),"")</f>
        <v/>
      </c>
      <c r="B34" s="24">
        <f>IF($A34="","",IFERROR(INDEX('03 Raw Data'!$B$3:$B$722,MATCH($A34,'03 Raw Data'!$A$3:$A$722,0)),""))</f>
        <v/>
      </c>
      <c r="C34" s="24">
        <f>IF($A34="","",IFERROR(INDEX('03 Raw Data'!$E$3:$E$722,MATCH($A34,'03 Raw Data'!$D$3:$D$722,0)),""))</f>
        <v/>
      </c>
      <c r="D34" s="24">
        <f>IF($A34="","",IFERROR(INDEX('03 Raw Data'!$H$3:$H$722,MATCH($A34,'03 Raw Data'!$G$3:$G$722,0)),""))</f>
        <v/>
      </c>
      <c r="E34" s="24">
        <f>IF($A34="","",IFERROR(INDEX('03 Raw Data'!$K$3:$K$722,MATCH($A34,'03 Raw Data'!$J$3:$J$722,0)),""))</f>
        <v/>
      </c>
      <c r="F34" s="24">
        <f>IF($A34="","",IFERROR(INDEX('03 Raw Data'!$N$3:$N$722,MATCH($A34,'03 Raw Data'!$M$3:$M$722,0)),""))</f>
        <v/>
      </c>
      <c r="G34" s="24">
        <f>IF($A34="","",IFERROR(INDEX('03 Raw Data'!$Q$3:$Q$722,MATCH($A34,'03 Raw Data'!$P$3:$P$722,0)),""))</f>
        <v/>
      </c>
      <c r="H34" s="24">
        <f>IF($A34="","",IFERROR(INDEX('03 Raw Data'!$T$3:$T$722,MATCH($A34,'03 Raw Data'!$S$3:$S$722,0)),""))</f>
        <v/>
      </c>
    </row>
    <row r="35">
      <c r="A35" s="23">
        <f>IFERROR(IF(OR('03 Raw Data'!A33="",'03 Raw Data'!A33=0),"",'03 Raw Data'!A33),"")</f>
        <v/>
      </c>
      <c r="B35" s="24">
        <f>IF($A35="","",IFERROR(INDEX('03 Raw Data'!$B$3:$B$722,MATCH($A35,'03 Raw Data'!$A$3:$A$722,0)),""))</f>
        <v/>
      </c>
      <c r="C35" s="24">
        <f>IF($A35="","",IFERROR(INDEX('03 Raw Data'!$E$3:$E$722,MATCH($A35,'03 Raw Data'!$D$3:$D$722,0)),""))</f>
        <v/>
      </c>
      <c r="D35" s="24">
        <f>IF($A35="","",IFERROR(INDEX('03 Raw Data'!$H$3:$H$722,MATCH($A35,'03 Raw Data'!$G$3:$G$722,0)),""))</f>
        <v/>
      </c>
      <c r="E35" s="24">
        <f>IF($A35="","",IFERROR(INDEX('03 Raw Data'!$K$3:$K$722,MATCH($A35,'03 Raw Data'!$J$3:$J$722,0)),""))</f>
        <v/>
      </c>
      <c r="F35" s="24">
        <f>IF($A35="","",IFERROR(INDEX('03 Raw Data'!$N$3:$N$722,MATCH($A35,'03 Raw Data'!$M$3:$M$722,0)),""))</f>
        <v/>
      </c>
      <c r="G35" s="24">
        <f>IF($A35="","",IFERROR(INDEX('03 Raw Data'!$Q$3:$Q$722,MATCH($A35,'03 Raw Data'!$P$3:$P$722,0)),""))</f>
        <v/>
      </c>
      <c r="H35" s="24">
        <f>IF($A35="","",IFERROR(INDEX('03 Raw Data'!$T$3:$T$722,MATCH($A35,'03 Raw Data'!$S$3:$S$722,0)),""))</f>
        <v/>
      </c>
    </row>
    <row r="36">
      <c r="A36" s="23">
        <f>IFERROR(IF(OR('03 Raw Data'!A34="",'03 Raw Data'!A34=0),"",'03 Raw Data'!A34),"")</f>
        <v/>
      </c>
      <c r="B36" s="24">
        <f>IF($A36="","",IFERROR(INDEX('03 Raw Data'!$B$3:$B$722,MATCH($A36,'03 Raw Data'!$A$3:$A$722,0)),""))</f>
        <v/>
      </c>
      <c r="C36" s="24">
        <f>IF($A36="","",IFERROR(INDEX('03 Raw Data'!$E$3:$E$722,MATCH($A36,'03 Raw Data'!$D$3:$D$722,0)),""))</f>
        <v/>
      </c>
      <c r="D36" s="24">
        <f>IF($A36="","",IFERROR(INDEX('03 Raw Data'!$H$3:$H$722,MATCH($A36,'03 Raw Data'!$G$3:$G$722,0)),""))</f>
        <v/>
      </c>
      <c r="E36" s="24">
        <f>IF($A36="","",IFERROR(INDEX('03 Raw Data'!$K$3:$K$722,MATCH($A36,'03 Raw Data'!$J$3:$J$722,0)),""))</f>
        <v/>
      </c>
      <c r="F36" s="24">
        <f>IF($A36="","",IFERROR(INDEX('03 Raw Data'!$N$3:$N$722,MATCH($A36,'03 Raw Data'!$M$3:$M$722,0)),""))</f>
        <v/>
      </c>
      <c r="G36" s="24">
        <f>IF($A36="","",IFERROR(INDEX('03 Raw Data'!$Q$3:$Q$722,MATCH($A36,'03 Raw Data'!$P$3:$P$722,0)),""))</f>
        <v/>
      </c>
      <c r="H36" s="24">
        <f>IF($A36="","",IFERROR(INDEX('03 Raw Data'!$T$3:$T$722,MATCH($A36,'03 Raw Data'!$S$3:$S$722,0)),""))</f>
        <v/>
      </c>
    </row>
    <row r="37">
      <c r="A37" s="23">
        <f>IFERROR(IF(OR('03 Raw Data'!A35="",'03 Raw Data'!A35=0),"",'03 Raw Data'!A35),"")</f>
        <v/>
      </c>
      <c r="B37" s="24">
        <f>IF($A37="","",IFERROR(INDEX('03 Raw Data'!$B$3:$B$722,MATCH($A37,'03 Raw Data'!$A$3:$A$722,0)),""))</f>
        <v/>
      </c>
      <c r="C37" s="24">
        <f>IF($A37="","",IFERROR(INDEX('03 Raw Data'!$E$3:$E$722,MATCH($A37,'03 Raw Data'!$D$3:$D$722,0)),""))</f>
        <v/>
      </c>
      <c r="D37" s="24">
        <f>IF($A37="","",IFERROR(INDEX('03 Raw Data'!$H$3:$H$722,MATCH($A37,'03 Raw Data'!$G$3:$G$722,0)),""))</f>
        <v/>
      </c>
      <c r="E37" s="24">
        <f>IF($A37="","",IFERROR(INDEX('03 Raw Data'!$K$3:$K$722,MATCH($A37,'03 Raw Data'!$J$3:$J$722,0)),""))</f>
        <v/>
      </c>
      <c r="F37" s="24">
        <f>IF($A37="","",IFERROR(INDEX('03 Raw Data'!$N$3:$N$722,MATCH($A37,'03 Raw Data'!$M$3:$M$722,0)),""))</f>
        <v/>
      </c>
      <c r="G37" s="24">
        <f>IF($A37="","",IFERROR(INDEX('03 Raw Data'!$Q$3:$Q$722,MATCH($A37,'03 Raw Data'!$P$3:$P$722,0)),""))</f>
        <v/>
      </c>
      <c r="H37" s="24">
        <f>IF($A37="","",IFERROR(INDEX('03 Raw Data'!$T$3:$T$722,MATCH($A37,'03 Raw Data'!$S$3:$S$722,0)),""))</f>
        <v/>
      </c>
    </row>
    <row r="38">
      <c r="A38" s="23">
        <f>IFERROR(IF(OR('03 Raw Data'!A36="",'03 Raw Data'!A36=0),"",'03 Raw Data'!A36),"")</f>
        <v/>
      </c>
      <c r="B38" s="24">
        <f>IF($A38="","",IFERROR(INDEX('03 Raw Data'!$B$3:$B$722,MATCH($A38,'03 Raw Data'!$A$3:$A$722,0)),""))</f>
        <v/>
      </c>
      <c r="C38" s="24">
        <f>IF($A38="","",IFERROR(INDEX('03 Raw Data'!$E$3:$E$722,MATCH($A38,'03 Raw Data'!$D$3:$D$722,0)),""))</f>
        <v/>
      </c>
      <c r="D38" s="24">
        <f>IF($A38="","",IFERROR(INDEX('03 Raw Data'!$H$3:$H$722,MATCH($A38,'03 Raw Data'!$G$3:$G$722,0)),""))</f>
        <v/>
      </c>
      <c r="E38" s="24">
        <f>IF($A38="","",IFERROR(INDEX('03 Raw Data'!$K$3:$K$722,MATCH($A38,'03 Raw Data'!$J$3:$J$722,0)),""))</f>
        <v/>
      </c>
      <c r="F38" s="24">
        <f>IF($A38="","",IFERROR(INDEX('03 Raw Data'!$N$3:$N$722,MATCH($A38,'03 Raw Data'!$M$3:$M$722,0)),""))</f>
        <v/>
      </c>
      <c r="G38" s="24">
        <f>IF($A38="","",IFERROR(INDEX('03 Raw Data'!$Q$3:$Q$722,MATCH($A38,'03 Raw Data'!$P$3:$P$722,0)),""))</f>
        <v/>
      </c>
      <c r="H38" s="24">
        <f>IF($A38="","",IFERROR(INDEX('03 Raw Data'!$T$3:$T$722,MATCH($A38,'03 Raw Data'!$S$3:$S$722,0)),""))</f>
        <v/>
      </c>
    </row>
    <row r="39">
      <c r="A39" s="23">
        <f>IFERROR(IF(OR('03 Raw Data'!A37="",'03 Raw Data'!A37=0),"",'03 Raw Data'!A37),"")</f>
        <v/>
      </c>
      <c r="B39" s="24">
        <f>IF($A39="","",IFERROR(INDEX('03 Raw Data'!$B$3:$B$722,MATCH($A39,'03 Raw Data'!$A$3:$A$722,0)),""))</f>
        <v/>
      </c>
      <c r="C39" s="24">
        <f>IF($A39="","",IFERROR(INDEX('03 Raw Data'!$E$3:$E$722,MATCH($A39,'03 Raw Data'!$D$3:$D$722,0)),""))</f>
        <v/>
      </c>
      <c r="D39" s="24">
        <f>IF($A39="","",IFERROR(INDEX('03 Raw Data'!$H$3:$H$722,MATCH($A39,'03 Raw Data'!$G$3:$G$722,0)),""))</f>
        <v/>
      </c>
      <c r="E39" s="24">
        <f>IF($A39="","",IFERROR(INDEX('03 Raw Data'!$K$3:$K$722,MATCH($A39,'03 Raw Data'!$J$3:$J$722,0)),""))</f>
        <v/>
      </c>
      <c r="F39" s="24">
        <f>IF($A39="","",IFERROR(INDEX('03 Raw Data'!$N$3:$N$722,MATCH($A39,'03 Raw Data'!$M$3:$M$722,0)),""))</f>
        <v/>
      </c>
      <c r="G39" s="24">
        <f>IF($A39="","",IFERROR(INDEX('03 Raw Data'!$Q$3:$Q$722,MATCH($A39,'03 Raw Data'!$P$3:$P$722,0)),""))</f>
        <v/>
      </c>
      <c r="H39" s="24">
        <f>IF($A39="","",IFERROR(INDEX('03 Raw Data'!$T$3:$T$722,MATCH($A39,'03 Raw Data'!$S$3:$S$722,0)),""))</f>
        <v/>
      </c>
    </row>
    <row r="40">
      <c r="A40" s="23">
        <f>IFERROR(IF(OR('03 Raw Data'!A38="",'03 Raw Data'!A38=0),"",'03 Raw Data'!A38),"")</f>
        <v/>
      </c>
      <c r="B40" s="24">
        <f>IF($A40="","",IFERROR(INDEX('03 Raw Data'!$B$3:$B$722,MATCH($A40,'03 Raw Data'!$A$3:$A$722,0)),""))</f>
        <v/>
      </c>
      <c r="C40" s="24">
        <f>IF($A40="","",IFERROR(INDEX('03 Raw Data'!$E$3:$E$722,MATCH($A40,'03 Raw Data'!$D$3:$D$722,0)),""))</f>
        <v/>
      </c>
      <c r="D40" s="24">
        <f>IF($A40="","",IFERROR(INDEX('03 Raw Data'!$H$3:$H$722,MATCH($A40,'03 Raw Data'!$G$3:$G$722,0)),""))</f>
        <v/>
      </c>
      <c r="E40" s="24">
        <f>IF($A40="","",IFERROR(INDEX('03 Raw Data'!$K$3:$K$722,MATCH($A40,'03 Raw Data'!$J$3:$J$722,0)),""))</f>
        <v/>
      </c>
      <c r="F40" s="24">
        <f>IF($A40="","",IFERROR(INDEX('03 Raw Data'!$N$3:$N$722,MATCH($A40,'03 Raw Data'!$M$3:$M$722,0)),""))</f>
        <v/>
      </c>
      <c r="G40" s="24">
        <f>IF($A40="","",IFERROR(INDEX('03 Raw Data'!$Q$3:$Q$722,MATCH($A40,'03 Raw Data'!$P$3:$P$722,0)),""))</f>
        <v/>
      </c>
      <c r="H40" s="24">
        <f>IF($A40="","",IFERROR(INDEX('03 Raw Data'!$T$3:$T$722,MATCH($A40,'03 Raw Data'!$S$3:$S$722,0)),""))</f>
        <v/>
      </c>
    </row>
    <row r="41">
      <c r="A41" s="23">
        <f>IFERROR(IF(OR('03 Raw Data'!A39="",'03 Raw Data'!A39=0),"",'03 Raw Data'!A39),"")</f>
        <v/>
      </c>
      <c r="B41" s="24">
        <f>IF($A41="","",IFERROR(INDEX('03 Raw Data'!$B$3:$B$722,MATCH($A41,'03 Raw Data'!$A$3:$A$722,0)),""))</f>
        <v/>
      </c>
      <c r="C41" s="24">
        <f>IF($A41="","",IFERROR(INDEX('03 Raw Data'!$E$3:$E$722,MATCH($A41,'03 Raw Data'!$D$3:$D$722,0)),""))</f>
        <v/>
      </c>
      <c r="D41" s="24">
        <f>IF($A41="","",IFERROR(INDEX('03 Raw Data'!$H$3:$H$722,MATCH($A41,'03 Raw Data'!$G$3:$G$722,0)),""))</f>
        <v/>
      </c>
      <c r="E41" s="24">
        <f>IF($A41="","",IFERROR(INDEX('03 Raw Data'!$K$3:$K$722,MATCH($A41,'03 Raw Data'!$J$3:$J$722,0)),""))</f>
        <v/>
      </c>
      <c r="F41" s="24">
        <f>IF($A41="","",IFERROR(INDEX('03 Raw Data'!$N$3:$N$722,MATCH($A41,'03 Raw Data'!$M$3:$M$722,0)),""))</f>
        <v/>
      </c>
      <c r="G41" s="24">
        <f>IF($A41="","",IFERROR(INDEX('03 Raw Data'!$Q$3:$Q$722,MATCH($A41,'03 Raw Data'!$P$3:$P$722,0)),""))</f>
        <v/>
      </c>
      <c r="H41" s="24">
        <f>IF($A41="","",IFERROR(INDEX('03 Raw Data'!$T$3:$T$722,MATCH($A41,'03 Raw Data'!$S$3:$S$722,0)),""))</f>
        <v/>
      </c>
    </row>
    <row r="42">
      <c r="A42" s="23">
        <f>IFERROR(IF(OR('03 Raw Data'!A40="",'03 Raw Data'!A40=0),"",'03 Raw Data'!A40),"")</f>
        <v/>
      </c>
      <c r="B42" s="24">
        <f>IF($A42="","",IFERROR(INDEX('03 Raw Data'!$B$3:$B$722,MATCH($A42,'03 Raw Data'!$A$3:$A$722,0)),""))</f>
        <v/>
      </c>
      <c r="C42" s="24">
        <f>IF($A42="","",IFERROR(INDEX('03 Raw Data'!$E$3:$E$722,MATCH($A42,'03 Raw Data'!$D$3:$D$722,0)),""))</f>
        <v/>
      </c>
      <c r="D42" s="24">
        <f>IF($A42="","",IFERROR(INDEX('03 Raw Data'!$H$3:$H$722,MATCH($A42,'03 Raw Data'!$G$3:$G$722,0)),""))</f>
        <v/>
      </c>
      <c r="E42" s="24">
        <f>IF($A42="","",IFERROR(INDEX('03 Raw Data'!$K$3:$K$722,MATCH($A42,'03 Raw Data'!$J$3:$J$722,0)),""))</f>
        <v/>
      </c>
      <c r="F42" s="24">
        <f>IF($A42="","",IFERROR(INDEX('03 Raw Data'!$N$3:$N$722,MATCH($A42,'03 Raw Data'!$M$3:$M$722,0)),""))</f>
        <v/>
      </c>
      <c r="G42" s="24">
        <f>IF($A42="","",IFERROR(INDEX('03 Raw Data'!$Q$3:$Q$722,MATCH($A42,'03 Raw Data'!$P$3:$P$722,0)),""))</f>
        <v/>
      </c>
      <c r="H42" s="24">
        <f>IF($A42="","",IFERROR(INDEX('03 Raw Data'!$T$3:$T$722,MATCH($A42,'03 Raw Data'!$S$3:$S$722,0)),""))</f>
        <v/>
      </c>
    </row>
    <row r="43">
      <c r="A43" s="23">
        <f>IFERROR(IF(OR('03 Raw Data'!A41="",'03 Raw Data'!A41=0),"",'03 Raw Data'!A41),"")</f>
        <v/>
      </c>
      <c r="B43" s="24">
        <f>IF($A43="","",IFERROR(INDEX('03 Raw Data'!$B$3:$B$722,MATCH($A43,'03 Raw Data'!$A$3:$A$722,0)),""))</f>
        <v/>
      </c>
      <c r="C43" s="24">
        <f>IF($A43="","",IFERROR(INDEX('03 Raw Data'!$E$3:$E$722,MATCH($A43,'03 Raw Data'!$D$3:$D$722,0)),""))</f>
        <v/>
      </c>
      <c r="D43" s="24">
        <f>IF($A43="","",IFERROR(INDEX('03 Raw Data'!$H$3:$H$722,MATCH($A43,'03 Raw Data'!$G$3:$G$722,0)),""))</f>
        <v/>
      </c>
      <c r="E43" s="24">
        <f>IF($A43="","",IFERROR(INDEX('03 Raw Data'!$K$3:$K$722,MATCH($A43,'03 Raw Data'!$J$3:$J$722,0)),""))</f>
        <v/>
      </c>
      <c r="F43" s="24">
        <f>IF($A43="","",IFERROR(INDEX('03 Raw Data'!$N$3:$N$722,MATCH($A43,'03 Raw Data'!$M$3:$M$722,0)),""))</f>
        <v/>
      </c>
      <c r="G43" s="24">
        <f>IF($A43="","",IFERROR(INDEX('03 Raw Data'!$Q$3:$Q$722,MATCH($A43,'03 Raw Data'!$P$3:$P$722,0)),""))</f>
        <v/>
      </c>
      <c r="H43" s="24">
        <f>IF($A43="","",IFERROR(INDEX('03 Raw Data'!$T$3:$T$722,MATCH($A43,'03 Raw Data'!$S$3:$S$722,0)),""))</f>
        <v/>
      </c>
    </row>
    <row r="44">
      <c r="A44" s="23">
        <f>IFERROR(IF(OR('03 Raw Data'!A42="",'03 Raw Data'!A42=0),"",'03 Raw Data'!A42),"")</f>
        <v/>
      </c>
      <c r="B44" s="24">
        <f>IF($A44="","",IFERROR(INDEX('03 Raw Data'!$B$3:$B$722,MATCH($A44,'03 Raw Data'!$A$3:$A$722,0)),""))</f>
        <v/>
      </c>
      <c r="C44" s="24">
        <f>IF($A44="","",IFERROR(INDEX('03 Raw Data'!$E$3:$E$722,MATCH($A44,'03 Raw Data'!$D$3:$D$722,0)),""))</f>
        <v/>
      </c>
      <c r="D44" s="24">
        <f>IF($A44="","",IFERROR(INDEX('03 Raw Data'!$H$3:$H$722,MATCH($A44,'03 Raw Data'!$G$3:$G$722,0)),""))</f>
        <v/>
      </c>
      <c r="E44" s="24">
        <f>IF($A44="","",IFERROR(INDEX('03 Raw Data'!$K$3:$K$722,MATCH($A44,'03 Raw Data'!$J$3:$J$722,0)),""))</f>
        <v/>
      </c>
      <c r="F44" s="24">
        <f>IF($A44="","",IFERROR(INDEX('03 Raw Data'!$N$3:$N$722,MATCH($A44,'03 Raw Data'!$M$3:$M$722,0)),""))</f>
        <v/>
      </c>
      <c r="G44" s="24">
        <f>IF($A44="","",IFERROR(INDEX('03 Raw Data'!$Q$3:$Q$722,MATCH($A44,'03 Raw Data'!$P$3:$P$722,0)),""))</f>
        <v/>
      </c>
      <c r="H44" s="24">
        <f>IF($A44="","",IFERROR(INDEX('03 Raw Data'!$T$3:$T$722,MATCH($A44,'03 Raw Data'!$S$3:$S$722,0)),""))</f>
        <v/>
      </c>
    </row>
    <row r="45">
      <c r="A45" s="23">
        <f>IFERROR(IF(OR('03 Raw Data'!A43="",'03 Raw Data'!A43=0),"",'03 Raw Data'!A43),"")</f>
        <v/>
      </c>
      <c r="B45" s="24">
        <f>IF($A45="","",IFERROR(INDEX('03 Raw Data'!$B$3:$B$722,MATCH($A45,'03 Raw Data'!$A$3:$A$722,0)),""))</f>
        <v/>
      </c>
      <c r="C45" s="24">
        <f>IF($A45="","",IFERROR(INDEX('03 Raw Data'!$E$3:$E$722,MATCH($A45,'03 Raw Data'!$D$3:$D$722,0)),""))</f>
        <v/>
      </c>
      <c r="D45" s="24">
        <f>IF($A45="","",IFERROR(INDEX('03 Raw Data'!$H$3:$H$722,MATCH($A45,'03 Raw Data'!$G$3:$G$722,0)),""))</f>
        <v/>
      </c>
      <c r="E45" s="24">
        <f>IF($A45="","",IFERROR(INDEX('03 Raw Data'!$K$3:$K$722,MATCH($A45,'03 Raw Data'!$J$3:$J$722,0)),""))</f>
        <v/>
      </c>
      <c r="F45" s="24">
        <f>IF($A45="","",IFERROR(INDEX('03 Raw Data'!$N$3:$N$722,MATCH($A45,'03 Raw Data'!$M$3:$M$722,0)),""))</f>
        <v/>
      </c>
      <c r="G45" s="24">
        <f>IF($A45="","",IFERROR(INDEX('03 Raw Data'!$Q$3:$Q$722,MATCH($A45,'03 Raw Data'!$P$3:$P$722,0)),""))</f>
        <v/>
      </c>
      <c r="H45" s="24">
        <f>IF($A45="","",IFERROR(INDEX('03 Raw Data'!$T$3:$T$722,MATCH($A45,'03 Raw Data'!$S$3:$S$722,0)),""))</f>
        <v/>
      </c>
    </row>
    <row r="46">
      <c r="A46" s="23">
        <f>IFERROR(IF(OR('03 Raw Data'!A44="",'03 Raw Data'!A44=0),"",'03 Raw Data'!A44),"")</f>
        <v/>
      </c>
      <c r="B46" s="24">
        <f>IF($A46="","",IFERROR(INDEX('03 Raw Data'!$B$3:$B$722,MATCH($A46,'03 Raw Data'!$A$3:$A$722,0)),""))</f>
        <v/>
      </c>
      <c r="C46" s="24">
        <f>IF($A46="","",IFERROR(INDEX('03 Raw Data'!$E$3:$E$722,MATCH($A46,'03 Raw Data'!$D$3:$D$722,0)),""))</f>
        <v/>
      </c>
      <c r="D46" s="24">
        <f>IF($A46="","",IFERROR(INDEX('03 Raw Data'!$H$3:$H$722,MATCH($A46,'03 Raw Data'!$G$3:$G$722,0)),""))</f>
        <v/>
      </c>
      <c r="E46" s="24">
        <f>IF($A46="","",IFERROR(INDEX('03 Raw Data'!$K$3:$K$722,MATCH($A46,'03 Raw Data'!$J$3:$J$722,0)),""))</f>
        <v/>
      </c>
      <c r="F46" s="24">
        <f>IF($A46="","",IFERROR(INDEX('03 Raw Data'!$N$3:$N$722,MATCH($A46,'03 Raw Data'!$M$3:$M$722,0)),""))</f>
        <v/>
      </c>
      <c r="G46" s="24">
        <f>IF($A46="","",IFERROR(INDEX('03 Raw Data'!$Q$3:$Q$722,MATCH($A46,'03 Raw Data'!$P$3:$P$722,0)),""))</f>
        <v/>
      </c>
      <c r="H46" s="24">
        <f>IF($A46="","",IFERROR(INDEX('03 Raw Data'!$T$3:$T$722,MATCH($A46,'03 Raw Data'!$S$3:$S$722,0)),""))</f>
        <v/>
      </c>
    </row>
    <row r="47">
      <c r="A47" s="23">
        <f>IFERROR(IF(OR('03 Raw Data'!A45="",'03 Raw Data'!A45=0),"",'03 Raw Data'!A45),"")</f>
        <v/>
      </c>
      <c r="B47" s="24">
        <f>IF($A47="","",IFERROR(INDEX('03 Raw Data'!$B$3:$B$722,MATCH($A47,'03 Raw Data'!$A$3:$A$722,0)),""))</f>
        <v/>
      </c>
      <c r="C47" s="24">
        <f>IF($A47="","",IFERROR(INDEX('03 Raw Data'!$E$3:$E$722,MATCH($A47,'03 Raw Data'!$D$3:$D$722,0)),""))</f>
        <v/>
      </c>
      <c r="D47" s="24">
        <f>IF($A47="","",IFERROR(INDEX('03 Raw Data'!$H$3:$H$722,MATCH($A47,'03 Raw Data'!$G$3:$G$722,0)),""))</f>
        <v/>
      </c>
      <c r="E47" s="24">
        <f>IF($A47="","",IFERROR(INDEX('03 Raw Data'!$K$3:$K$722,MATCH($A47,'03 Raw Data'!$J$3:$J$722,0)),""))</f>
        <v/>
      </c>
      <c r="F47" s="24">
        <f>IF($A47="","",IFERROR(INDEX('03 Raw Data'!$N$3:$N$722,MATCH($A47,'03 Raw Data'!$M$3:$M$722,0)),""))</f>
        <v/>
      </c>
      <c r="G47" s="24">
        <f>IF($A47="","",IFERROR(INDEX('03 Raw Data'!$Q$3:$Q$722,MATCH($A47,'03 Raw Data'!$P$3:$P$722,0)),""))</f>
        <v/>
      </c>
      <c r="H47" s="24">
        <f>IF($A47="","",IFERROR(INDEX('03 Raw Data'!$T$3:$T$722,MATCH($A47,'03 Raw Data'!$S$3:$S$722,0)),""))</f>
        <v/>
      </c>
    </row>
    <row r="48">
      <c r="A48" s="23">
        <f>IFERROR(IF(OR('03 Raw Data'!A46="",'03 Raw Data'!A46=0),"",'03 Raw Data'!A46),"")</f>
        <v/>
      </c>
      <c r="B48" s="24">
        <f>IF($A48="","",IFERROR(INDEX('03 Raw Data'!$B$3:$B$722,MATCH($A48,'03 Raw Data'!$A$3:$A$722,0)),""))</f>
        <v/>
      </c>
      <c r="C48" s="24">
        <f>IF($A48="","",IFERROR(INDEX('03 Raw Data'!$E$3:$E$722,MATCH($A48,'03 Raw Data'!$D$3:$D$722,0)),""))</f>
        <v/>
      </c>
      <c r="D48" s="24">
        <f>IF($A48="","",IFERROR(INDEX('03 Raw Data'!$H$3:$H$722,MATCH($A48,'03 Raw Data'!$G$3:$G$722,0)),""))</f>
        <v/>
      </c>
      <c r="E48" s="24">
        <f>IF($A48="","",IFERROR(INDEX('03 Raw Data'!$K$3:$K$722,MATCH($A48,'03 Raw Data'!$J$3:$J$722,0)),""))</f>
        <v/>
      </c>
      <c r="F48" s="24">
        <f>IF($A48="","",IFERROR(INDEX('03 Raw Data'!$N$3:$N$722,MATCH($A48,'03 Raw Data'!$M$3:$M$722,0)),""))</f>
        <v/>
      </c>
      <c r="G48" s="24">
        <f>IF($A48="","",IFERROR(INDEX('03 Raw Data'!$Q$3:$Q$722,MATCH($A48,'03 Raw Data'!$P$3:$P$722,0)),""))</f>
        <v/>
      </c>
      <c r="H48" s="24">
        <f>IF($A48="","",IFERROR(INDEX('03 Raw Data'!$T$3:$T$722,MATCH($A48,'03 Raw Data'!$S$3:$S$722,0)),""))</f>
        <v/>
      </c>
    </row>
    <row r="49">
      <c r="A49" s="23">
        <f>IFERROR(IF(OR('03 Raw Data'!A47="",'03 Raw Data'!A47=0),"",'03 Raw Data'!A47),"")</f>
        <v/>
      </c>
      <c r="B49" s="24">
        <f>IF($A49="","",IFERROR(INDEX('03 Raw Data'!$B$3:$B$722,MATCH($A49,'03 Raw Data'!$A$3:$A$722,0)),""))</f>
        <v/>
      </c>
      <c r="C49" s="24">
        <f>IF($A49="","",IFERROR(INDEX('03 Raw Data'!$E$3:$E$722,MATCH($A49,'03 Raw Data'!$D$3:$D$722,0)),""))</f>
        <v/>
      </c>
      <c r="D49" s="24">
        <f>IF($A49="","",IFERROR(INDEX('03 Raw Data'!$H$3:$H$722,MATCH($A49,'03 Raw Data'!$G$3:$G$722,0)),""))</f>
        <v/>
      </c>
      <c r="E49" s="24">
        <f>IF($A49="","",IFERROR(INDEX('03 Raw Data'!$K$3:$K$722,MATCH($A49,'03 Raw Data'!$J$3:$J$722,0)),""))</f>
        <v/>
      </c>
      <c r="F49" s="24">
        <f>IF($A49="","",IFERROR(INDEX('03 Raw Data'!$N$3:$N$722,MATCH($A49,'03 Raw Data'!$M$3:$M$722,0)),""))</f>
        <v/>
      </c>
      <c r="G49" s="24">
        <f>IF($A49="","",IFERROR(INDEX('03 Raw Data'!$Q$3:$Q$722,MATCH($A49,'03 Raw Data'!$P$3:$P$722,0)),""))</f>
        <v/>
      </c>
      <c r="H49" s="24">
        <f>IF($A49="","",IFERROR(INDEX('03 Raw Data'!$T$3:$T$722,MATCH($A49,'03 Raw Data'!$S$3:$S$722,0)),""))</f>
        <v/>
      </c>
    </row>
    <row r="50">
      <c r="A50" s="23">
        <f>IFERROR(IF(OR('03 Raw Data'!A48="",'03 Raw Data'!A48=0),"",'03 Raw Data'!A48),"")</f>
        <v/>
      </c>
      <c r="B50" s="24">
        <f>IF($A50="","",IFERROR(INDEX('03 Raw Data'!$B$3:$B$722,MATCH($A50,'03 Raw Data'!$A$3:$A$722,0)),""))</f>
        <v/>
      </c>
      <c r="C50" s="24">
        <f>IF($A50="","",IFERROR(INDEX('03 Raw Data'!$E$3:$E$722,MATCH($A50,'03 Raw Data'!$D$3:$D$722,0)),""))</f>
        <v/>
      </c>
      <c r="D50" s="24">
        <f>IF($A50="","",IFERROR(INDEX('03 Raw Data'!$H$3:$H$722,MATCH($A50,'03 Raw Data'!$G$3:$G$722,0)),""))</f>
        <v/>
      </c>
      <c r="E50" s="24">
        <f>IF($A50="","",IFERROR(INDEX('03 Raw Data'!$K$3:$K$722,MATCH($A50,'03 Raw Data'!$J$3:$J$722,0)),""))</f>
        <v/>
      </c>
      <c r="F50" s="24">
        <f>IF($A50="","",IFERROR(INDEX('03 Raw Data'!$N$3:$N$722,MATCH($A50,'03 Raw Data'!$M$3:$M$722,0)),""))</f>
        <v/>
      </c>
      <c r="G50" s="24">
        <f>IF($A50="","",IFERROR(INDEX('03 Raw Data'!$Q$3:$Q$722,MATCH($A50,'03 Raw Data'!$P$3:$P$722,0)),""))</f>
        <v/>
      </c>
      <c r="H50" s="24">
        <f>IF($A50="","",IFERROR(INDEX('03 Raw Data'!$T$3:$T$722,MATCH($A50,'03 Raw Data'!$S$3:$S$722,0)),""))</f>
        <v/>
      </c>
    </row>
    <row r="51">
      <c r="A51" s="23">
        <f>IFERROR(IF(OR('03 Raw Data'!A49="",'03 Raw Data'!A49=0),"",'03 Raw Data'!A49),"")</f>
        <v/>
      </c>
      <c r="B51" s="24">
        <f>IF($A51="","",IFERROR(INDEX('03 Raw Data'!$B$3:$B$722,MATCH($A51,'03 Raw Data'!$A$3:$A$722,0)),""))</f>
        <v/>
      </c>
      <c r="C51" s="24">
        <f>IF($A51="","",IFERROR(INDEX('03 Raw Data'!$E$3:$E$722,MATCH($A51,'03 Raw Data'!$D$3:$D$722,0)),""))</f>
        <v/>
      </c>
      <c r="D51" s="24">
        <f>IF($A51="","",IFERROR(INDEX('03 Raw Data'!$H$3:$H$722,MATCH($A51,'03 Raw Data'!$G$3:$G$722,0)),""))</f>
        <v/>
      </c>
      <c r="E51" s="24">
        <f>IF($A51="","",IFERROR(INDEX('03 Raw Data'!$K$3:$K$722,MATCH($A51,'03 Raw Data'!$J$3:$J$722,0)),""))</f>
        <v/>
      </c>
      <c r="F51" s="24">
        <f>IF($A51="","",IFERROR(INDEX('03 Raw Data'!$N$3:$N$722,MATCH($A51,'03 Raw Data'!$M$3:$M$722,0)),""))</f>
        <v/>
      </c>
      <c r="G51" s="24">
        <f>IF($A51="","",IFERROR(INDEX('03 Raw Data'!$Q$3:$Q$722,MATCH($A51,'03 Raw Data'!$P$3:$P$722,0)),""))</f>
        <v/>
      </c>
      <c r="H51" s="24">
        <f>IF($A51="","",IFERROR(INDEX('03 Raw Data'!$T$3:$T$722,MATCH($A51,'03 Raw Data'!$S$3:$S$722,0)),""))</f>
        <v/>
      </c>
    </row>
    <row r="52">
      <c r="A52" s="23">
        <f>IFERROR(IF(OR('03 Raw Data'!A50="",'03 Raw Data'!A50=0),"",'03 Raw Data'!A50),"")</f>
        <v/>
      </c>
      <c r="B52" s="24">
        <f>IF($A52="","",IFERROR(INDEX('03 Raw Data'!$B$3:$B$722,MATCH($A52,'03 Raw Data'!$A$3:$A$722,0)),""))</f>
        <v/>
      </c>
      <c r="C52" s="24">
        <f>IF($A52="","",IFERROR(INDEX('03 Raw Data'!$E$3:$E$722,MATCH($A52,'03 Raw Data'!$D$3:$D$722,0)),""))</f>
        <v/>
      </c>
      <c r="D52" s="24">
        <f>IF($A52="","",IFERROR(INDEX('03 Raw Data'!$H$3:$H$722,MATCH($A52,'03 Raw Data'!$G$3:$G$722,0)),""))</f>
        <v/>
      </c>
      <c r="E52" s="24">
        <f>IF($A52="","",IFERROR(INDEX('03 Raw Data'!$K$3:$K$722,MATCH($A52,'03 Raw Data'!$J$3:$J$722,0)),""))</f>
        <v/>
      </c>
      <c r="F52" s="24">
        <f>IF($A52="","",IFERROR(INDEX('03 Raw Data'!$N$3:$N$722,MATCH($A52,'03 Raw Data'!$M$3:$M$722,0)),""))</f>
        <v/>
      </c>
      <c r="G52" s="24">
        <f>IF($A52="","",IFERROR(INDEX('03 Raw Data'!$Q$3:$Q$722,MATCH($A52,'03 Raw Data'!$P$3:$P$722,0)),""))</f>
        <v/>
      </c>
      <c r="H52" s="24">
        <f>IF($A52="","",IFERROR(INDEX('03 Raw Data'!$T$3:$T$722,MATCH($A52,'03 Raw Data'!$S$3:$S$722,0)),""))</f>
        <v/>
      </c>
    </row>
    <row r="53">
      <c r="A53" s="23">
        <f>IFERROR(IF(OR('03 Raw Data'!A51="",'03 Raw Data'!A51=0),"",'03 Raw Data'!A51),"")</f>
        <v/>
      </c>
      <c r="B53" s="24">
        <f>IF($A53="","",IFERROR(INDEX('03 Raw Data'!$B$3:$B$722,MATCH($A53,'03 Raw Data'!$A$3:$A$722,0)),""))</f>
        <v/>
      </c>
      <c r="C53" s="24">
        <f>IF($A53="","",IFERROR(INDEX('03 Raw Data'!$E$3:$E$722,MATCH($A53,'03 Raw Data'!$D$3:$D$722,0)),""))</f>
        <v/>
      </c>
      <c r="D53" s="24">
        <f>IF($A53="","",IFERROR(INDEX('03 Raw Data'!$H$3:$H$722,MATCH($A53,'03 Raw Data'!$G$3:$G$722,0)),""))</f>
        <v/>
      </c>
      <c r="E53" s="24">
        <f>IF($A53="","",IFERROR(INDEX('03 Raw Data'!$K$3:$K$722,MATCH($A53,'03 Raw Data'!$J$3:$J$722,0)),""))</f>
        <v/>
      </c>
      <c r="F53" s="24">
        <f>IF($A53="","",IFERROR(INDEX('03 Raw Data'!$N$3:$N$722,MATCH($A53,'03 Raw Data'!$M$3:$M$722,0)),""))</f>
        <v/>
      </c>
      <c r="G53" s="24">
        <f>IF($A53="","",IFERROR(INDEX('03 Raw Data'!$Q$3:$Q$722,MATCH($A53,'03 Raw Data'!$P$3:$P$722,0)),""))</f>
        <v/>
      </c>
      <c r="H53" s="24">
        <f>IF($A53="","",IFERROR(INDEX('03 Raw Data'!$T$3:$T$722,MATCH($A53,'03 Raw Data'!$S$3:$S$722,0)),""))</f>
        <v/>
      </c>
    </row>
    <row r="54">
      <c r="A54" s="23">
        <f>IFERROR(IF(OR('03 Raw Data'!A52="",'03 Raw Data'!A52=0),"",'03 Raw Data'!A52),"")</f>
        <v/>
      </c>
      <c r="B54" s="24">
        <f>IF($A54="","",IFERROR(INDEX('03 Raw Data'!$B$3:$B$722,MATCH($A54,'03 Raw Data'!$A$3:$A$722,0)),""))</f>
        <v/>
      </c>
      <c r="C54" s="24">
        <f>IF($A54="","",IFERROR(INDEX('03 Raw Data'!$E$3:$E$722,MATCH($A54,'03 Raw Data'!$D$3:$D$722,0)),""))</f>
        <v/>
      </c>
      <c r="D54" s="24">
        <f>IF($A54="","",IFERROR(INDEX('03 Raw Data'!$H$3:$H$722,MATCH($A54,'03 Raw Data'!$G$3:$G$722,0)),""))</f>
        <v/>
      </c>
      <c r="E54" s="24">
        <f>IF($A54="","",IFERROR(INDEX('03 Raw Data'!$K$3:$K$722,MATCH($A54,'03 Raw Data'!$J$3:$J$722,0)),""))</f>
        <v/>
      </c>
      <c r="F54" s="24">
        <f>IF($A54="","",IFERROR(INDEX('03 Raw Data'!$N$3:$N$722,MATCH($A54,'03 Raw Data'!$M$3:$M$722,0)),""))</f>
        <v/>
      </c>
      <c r="G54" s="24">
        <f>IF($A54="","",IFERROR(INDEX('03 Raw Data'!$Q$3:$Q$722,MATCH($A54,'03 Raw Data'!$P$3:$P$722,0)),""))</f>
        <v/>
      </c>
      <c r="H54" s="24">
        <f>IF($A54="","",IFERROR(INDEX('03 Raw Data'!$T$3:$T$722,MATCH($A54,'03 Raw Data'!$S$3:$S$722,0)),""))</f>
        <v/>
      </c>
    </row>
    <row r="55">
      <c r="A55" s="23">
        <f>IFERROR(IF(OR('03 Raw Data'!A53="",'03 Raw Data'!A53=0),"",'03 Raw Data'!A53),"")</f>
        <v/>
      </c>
      <c r="B55" s="24">
        <f>IF($A55="","",IFERROR(INDEX('03 Raw Data'!$B$3:$B$722,MATCH($A55,'03 Raw Data'!$A$3:$A$722,0)),""))</f>
        <v/>
      </c>
      <c r="C55" s="24">
        <f>IF($A55="","",IFERROR(INDEX('03 Raw Data'!$E$3:$E$722,MATCH($A55,'03 Raw Data'!$D$3:$D$722,0)),""))</f>
        <v/>
      </c>
      <c r="D55" s="24">
        <f>IF($A55="","",IFERROR(INDEX('03 Raw Data'!$H$3:$H$722,MATCH($A55,'03 Raw Data'!$G$3:$G$722,0)),""))</f>
        <v/>
      </c>
      <c r="E55" s="24">
        <f>IF($A55="","",IFERROR(INDEX('03 Raw Data'!$K$3:$K$722,MATCH($A55,'03 Raw Data'!$J$3:$J$722,0)),""))</f>
        <v/>
      </c>
      <c r="F55" s="24">
        <f>IF($A55="","",IFERROR(INDEX('03 Raw Data'!$N$3:$N$722,MATCH($A55,'03 Raw Data'!$M$3:$M$722,0)),""))</f>
        <v/>
      </c>
      <c r="G55" s="24">
        <f>IF($A55="","",IFERROR(INDEX('03 Raw Data'!$Q$3:$Q$722,MATCH($A55,'03 Raw Data'!$P$3:$P$722,0)),""))</f>
        <v/>
      </c>
      <c r="H55" s="24">
        <f>IF($A55="","",IFERROR(INDEX('03 Raw Data'!$T$3:$T$722,MATCH($A55,'03 Raw Data'!$S$3:$S$722,0)),""))</f>
        <v/>
      </c>
    </row>
    <row r="56">
      <c r="A56" s="23">
        <f>IFERROR(IF(OR('03 Raw Data'!A54="",'03 Raw Data'!A54=0),"",'03 Raw Data'!A54),"")</f>
        <v/>
      </c>
      <c r="B56" s="24">
        <f>IF($A56="","",IFERROR(INDEX('03 Raw Data'!$B$3:$B$722,MATCH($A56,'03 Raw Data'!$A$3:$A$722,0)),""))</f>
        <v/>
      </c>
      <c r="C56" s="24">
        <f>IF($A56="","",IFERROR(INDEX('03 Raw Data'!$E$3:$E$722,MATCH($A56,'03 Raw Data'!$D$3:$D$722,0)),""))</f>
        <v/>
      </c>
      <c r="D56" s="24">
        <f>IF($A56="","",IFERROR(INDEX('03 Raw Data'!$H$3:$H$722,MATCH($A56,'03 Raw Data'!$G$3:$G$722,0)),""))</f>
        <v/>
      </c>
      <c r="E56" s="24">
        <f>IF($A56="","",IFERROR(INDEX('03 Raw Data'!$K$3:$K$722,MATCH($A56,'03 Raw Data'!$J$3:$J$722,0)),""))</f>
        <v/>
      </c>
      <c r="F56" s="24">
        <f>IF($A56="","",IFERROR(INDEX('03 Raw Data'!$N$3:$N$722,MATCH($A56,'03 Raw Data'!$M$3:$M$722,0)),""))</f>
        <v/>
      </c>
      <c r="G56" s="24">
        <f>IF($A56="","",IFERROR(INDEX('03 Raw Data'!$Q$3:$Q$722,MATCH($A56,'03 Raw Data'!$P$3:$P$722,0)),""))</f>
        <v/>
      </c>
      <c r="H56" s="24">
        <f>IF($A56="","",IFERROR(INDEX('03 Raw Data'!$T$3:$T$722,MATCH($A56,'03 Raw Data'!$S$3:$S$722,0)),""))</f>
        <v/>
      </c>
    </row>
    <row r="57">
      <c r="A57" s="23">
        <f>IFERROR(IF(OR('03 Raw Data'!A55="",'03 Raw Data'!A55=0),"",'03 Raw Data'!A55),"")</f>
        <v/>
      </c>
      <c r="B57" s="24">
        <f>IF($A57="","",IFERROR(INDEX('03 Raw Data'!$B$3:$B$722,MATCH($A57,'03 Raw Data'!$A$3:$A$722,0)),""))</f>
        <v/>
      </c>
      <c r="C57" s="24">
        <f>IF($A57="","",IFERROR(INDEX('03 Raw Data'!$E$3:$E$722,MATCH($A57,'03 Raw Data'!$D$3:$D$722,0)),""))</f>
        <v/>
      </c>
      <c r="D57" s="24">
        <f>IF($A57="","",IFERROR(INDEX('03 Raw Data'!$H$3:$H$722,MATCH($A57,'03 Raw Data'!$G$3:$G$722,0)),""))</f>
        <v/>
      </c>
      <c r="E57" s="24">
        <f>IF($A57="","",IFERROR(INDEX('03 Raw Data'!$K$3:$K$722,MATCH($A57,'03 Raw Data'!$J$3:$J$722,0)),""))</f>
        <v/>
      </c>
      <c r="F57" s="24">
        <f>IF($A57="","",IFERROR(INDEX('03 Raw Data'!$N$3:$N$722,MATCH($A57,'03 Raw Data'!$M$3:$M$722,0)),""))</f>
        <v/>
      </c>
      <c r="G57" s="24">
        <f>IF($A57="","",IFERROR(INDEX('03 Raw Data'!$Q$3:$Q$722,MATCH($A57,'03 Raw Data'!$P$3:$P$722,0)),""))</f>
        <v/>
      </c>
      <c r="H57" s="24">
        <f>IF($A57="","",IFERROR(INDEX('03 Raw Data'!$T$3:$T$722,MATCH($A57,'03 Raw Data'!$S$3:$S$722,0)),""))</f>
        <v/>
      </c>
    </row>
    <row r="58">
      <c r="A58" s="23">
        <f>IFERROR(IF(OR('03 Raw Data'!A56="",'03 Raw Data'!A56=0),"",'03 Raw Data'!A56),"")</f>
        <v/>
      </c>
      <c r="B58" s="24">
        <f>IF($A58="","",IFERROR(INDEX('03 Raw Data'!$B$3:$B$722,MATCH($A58,'03 Raw Data'!$A$3:$A$722,0)),""))</f>
        <v/>
      </c>
      <c r="C58" s="24">
        <f>IF($A58="","",IFERROR(INDEX('03 Raw Data'!$E$3:$E$722,MATCH($A58,'03 Raw Data'!$D$3:$D$722,0)),""))</f>
        <v/>
      </c>
      <c r="D58" s="24">
        <f>IF($A58="","",IFERROR(INDEX('03 Raw Data'!$H$3:$H$722,MATCH($A58,'03 Raw Data'!$G$3:$G$722,0)),""))</f>
        <v/>
      </c>
      <c r="E58" s="24">
        <f>IF($A58="","",IFERROR(INDEX('03 Raw Data'!$K$3:$K$722,MATCH($A58,'03 Raw Data'!$J$3:$J$722,0)),""))</f>
        <v/>
      </c>
      <c r="F58" s="24">
        <f>IF($A58="","",IFERROR(INDEX('03 Raw Data'!$N$3:$N$722,MATCH($A58,'03 Raw Data'!$M$3:$M$722,0)),""))</f>
        <v/>
      </c>
      <c r="G58" s="24">
        <f>IF($A58="","",IFERROR(INDEX('03 Raw Data'!$Q$3:$Q$722,MATCH($A58,'03 Raw Data'!$P$3:$P$722,0)),""))</f>
        <v/>
      </c>
      <c r="H58" s="24">
        <f>IF($A58="","",IFERROR(INDEX('03 Raw Data'!$T$3:$T$722,MATCH($A58,'03 Raw Data'!$S$3:$S$722,0)),""))</f>
        <v/>
      </c>
    </row>
    <row r="59">
      <c r="A59" s="23">
        <f>IFERROR(IF(OR('03 Raw Data'!A57="",'03 Raw Data'!A57=0),"",'03 Raw Data'!A57),"")</f>
        <v/>
      </c>
      <c r="B59" s="24">
        <f>IF($A59="","",IFERROR(INDEX('03 Raw Data'!$B$3:$B$722,MATCH($A59,'03 Raw Data'!$A$3:$A$722,0)),""))</f>
        <v/>
      </c>
      <c r="C59" s="24">
        <f>IF($A59="","",IFERROR(INDEX('03 Raw Data'!$E$3:$E$722,MATCH($A59,'03 Raw Data'!$D$3:$D$722,0)),""))</f>
        <v/>
      </c>
      <c r="D59" s="24">
        <f>IF($A59="","",IFERROR(INDEX('03 Raw Data'!$H$3:$H$722,MATCH($A59,'03 Raw Data'!$G$3:$G$722,0)),""))</f>
        <v/>
      </c>
      <c r="E59" s="24">
        <f>IF($A59="","",IFERROR(INDEX('03 Raw Data'!$K$3:$K$722,MATCH($A59,'03 Raw Data'!$J$3:$J$722,0)),""))</f>
        <v/>
      </c>
      <c r="F59" s="24">
        <f>IF($A59="","",IFERROR(INDEX('03 Raw Data'!$N$3:$N$722,MATCH($A59,'03 Raw Data'!$M$3:$M$722,0)),""))</f>
        <v/>
      </c>
      <c r="G59" s="24">
        <f>IF($A59="","",IFERROR(INDEX('03 Raw Data'!$Q$3:$Q$722,MATCH($A59,'03 Raw Data'!$P$3:$P$722,0)),""))</f>
        <v/>
      </c>
      <c r="H59" s="24">
        <f>IF($A59="","",IFERROR(INDEX('03 Raw Data'!$T$3:$T$722,MATCH($A59,'03 Raw Data'!$S$3:$S$722,0)),""))</f>
        <v/>
      </c>
    </row>
    <row r="60">
      <c r="A60" s="23">
        <f>IFERROR(IF(OR('03 Raw Data'!A58="",'03 Raw Data'!A58=0),"",'03 Raw Data'!A58),"")</f>
        <v/>
      </c>
      <c r="B60" s="24">
        <f>IF($A60="","",IFERROR(INDEX('03 Raw Data'!$B$3:$B$722,MATCH($A60,'03 Raw Data'!$A$3:$A$722,0)),""))</f>
        <v/>
      </c>
      <c r="C60" s="24">
        <f>IF($A60="","",IFERROR(INDEX('03 Raw Data'!$E$3:$E$722,MATCH($A60,'03 Raw Data'!$D$3:$D$722,0)),""))</f>
        <v/>
      </c>
      <c r="D60" s="24">
        <f>IF($A60="","",IFERROR(INDEX('03 Raw Data'!$H$3:$H$722,MATCH($A60,'03 Raw Data'!$G$3:$G$722,0)),""))</f>
        <v/>
      </c>
      <c r="E60" s="24">
        <f>IF($A60="","",IFERROR(INDEX('03 Raw Data'!$K$3:$K$722,MATCH($A60,'03 Raw Data'!$J$3:$J$722,0)),""))</f>
        <v/>
      </c>
      <c r="F60" s="24">
        <f>IF($A60="","",IFERROR(INDEX('03 Raw Data'!$N$3:$N$722,MATCH($A60,'03 Raw Data'!$M$3:$M$722,0)),""))</f>
        <v/>
      </c>
      <c r="G60" s="24">
        <f>IF($A60="","",IFERROR(INDEX('03 Raw Data'!$Q$3:$Q$722,MATCH($A60,'03 Raw Data'!$P$3:$P$722,0)),""))</f>
        <v/>
      </c>
      <c r="H60" s="24">
        <f>IF($A60="","",IFERROR(INDEX('03 Raw Data'!$T$3:$T$722,MATCH($A60,'03 Raw Data'!$S$3:$S$722,0)),""))</f>
        <v/>
      </c>
    </row>
    <row r="61">
      <c r="A61" s="23">
        <f>IFERROR(IF(OR('03 Raw Data'!A59="",'03 Raw Data'!A59=0),"",'03 Raw Data'!A59),"")</f>
        <v/>
      </c>
      <c r="B61" s="24">
        <f>IF($A61="","",IFERROR(INDEX('03 Raw Data'!$B$3:$B$722,MATCH($A61,'03 Raw Data'!$A$3:$A$722,0)),""))</f>
        <v/>
      </c>
      <c r="C61" s="24">
        <f>IF($A61="","",IFERROR(INDEX('03 Raw Data'!$E$3:$E$722,MATCH($A61,'03 Raw Data'!$D$3:$D$722,0)),""))</f>
        <v/>
      </c>
      <c r="D61" s="24">
        <f>IF($A61="","",IFERROR(INDEX('03 Raw Data'!$H$3:$H$722,MATCH($A61,'03 Raw Data'!$G$3:$G$722,0)),""))</f>
        <v/>
      </c>
      <c r="E61" s="24">
        <f>IF($A61="","",IFERROR(INDEX('03 Raw Data'!$K$3:$K$722,MATCH($A61,'03 Raw Data'!$J$3:$J$722,0)),""))</f>
        <v/>
      </c>
      <c r="F61" s="24">
        <f>IF($A61="","",IFERROR(INDEX('03 Raw Data'!$N$3:$N$722,MATCH($A61,'03 Raw Data'!$M$3:$M$722,0)),""))</f>
        <v/>
      </c>
      <c r="G61" s="24">
        <f>IF($A61="","",IFERROR(INDEX('03 Raw Data'!$Q$3:$Q$722,MATCH($A61,'03 Raw Data'!$P$3:$P$722,0)),""))</f>
        <v/>
      </c>
      <c r="H61" s="24">
        <f>IF($A61="","",IFERROR(INDEX('03 Raw Data'!$T$3:$T$722,MATCH($A61,'03 Raw Data'!$S$3:$S$722,0)),""))</f>
        <v/>
      </c>
    </row>
    <row r="62">
      <c r="A62" s="23">
        <f>IFERROR(IF(OR('03 Raw Data'!A60="",'03 Raw Data'!A60=0),"",'03 Raw Data'!A60),"")</f>
        <v/>
      </c>
      <c r="B62" s="24">
        <f>IF($A62="","",IFERROR(INDEX('03 Raw Data'!$B$3:$B$722,MATCH($A62,'03 Raw Data'!$A$3:$A$722,0)),""))</f>
        <v/>
      </c>
      <c r="C62" s="24">
        <f>IF($A62="","",IFERROR(INDEX('03 Raw Data'!$E$3:$E$722,MATCH($A62,'03 Raw Data'!$D$3:$D$722,0)),""))</f>
        <v/>
      </c>
      <c r="D62" s="24">
        <f>IF($A62="","",IFERROR(INDEX('03 Raw Data'!$H$3:$H$722,MATCH($A62,'03 Raw Data'!$G$3:$G$722,0)),""))</f>
        <v/>
      </c>
      <c r="E62" s="24">
        <f>IF($A62="","",IFERROR(INDEX('03 Raw Data'!$K$3:$K$722,MATCH($A62,'03 Raw Data'!$J$3:$J$722,0)),""))</f>
        <v/>
      </c>
      <c r="F62" s="24">
        <f>IF($A62="","",IFERROR(INDEX('03 Raw Data'!$N$3:$N$722,MATCH($A62,'03 Raw Data'!$M$3:$M$722,0)),""))</f>
        <v/>
      </c>
      <c r="G62" s="24">
        <f>IF($A62="","",IFERROR(INDEX('03 Raw Data'!$Q$3:$Q$722,MATCH($A62,'03 Raw Data'!$P$3:$P$722,0)),""))</f>
        <v/>
      </c>
      <c r="H62" s="24">
        <f>IF($A62="","",IFERROR(INDEX('03 Raw Data'!$T$3:$T$722,MATCH($A62,'03 Raw Data'!$S$3:$S$722,0)),""))</f>
        <v/>
      </c>
    </row>
    <row r="63">
      <c r="A63" s="23">
        <f>IFERROR(IF(OR('03 Raw Data'!A61="",'03 Raw Data'!A61=0),"",'03 Raw Data'!A61),"")</f>
        <v/>
      </c>
      <c r="B63" s="24">
        <f>IF($A63="","",IFERROR(INDEX('03 Raw Data'!$B$3:$B$722,MATCH($A63,'03 Raw Data'!$A$3:$A$722,0)),""))</f>
        <v/>
      </c>
      <c r="C63" s="24">
        <f>IF($A63="","",IFERROR(INDEX('03 Raw Data'!$E$3:$E$722,MATCH($A63,'03 Raw Data'!$D$3:$D$722,0)),""))</f>
        <v/>
      </c>
      <c r="D63" s="24">
        <f>IF($A63="","",IFERROR(INDEX('03 Raw Data'!$H$3:$H$722,MATCH($A63,'03 Raw Data'!$G$3:$G$722,0)),""))</f>
        <v/>
      </c>
      <c r="E63" s="24">
        <f>IF($A63="","",IFERROR(INDEX('03 Raw Data'!$K$3:$K$722,MATCH($A63,'03 Raw Data'!$J$3:$J$722,0)),""))</f>
        <v/>
      </c>
      <c r="F63" s="24">
        <f>IF($A63="","",IFERROR(INDEX('03 Raw Data'!$N$3:$N$722,MATCH($A63,'03 Raw Data'!$M$3:$M$722,0)),""))</f>
        <v/>
      </c>
      <c r="G63" s="24">
        <f>IF($A63="","",IFERROR(INDEX('03 Raw Data'!$Q$3:$Q$722,MATCH($A63,'03 Raw Data'!$P$3:$P$722,0)),""))</f>
        <v/>
      </c>
      <c r="H63" s="24">
        <f>IF($A63="","",IFERROR(INDEX('03 Raw Data'!$T$3:$T$722,MATCH($A63,'03 Raw Data'!$S$3:$S$722,0)),""))</f>
        <v/>
      </c>
    </row>
    <row r="64">
      <c r="A64" s="23">
        <f>IFERROR(IF(OR('03 Raw Data'!A62="",'03 Raw Data'!A62=0),"",'03 Raw Data'!A62),"")</f>
        <v/>
      </c>
      <c r="B64" s="24">
        <f>IF($A64="","",IFERROR(INDEX('03 Raw Data'!$B$3:$B$722,MATCH($A64,'03 Raw Data'!$A$3:$A$722,0)),""))</f>
        <v/>
      </c>
      <c r="C64" s="24">
        <f>IF($A64="","",IFERROR(INDEX('03 Raw Data'!$E$3:$E$722,MATCH($A64,'03 Raw Data'!$D$3:$D$722,0)),""))</f>
        <v/>
      </c>
      <c r="D64" s="24">
        <f>IF($A64="","",IFERROR(INDEX('03 Raw Data'!$H$3:$H$722,MATCH($A64,'03 Raw Data'!$G$3:$G$722,0)),""))</f>
        <v/>
      </c>
      <c r="E64" s="24">
        <f>IF($A64="","",IFERROR(INDEX('03 Raw Data'!$K$3:$K$722,MATCH($A64,'03 Raw Data'!$J$3:$J$722,0)),""))</f>
        <v/>
      </c>
      <c r="F64" s="24">
        <f>IF($A64="","",IFERROR(INDEX('03 Raw Data'!$N$3:$N$722,MATCH($A64,'03 Raw Data'!$M$3:$M$722,0)),""))</f>
        <v/>
      </c>
      <c r="G64" s="24">
        <f>IF($A64="","",IFERROR(INDEX('03 Raw Data'!$Q$3:$Q$722,MATCH($A64,'03 Raw Data'!$P$3:$P$722,0)),""))</f>
        <v/>
      </c>
      <c r="H64" s="24">
        <f>IF($A64="","",IFERROR(INDEX('03 Raw Data'!$T$3:$T$722,MATCH($A64,'03 Raw Data'!$S$3:$S$722,0)),""))</f>
        <v/>
      </c>
    </row>
    <row r="65">
      <c r="A65" s="23">
        <f>IFERROR(IF(OR('03 Raw Data'!A63="",'03 Raw Data'!A63=0),"",'03 Raw Data'!A63),"")</f>
        <v/>
      </c>
      <c r="B65" s="24">
        <f>IF($A65="","",IFERROR(INDEX('03 Raw Data'!$B$3:$B$722,MATCH($A65,'03 Raw Data'!$A$3:$A$722,0)),""))</f>
        <v/>
      </c>
      <c r="C65" s="24">
        <f>IF($A65="","",IFERROR(INDEX('03 Raw Data'!$E$3:$E$722,MATCH($A65,'03 Raw Data'!$D$3:$D$722,0)),""))</f>
        <v/>
      </c>
      <c r="D65" s="24">
        <f>IF($A65="","",IFERROR(INDEX('03 Raw Data'!$H$3:$H$722,MATCH($A65,'03 Raw Data'!$G$3:$G$722,0)),""))</f>
        <v/>
      </c>
      <c r="E65" s="24">
        <f>IF($A65="","",IFERROR(INDEX('03 Raw Data'!$K$3:$K$722,MATCH($A65,'03 Raw Data'!$J$3:$J$722,0)),""))</f>
        <v/>
      </c>
      <c r="F65" s="24">
        <f>IF($A65="","",IFERROR(INDEX('03 Raw Data'!$N$3:$N$722,MATCH($A65,'03 Raw Data'!$M$3:$M$722,0)),""))</f>
        <v/>
      </c>
      <c r="G65" s="24">
        <f>IF($A65="","",IFERROR(INDEX('03 Raw Data'!$Q$3:$Q$722,MATCH($A65,'03 Raw Data'!$P$3:$P$722,0)),""))</f>
        <v/>
      </c>
      <c r="H65" s="24">
        <f>IF($A65="","",IFERROR(INDEX('03 Raw Data'!$T$3:$T$722,MATCH($A65,'03 Raw Data'!$S$3:$S$722,0)),""))</f>
        <v/>
      </c>
    </row>
    <row r="66">
      <c r="A66" s="23">
        <f>IFERROR(IF(OR('03 Raw Data'!A64="",'03 Raw Data'!A64=0),"",'03 Raw Data'!A64),"")</f>
        <v/>
      </c>
      <c r="B66" s="24">
        <f>IF($A66="","",IFERROR(INDEX('03 Raw Data'!$B$3:$B$722,MATCH($A66,'03 Raw Data'!$A$3:$A$722,0)),""))</f>
        <v/>
      </c>
      <c r="C66" s="24">
        <f>IF($A66="","",IFERROR(INDEX('03 Raw Data'!$E$3:$E$722,MATCH($A66,'03 Raw Data'!$D$3:$D$722,0)),""))</f>
        <v/>
      </c>
      <c r="D66" s="24">
        <f>IF($A66="","",IFERROR(INDEX('03 Raw Data'!$H$3:$H$722,MATCH($A66,'03 Raw Data'!$G$3:$G$722,0)),""))</f>
        <v/>
      </c>
      <c r="E66" s="24">
        <f>IF($A66="","",IFERROR(INDEX('03 Raw Data'!$K$3:$K$722,MATCH($A66,'03 Raw Data'!$J$3:$J$722,0)),""))</f>
        <v/>
      </c>
      <c r="F66" s="24">
        <f>IF($A66="","",IFERROR(INDEX('03 Raw Data'!$N$3:$N$722,MATCH($A66,'03 Raw Data'!$M$3:$M$722,0)),""))</f>
        <v/>
      </c>
      <c r="G66" s="24">
        <f>IF($A66="","",IFERROR(INDEX('03 Raw Data'!$Q$3:$Q$722,MATCH($A66,'03 Raw Data'!$P$3:$P$722,0)),""))</f>
        <v/>
      </c>
      <c r="H66" s="24">
        <f>IF($A66="","",IFERROR(INDEX('03 Raw Data'!$T$3:$T$722,MATCH($A66,'03 Raw Data'!$S$3:$S$722,0)),""))</f>
        <v/>
      </c>
    </row>
    <row r="67">
      <c r="A67" s="23">
        <f>IFERROR(IF(OR('03 Raw Data'!A65="",'03 Raw Data'!A65=0),"",'03 Raw Data'!A65),"")</f>
        <v/>
      </c>
      <c r="B67" s="24">
        <f>IF($A67="","",IFERROR(INDEX('03 Raw Data'!$B$3:$B$722,MATCH($A67,'03 Raw Data'!$A$3:$A$722,0)),""))</f>
        <v/>
      </c>
      <c r="C67" s="24">
        <f>IF($A67="","",IFERROR(INDEX('03 Raw Data'!$E$3:$E$722,MATCH($A67,'03 Raw Data'!$D$3:$D$722,0)),""))</f>
        <v/>
      </c>
      <c r="D67" s="24">
        <f>IF($A67="","",IFERROR(INDEX('03 Raw Data'!$H$3:$H$722,MATCH($A67,'03 Raw Data'!$G$3:$G$722,0)),""))</f>
        <v/>
      </c>
      <c r="E67" s="24">
        <f>IF($A67="","",IFERROR(INDEX('03 Raw Data'!$K$3:$K$722,MATCH($A67,'03 Raw Data'!$J$3:$J$722,0)),""))</f>
        <v/>
      </c>
      <c r="F67" s="24">
        <f>IF($A67="","",IFERROR(INDEX('03 Raw Data'!$N$3:$N$722,MATCH($A67,'03 Raw Data'!$M$3:$M$722,0)),""))</f>
        <v/>
      </c>
      <c r="G67" s="24">
        <f>IF($A67="","",IFERROR(INDEX('03 Raw Data'!$Q$3:$Q$722,MATCH($A67,'03 Raw Data'!$P$3:$P$722,0)),""))</f>
        <v/>
      </c>
      <c r="H67" s="24">
        <f>IF($A67="","",IFERROR(INDEX('03 Raw Data'!$T$3:$T$722,MATCH($A67,'03 Raw Data'!$S$3:$S$722,0)),""))</f>
        <v/>
      </c>
    </row>
    <row r="68">
      <c r="A68" s="23">
        <f>IFERROR(IF(OR('03 Raw Data'!A66="",'03 Raw Data'!A66=0),"",'03 Raw Data'!A66),"")</f>
        <v/>
      </c>
      <c r="B68" s="24">
        <f>IF($A68="","",IFERROR(INDEX('03 Raw Data'!$B$3:$B$722,MATCH($A68,'03 Raw Data'!$A$3:$A$722,0)),""))</f>
        <v/>
      </c>
      <c r="C68" s="24">
        <f>IF($A68="","",IFERROR(INDEX('03 Raw Data'!$E$3:$E$722,MATCH($A68,'03 Raw Data'!$D$3:$D$722,0)),""))</f>
        <v/>
      </c>
      <c r="D68" s="24">
        <f>IF($A68="","",IFERROR(INDEX('03 Raw Data'!$H$3:$H$722,MATCH($A68,'03 Raw Data'!$G$3:$G$722,0)),""))</f>
        <v/>
      </c>
      <c r="E68" s="24">
        <f>IF($A68="","",IFERROR(INDEX('03 Raw Data'!$K$3:$K$722,MATCH($A68,'03 Raw Data'!$J$3:$J$722,0)),""))</f>
        <v/>
      </c>
      <c r="F68" s="24">
        <f>IF($A68="","",IFERROR(INDEX('03 Raw Data'!$N$3:$N$722,MATCH($A68,'03 Raw Data'!$M$3:$M$722,0)),""))</f>
        <v/>
      </c>
      <c r="G68" s="24">
        <f>IF($A68="","",IFERROR(INDEX('03 Raw Data'!$Q$3:$Q$722,MATCH($A68,'03 Raw Data'!$P$3:$P$722,0)),""))</f>
        <v/>
      </c>
      <c r="H68" s="24">
        <f>IF($A68="","",IFERROR(INDEX('03 Raw Data'!$T$3:$T$722,MATCH($A68,'03 Raw Data'!$S$3:$S$722,0)),""))</f>
        <v/>
      </c>
    </row>
    <row r="69">
      <c r="A69" s="23">
        <f>IFERROR(IF(OR('03 Raw Data'!A67="",'03 Raw Data'!A67=0),"",'03 Raw Data'!A67),"")</f>
        <v/>
      </c>
      <c r="B69" s="24">
        <f>IF($A69="","",IFERROR(INDEX('03 Raw Data'!$B$3:$B$722,MATCH($A69,'03 Raw Data'!$A$3:$A$722,0)),""))</f>
        <v/>
      </c>
      <c r="C69" s="24">
        <f>IF($A69="","",IFERROR(INDEX('03 Raw Data'!$E$3:$E$722,MATCH($A69,'03 Raw Data'!$D$3:$D$722,0)),""))</f>
        <v/>
      </c>
      <c r="D69" s="24">
        <f>IF($A69="","",IFERROR(INDEX('03 Raw Data'!$H$3:$H$722,MATCH($A69,'03 Raw Data'!$G$3:$G$722,0)),""))</f>
        <v/>
      </c>
      <c r="E69" s="24">
        <f>IF($A69="","",IFERROR(INDEX('03 Raw Data'!$K$3:$K$722,MATCH($A69,'03 Raw Data'!$J$3:$J$722,0)),""))</f>
        <v/>
      </c>
      <c r="F69" s="24">
        <f>IF($A69="","",IFERROR(INDEX('03 Raw Data'!$N$3:$N$722,MATCH($A69,'03 Raw Data'!$M$3:$M$722,0)),""))</f>
        <v/>
      </c>
      <c r="G69" s="24">
        <f>IF($A69="","",IFERROR(INDEX('03 Raw Data'!$Q$3:$Q$722,MATCH($A69,'03 Raw Data'!$P$3:$P$722,0)),""))</f>
        <v/>
      </c>
      <c r="H69" s="24">
        <f>IF($A69="","",IFERROR(INDEX('03 Raw Data'!$T$3:$T$722,MATCH($A69,'03 Raw Data'!$S$3:$S$722,0)),""))</f>
        <v/>
      </c>
    </row>
    <row r="70">
      <c r="A70" s="23">
        <f>IFERROR(IF(OR('03 Raw Data'!A68="",'03 Raw Data'!A68=0),"",'03 Raw Data'!A68),"")</f>
        <v/>
      </c>
      <c r="B70" s="24">
        <f>IF($A70="","",IFERROR(INDEX('03 Raw Data'!$B$3:$B$722,MATCH($A70,'03 Raw Data'!$A$3:$A$722,0)),""))</f>
        <v/>
      </c>
      <c r="C70" s="24">
        <f>IF($A70="","",IFERROR(INDEX('03 Raw Data'!$E$3:$E$722,MATCH($A70,'03 Raw Data'!$D$3:$D$722,0)),""))</f>
        <v/>
      </c>
      <c r="D70" s="24">
        <f>IF($A70="","",IFERROR(INDEX('03 Raw Data'!$H$3:$H$722,MATCH($A70,'03 Raw Data'!$G$3:$G$722,0)),""))</f>
        <v/>
      </c>
      <c r="E70" s="24">
        <f>IF($A70="","",IFERROR(INDEX('03 Raw Data'!$K$3:$K$722,MATCH($A70,'03 Raw Data'!$J$3:$J$722,0)),""))</f>
        <v/>
      </c>
      <c r="F70" s="24">
        <f>IF($A70="","",IFERROR(INDEX('03 Raw Data'!$N$3:$N$722,MATCH($A70,'03 Raw Data'!$M$3:$M$722,0)),""))</f>
        <v/>
      </c>
      <c r="G70" s="24">
        <f>IF($A70="","",IFERROR(INDEX('03 Raw Data'!$Q$3:$Q$722,MATCH($A70,'03 Raw Data'!$P$3:$P$722,0)),""))</f>
        <v/>
      </c>
      <c r="H70" s="24">
        <f>IF($A70="","",IFERROR(INDEX('03 Raw Data'!$T$3:$T$722,MATCH($A70,'03 Raw Data'!$S$3:$S$722,0)),""))</f>
        <v/>
      </c>
    </row>
    <row r="71">
      <c r="A71" s="23">
        <f>IFERROR(IF(OR('03 Raw Data'!A69="",'03 Raw Data'!A69=0),"",'03 Raw Data'!A69),"")</f>
        <v/>
      </c>
      <c r="B71" s="24">
        <f>IF($A71="","",IFERROR(INDEX('03 Raw Data'!$B$3:$B$722,MATCH($A71,'03 Raw Data'!$A$3:$A$722,0)),""))</f>
        <v/>
      </c>
      <c r="C71" s="24">
        <f>IF($A71="","",IFERROR(INDEX('03 Raw Data'!$E$3:$E$722,MATCH($A71,'03 Raw Data'!$D$3:$D$722,0)),""))</f>
        <v/>
      </c>
      <c r="D71" s="24">
        <f>IF($A71="","",IFERROR(INDEX('03 Raw Data'!$H$3:$H$722,MATCH($A71,'03 Raw Data'!$G$3:$G$722,0)),""))</f>
        <v/>
      </c>
      <c r="E71" s="24">
        <f>IF($A71="","",IFERROR(INDEX('03 Raw Data'!$K$3:$K$722,MATCH($A71,'03 Raw Data'!$J$3:$J$722,0)),""))</f>
        <v/>
      </c>
      <c r="F71" s="24">
        <f>IF($A71="","",IFERROR(INDEX('03 Raw Data'!$N$3:$N$722,MATCH($A71,'03 Raw Data'!$M$3:$M$722,0)),""))</f>
        <v/>
      </c>
      <c r="G71" s="24">
        <f>IF($A71="","",IFERROR(INDEX('03 Raw Data'!$Q$3:$Q$722,MATCH($A71,'03 Raw Data'!$P$3:$P$722,0)),""))</f>
        <v/>
      </c>
      <c r="H71" s="24">
        <f>IF($A71="","",IFERROR(INDEX('03 Raw Data'!$T$3:$T$722,MATCH($A71,'03 Raw Data'!$S$3:$S$722,0)),""))</f>
        <v/>
      </c>
    </row>
    <row r="72">
      <c r="A72" s="23">
        <f>IFERROR(IF(OR('03 Raw Data'!A70="",'03 Raw Data'!A70=0),"",'03 Raw Data'!A70),"")</f>
        <v/>
      </c>
      <c r="B72" s="24">
        <f>IF($A72="","",IFERROR(INDEX('03 Raw Data'!$B$3:$B$722,MATCH($A72,'03 Raw Data'!$A$3:$A$722,0)),""))</f>
        <v/>
      </c>
      <c r="C72" s="24">
        <f>IF($A72="","",IFERROR(INDEX('03 Raw Data'!$E$3:$E$722,MATCH($A72,'03 Raw Data'!$D$3:$D$722,0)),""))</f>
        <v/>
      </c>
      <c r="D72" s="24">
        <f>IF($A72="","",IFERROR(INDEX('03 Raw Data'!$H$3:$H$722,MATCH($A72,'03 Raw Data'!$G$3:$G$722,0)),""))</f>
        <v/>
      </c>
      <c r="E72" s="24">
        <f>IF($A72="","",IFERROR(INDEX('03 Raw Data'!$K$3:$K$722,MATCH($A72,'03 Raw Data'!$J$3:$J$722,0)),""))</f>
        <v/>
      </c>
      <c r="F72" s="24">
        <f>IF($A72="","",IFERROR(INDEX('03 Raw Data'!$N$3:$N$722,MATCH($A72,'03 Raw Data'!$M$3:$M$722,0)),""))</f>
        <v/>
      </c>
      <c r="G72" s="24">
        <f>IF($A72="","",IFERROR(INDEX('03 Raw Data'!$Q$3:$Q$722,MATCH($A72,'03 Raw Data'!$P$3:$P$722,0)),""))</f>
        <v/>
      </c>
      <c r="H72" s="24">
        <f>IF($A72="","",IFERROR(INDEX('03 Raw Data'!$T$3:$T$722,MATCH($A72,'03 Raw Data'!$S$3:$S$722,0)),""))</f>
        <v/>
      </c>
    </row>
    <row r="73">
      <c r="A73" s="23">
        <f>IFERROR(IF(OR('03 Raw Data'!A71="",'03 Raw Data'!A71=0),"",'03 Raw Data'!A71),"")</f>
        <v/>
      </c>
      <c r="B73" s="24">
        <f>IF($A73="","",IFERROR(INDEX('03 Raw Data'!$B$3:$B$722,MATCH($A73,'03 Raw Data'!$A$3:$A$722,0)),""))</f>
        <v/>
      </c>
      <c r="C73" s="24">
        <f>IF($A73="","",IFERROR(INDEX('03 Raw Data'!$E$3:$E$722,MATCH($A73,'03 Raw Data'!$D$3:$D$722,0)),""))</f>
        <v/>
      </c>
      <c r="D73" s="24">
        <f>IF($A73="","",IFERROR(INDEX('03 Raw Data'!$H$3:$H$722,MATCH($A73,'03 Raw Data'!$G$3:$G$722,0)),""))</f>
        <v/>
      </c>
      <c r="E73" s="24">
        <f>IF($A73="","",IFERROR(INDEX('03 Raw Data'!$K$3:$K$722,MATCH($A73,'03 Raw Data'!$J$3:$J$722,0)),""))</f>
        <v/>
      </c>
      <c r="F73" s="24">
        <f>IF($A73="","",IFERROR(INDEX('03 Raw Data'!$N$3:$N$722,MATCH($A73,'03 Raw Data'!$M$3:$M$722,0)),""))</f>
        <v/>
      </c>
      <c r="G73" s="24">
        <f>IF($A73="","",IFERROR(INDEX('03 Raw Data'!$Q$3:$Q$722,MATCH($A73,'03 Raw Data'!$P$3:$P$722,0)),""))</f>
        <v/>
      </c>
      <c r="H73" s="24">
        <f>IF($A73="","",IFERROR(INDEX('03 Raw Data'!$T$3:$T$722,MATCH($A73,'03 Raw Data'!$S$3:$S$722,0)),""))</f>
        <v/>
      </c>
    </row>
    <row r="74">
      <c r="A74" s="23">
        <f>IFERROR(IF(OR('03 Raw Data'!A72="",'03 Raw Data'!A72=0),"",'03 Raw Data'!A72),"")</f>
        <v/>
      </c>
      <c r="B74" s="24">
        <f>IF($A74="","",IFERROR(INDEX('03 Raw Data'!$B$3:$B$722,MATCH($A74,'03 Raw Data'!$A$3:$A$722,0)),""))</f>
        <v/>
      </c>
      <c r="C74" s="24">
        <f>IF($A74="","",IFERROR(INDEX('03 Raw Data'!$E$3:$E$722,MATCH($A74,'03 Raw Data'!$D$3:$D$722,0)),""))</f>
        <v/>
      </c>
      <c r="D74" s="24">
        <f>IF($A74="","",IFERROR(INDEX('03 Raw Data'!$H$3:$H$722,MATCH($A74,'03 Raw Data'!$G$3:$G$722,0)),""))</f>
        <v/>
      </c>
      <c r="E74" s="24">
        <f>IF($A74="","",IFERROR(INDEX('03 Raw Data'!$K$3:$K$722,MATCH($A74,'03 Raw Data'!$J$3:$J$722,0)),""))</f>
        <v/>
      </c>
      <c r="F74" s="24">
        <f>IF($A74="","",IFERROR(INDEX('03 Raw Data'!$N$3:$N$722,MATCH($A74,'03 Raw Data'!$M$3:$M$722,0)),""))</f>
        <v/>
      </c>
      <c r="G74" s="24">
        <f>IF($A74="","",IFERROR(INDEX('03 Raw Data'!$Q$3:$Q$722,MATCH($A74,'03 Raw Data'!$P$3:$P$722,0)),""))</f>
        <v/>
      </c>
      <c r="H74" s="24">
        <f>IF($A74="","",IFERROR(INDEX('03 Raw Data'!$T$3:$T$722,MATCH($A74,'03 Raw Data'!$S$3:$S$722,0)),""))</f>
        <v/>
      </c>
    </row>
    <row r="75">
      <c r="A75" s="23">
        <f>IFERROR(IF(OR('03 Raw Data'!A73="",'03 Raw Data'!A73=0),"",'03 Raw Data'!A73),"")</f>
        <v/>
      </c>
      <c r="B75" s="24">
        <f>IF($A75="","",IFERROR(INDEX('03 Raw Data'!$B$3:$B$722,MATCH($A75,'03 Raw Data'!$A$3:$A$722,0)),""))</f>
        <v/>
      </c>
      <c r="C75" s="24">
        <f>IF($A75="","",IFERROR(INDEX('03 Raw Data'!$E$3:$E$722,MATCH($A75,'03 Raw Data'!$D$3:$D$722,0)),""))</f>
        <v/>
      </c>
      <c r="D75" s="24">
        <f>IF($A75="","",IFERROR(INDEX('03 Raw Data'!$H$3:$H$722,MATCH($A75,'03 Raw Data'!$G$3:$G$722,0)),""))</f>
        <v/>
      </c>
      <c r="E75" s="24">
        <f>IF($A75="","",IFERROR(INDEX('03 Raw Data'!$K$3:$K$722,MATCH($A75,'03 Raw Data'!$J$3:$J$722,0)),""))</f>
        <v/>
      </c>
      <c r="F75" s="24">
        <f>IF($A75="","",IFERROR(INDEX('03 Raw Data'!$N$3:$N$722,MATCH($A75,'03 Raw Data'!$M$3:$M$722,0)),""))</f>
        <v/>
      </c>
      <c r="G75" s="24">
        <f>IF($A75="","",IFERROR(INDEX('03 Raw Data'!$Q$3:$Q$722,MATCH($A75,'03 Raw Data'!$P$3:$P$722,0)),""))</f>
        <v/>
      </c>
      <c r="H75" s="24">
        <f>IF($A75="","",IFERROR(INDEX('03 Raw Data'!$T$3:$T$722,MATCH($A75,'03 Raw Data'!$S$3:$S$722,0)),""))</f>
        <v/>
      </c>
    </row>
    <row r="76">
      <c r="A76" s="23">
        <f>IFERROR(IF(OR('03 Raw Data'!A74="",'03 Raw Data'!A74=0),"",'03 Raw Data'!A74),"")</f>
        <v/>
      </c>
      <c r="B76" s="24">
        <f>IF($A76="","",IFERROR(INDEX('03 Raw Data'!$B$3:$B$722,MATCH($A76,'03 Raw Data'!$A$3:$A$722,0)),""))</f>
        <v/>
      </c>
      <c r="C76" s="24">
        <f>IF($A76="","",IFERROR(INDEX('03 Raw Data'!$E$3:$E$722,MATCH($A76,'03 Raw Data'!$D$3:$D$722,0)),""))</f>
        <v/>
      </c>
      <c r="D76" s="24">
        <f>IF($A76="","",IFERROR(INDEX('03 Raw Data'!$H$3:$H$722,MATCH($A76,'03 Raw Data'!$G$3:$G$722,0)),""))</f>
        <v/>
      </c>
      <c r="E76" s="24">
        <f>IF($A76="","",IFERROR(INDEX('03 Raw Data'!$K$3:$K$722,MATCH($A76,'03 Raw Data'!$J$3:$J$722,0)),""))</f>
        <v/>
      </c>
      <c r="F76" s="24">
        <f>IF($A76="","",IFERROR(INDEX('03 Raw Data'!$N$3:$N$722,MATCH($A76,'03 Raw Data'!$M$3:$M$722,0)),""))</f>
        <v/>
      </c>
      <c r="G76" s="24">
        <f>IF($A76="","",IFERROR(INDEX('03 Raw Data'!$Q$3:$Q$722,MATCH($A76,'03 Raw Data'!$P$3:$P$722,0)),""))</f>
        <v/>
      </c>
      <c r="H76" s="24">
        <f>IF($A76="","",IFERROR(INDEX('03 Raw Data'!$T$3:$T$722,MATCH($A76,'03 Raw Data'!$S$3:$S$722,0)),""))</f>
        <v/>
      </c>
    </row>
    <row r="77">
      <c r="A77" s="23">
        <f>IFERROR(IF(OR('03 Raw Data'!A75="",'03 Raw Data'!A75=0),"",'03 Raw Data'!A75),"")</f>
        <v/>
      </c>
      <c r="B77" s="24">
        <f>IF($A77="","",IFERROR(INDEX('03 Raw Data'!$B$3:$B$722,MATCH($A77,'03 Raw Data'!$A$3:$A$722,0)),""))</f>
        <v/>
      </c>
      <c r="C77" s="24">
        <f>IF($A77="","",IFERROR(INDEX('03 Raw Data'!$E$3:$E$722,MATCH($A77,'03 Raw Data'!$D$3:$D$722,0)),""))</f>
        <v/>
      </c>
      <c r="D77" s="24">
        <f>IF($A77="","",IFERROR(INDEX('03 Raw Data'!$H$3:$H$722,MATCH($A77,'03 Raw Data'!$G$3:$G$722,0)),""))</f>
        <v/>
      </c>
      <c r="E77" s="24">
        <f>IF($A77="","",IFERROR(INDEX('03 Raw Data'!$K$3:$K$722,MATCH($A77,'03 Raw Data'!$J$3:$J$722,0)),""))</f>
        <v/>
      </c>
      <c r="F77" s="24">
        <f>IF($A77="","",IFERROR(INDEX('03 Raw Data'!$N$3:$N$722,MATCH($A77,'03 Raw Data'!$M$3:$M$722,0)),""))</f>
        <v/>
      </c>
      <c r="G77" s="24">
        <f>IF($A77="","",IFERROR(INDEX('03 Raw Data'!$Q$3:$Q$722,MATCH($A77,'03 Raw Data'!$P$3:$P$722,0)),""))</f>
        <v/>
      </c>
      <c r="H77" s="24">
        <f>IF($A77="","",IFERROR(INDEX('03 Raw Data'!$T$3:$T$722,MATCH($A77,'03 Raw Data'!$S$3:$S$722,0)),""))</f>
        <v/>
      </c>
    </row>
    <row r="78">
      <c r="A78" s="23">
        <f>IFERROR(IF(OR('03 Raw Data'!A76="",'03 Raw Data'!A76=0),"",'03 Raw Data'!A76),"")</f>
        <v/>
      </c>
      <c r="B78" s="24">
        <f>IF($A78="","",IFERROR(INDEX('03 Raw Data'!$B$3:$B$722,MATCH($A78,'03 Raw Data'!$A$3:$A$722,0)),""))</f>
        <v/>
      </c>
      <c r="C78" s="24">
        <f>IF($A78="","",IFERROR(INDEX('03 Raw Data'!$E$3:$E$722,MATCH($A78,'03 Raw Data'!$D$3:$D$722,0)),""))</f>
        <v/>
      </c>
      <c r="D78" s="24">
        <f>IF($A78="","",IFERROR(INDEX('03 Raw Data'!$H$3:$H$722,MATCH($A78,'03 Raw Data'!$G$3:$G$722,0)),""))</f>
        <v/>
      </c>
      <c r="E78" s="24">
        <f>IF($A78="","",IFERROR(INDEX('03 Raw Data'!$K$3:$K$722,MATCH($A78,'03 Raw Data'!$J$3:$J$722,0)),""))</f>
        <v/>
      </c>
      <c r="F78" s="24">
        <f>IF($A78="","",IFERROR(INDEX('03 Raw Data'!$N$3:$N$722,MATCH($A78,'03 Raw Data'!$M$3:$M$722,0)),""))</f>
        <v/>
      </c>
      <c r="G78" s="24">
        <f>IF($A78="","",IFERROR(INDEX('03 Raw Data'!$Q$3:$Q$722,MATCH($A78,'03 Raw Data'!$P$3:$P$722,0)),""))</f>
        <v/>
      </c>
      <c r="H78" s="24">
        <f>IF($A78="","",IFERROR(INDEX('03 Raw Data'!$T$3:$T$722,MATCH($A78,'03 Raw Data'!$S$3:$S$722,0)),""))</f>
        <v/>
      </c>
    </row>
    <row r="79">
      <c r="A79" s="23">
        <f>IFERROR(IF(OR('03 Raw Data'!A77="",'03 Raw Data'!A77=0),"",'03 Raw Data'!A77),"")</f>
        <v/>
      </c>
      <c r="B79" s="24">
        <f>IF($A79="","",IFERROR(INDEX('03 Raw Data'!$B$3:$B$722,MATCH($A79,'03 Raw Data'!$A$3:$A$722,0)),""))</f>
        <v/>
      </c>
      <c r="C79" s="24">
        <f>IF($A79="","",IFERROR(INDEX('03 Raw Data'!$E$3:$E$722,MATCH($A79,'03 Raw Data'!$D$3:$D$722,0)),""))</f>
        <v/>
      </c>
      <c r="D79" s="24">
        <f>IF($A79="","",IFERROR(INDEX('03 Raw Data'!$H$3:$H$722,MATCH($A79,'03 Raw Data'!$G$3:$G$722,0)),""))</f>
        <v/>
      </c>
      <c r="E79" s="24">
        <f>IF($A79="","",IFERROR(INDEX('03 Raw Data'!$K$3:$K$722,MATCH($A79,'03 Raw Data'!$J$3:$J$722,0)),""))</f>
        <v/>
      </c>
      <c r="F79" s="24">
        <f>IF($A79="","",IFERROR(INDEX('03 Raw Data'!$N$3:$N$722,MATCH($A79,'03 Raw Data'!$M$3:$M$722,0)),""))</f>
        <v/>
      </c>
      <c r="G79" s="24">
        <f>IF($A79="","",IFERROR(INDEX('03 Raw Data'!$Q$3:$Q$722,MATCH($A79,'03 Raw Data'!$P$3:$P$722,0)),""))</f>
        <v/>
      </c>
      <c r="H79" s="24">
        <f>IF($A79="","",IFERROR(INDEX('03 Raw Data'!$T$3:$T$722,MATCH($A79,'03 Raw Data'!$S$3:$S$722,0)),""))</f>
        <v/>
      </c>
    </row>
    <row r="80">
      <c r="A80" s="23">
        <f>IFERROR(IF(OR('03 Raw Data'!A78="",'03 Raw Data'!A78=0),"",'03 Raw Data'!A78),"")</f>
        <v/>
      </c>
      <c r="B80" s="24">
        <f>IF($A80="","",IFERROR(INDEX('03 Raw Data'!$B$3:$B$722,MATCH($A80,'03 Raw Data'!$A$3:$A$722,0)),""))</f>
        <v/>
      </c>
      <c r="C80" s="24">
        <f>IF($A80="","",IFERROR(INDEX('03 Raw Data'!$E$3:$E$722,MATCH($A80,'03 Raw Data'!$D$3:$D$722,0)),""))</f>
        <v/>
      </c>
      <c r="D80" s="24">
        <f>IF($A80="","",IFERROR(INDEX('03 Raw Data'!$H$3:$H$722,MATCH($A80,'03 Raw Data'!$G$3:$G$722,0)),""))</f>
        <v/>
      </c>
      <c r="E80" s="24">
        <f>IF($A80="","",IFERROR(INDEX('03 Raw Data'!$K$3:$K$722,MATCH($A80,'03 Raw Data'!$J$3:$J$722,0)),""))</f>
        <v/>
      </c>
      <c r="F80" s="24">
        <f>IF($A80="","",IFERROR(INDEX('03 Raw Data'!$N$3:$N$722,MATCH($A80,'03 Raw Data'!$M$3:$M$722,0)),""))</f>
        <v/>
      </c>
      <c r="G80" s="24">
        <f>IF($A80="","",IFERROR(INDEX('03 Raw Data'!$Q$3:$Q$722,MATCH($A80,'03 Raw Data'!$P$3:$P$722,0)),""))</f>
        <v/>
      </c>
      <c r="H80" s="24">
        <f>IF($A80="","",IFERROR(INDEX('03 Raw Data'!$T$3:$T$722,MATCH($A80,'03 Raw Data'!$S$3:$S$722,0)),""))</f>
        <v/>
      </c>
    </row>
    <row r="81">
      <c r="A81" s="23">
        <f>IFERROR(IF(OR('03 Raw Data'!A79="",'03 Raw Data'!A79=0),"",'03 Raw Data'!A79),"")</f>
        <v/>
      </c>
      <c r="B81" s="24">
        <f>IF($A81="","",IFERROR(INDEX('03 Raw Data'!$B$3:$B$722,MATCH($A81,'03 Raw Data'!$A$3:$A$722,0)),""))</f>
        <v/>
      </c>
      <c r="C81" s="24">
        <f>IF($A81="","",IFERROR(INDEX('03 Raw Data'!$E$3:$E$722,MATCH($A81,'03 Raw Data'!$D$3:$D$722,0)),""))</f>
        <v/>
      </c>
      <c r="D81" s="24">
        <f>IF($A81="","",IFERROR(INDEX('03 Raw Data'!$H$3:$H$722,MATCH($A81,'03 Raw Data'!$G$3:$G$722,0)),""))</f>
        <v/>
      </c>
      <c r="E81" s="24">
        <f>IF($A81="","",IFERROR(INDEX('03 Raw Data'!$K$3:$K$722,MATCH($A81,'03 Raw Data'!$J$3:$J$722,0)),""))</f>
        <v/>
      </c>
      <c r="F81" s="24">
        <f>IF($A81="","",IFERROR(INDEX('03 Raw Data'!$N$3:$N$722,MATCH($A81,'03 Raw Data'!$M$3:$M$722,0)),""))</f>
        <v/>
      </c>
      <c r="G81" s="24">
        <f>IF($A81="","",IFERROR(INDEX('03 Raw Data'!$Q$3:$Q$722,MATCH($A81,'03 Raw Data'!$P$3:$P$722,0)),""))</f>
        <v/>
      </c>
      <c r="H81" s="24">
        <f>IF($A81="","",IFERROR(INDEX('03 Raw Data'!$T$3:$T$722,MATCH($A81,'03 Raw Data'!$S$3:$S$722,0)),""))</f>
        <v/>
      </c>
    </row>
    <row r="82">
      <c r="A82" s="23">
        <f>IFERROR(IF(OR('03 Raw Data'!A80="",'03 Raw Data'!A80=0),"",'03 Raw Data'!A80),"")</f>
        <v/>
      </c>
      <c r="B82" s="24">
        <f>IF($A82="","",IFERROR(INDEX('03 Raw Data'!$B$3:$B$722,MATCH($A82,'03 Raw Data'!$A$3:$A$722,0)),""))</f>
        <v/>
      </c>
      <c r="C82" s="24">
        <f>IF($A82="","",IFERROR(INDEX('03 Raw Data'!$E$3:$E$722,MATCH($A82,'03 Raw Data'!$D$3:$D$722,0)),""))</f>
        <v/>
      </c>
      <c r="D82" s="24">
        <f>IF($A82="","",IFERROR(INDEX('03 Raw Data'!$H$3:$H$722,MATCH($A82,'03 Raw Data'!$G$3:$G$722,0)),""))</f>
        <v/>
      </c>
      <c r="E82" s="24">
        <f>IF($A82="","",IFERROR(INDEX('03 Raw Data'!$K$3:$K$722,MATCH($A82,'03 Raw Data'!$J$3:$J$722,0)),""))</f>
        <v/>
      </c>
      <c r="F82" s="24">
        <f>IF($A82="","",IFERROR(INDEX('03 Raw Data'!$N$3:$N$722,MATCH($A82,'03 Raw Data'!$M$3:$M$722,0)),""))</f>
        <v/>
      </c>
      <c r="G82" s="24">
        <f>IF($A82="","",IFERROR(INDEX('03 Raw Data'!$Q$3:$Q$722,MATCH($A82,'03 Raw Data'!$P$3:$P$722,0)),""))</f>
        <v/>
      </c>
      <c r="H82" s="24">
        <f>IF($A82="","",IFERROR(INDEX('03 Raw Data'!$T$3:$T$722,MATCH($A82,'03 Raw Data'!$S$3:$S$722,0)),""))</f>
        <v/>
      </c>
    </row>
    <row r="83">
      <c r="A83" s="23">
        <f>IFERROR(IF(OR('03 Raw Data'!A81="",'03 Raw Data'!A81=0),"",'03 Raw Data'!A81),"")</f>
        <v/>
      </c>
      <c r="B83" s="24">
        <f>IF($A83="","",IFERROR(INDEX('03 Raw Data'!$B$3:$B$722,MATCH($A83,'03 Raw Data'!$A$3:$A$722,0)),""))</f>
        <v/>
      </c>
      <c r="C83" s="24">
        <f>IF($A83="","",IFERROR(INDEX('03 Raw Data'!$E$3:$E$722,MATCH($A83,'03 Raw Data'!$D$3:$D$722,0)),""))</f>
        <v/>
      </c>
      <c r="D83" s="24">
        <f>IF($A83="","",IFERROR(INDEX('03 Raw Data'!$H$3:$H$722,MATCH($A83,'03 Raw Data'!$G$3:$G$722,0)),""))</f>
        <v/>
      </c>
      <c r="E83" s="24">
        <f>IF($A83="","",IFERROR(INDEX('03 Raw Data'!$K$3:$K$722,MATCH($A83,'03 Raw Data'!$J$3:$J$722,0)),""))</f>
        <v/>
      </c>
      <c r="F83" s="24">
        <f>IF($A83="","",IFERROR(INDEX('03 Raw Data'!$N$3:$N$722,MATCH($A83,'03 Raw Data'!$M$3:$M$722,0)),""))</f>
        <v/>
      </c>
      <c r="G83" s="24">
        <f>IF($A83="","",IFERROR(INDEX('03 Raw Data'!$Q$3:$Q$722,MATCH($A83,'03 Raw Data'!$P$3:$P$722,0)),""))</f>
        <v/>
      </c>
      <c r="H83" s="24">
        <f>IF($A83="","",IFERROR(INDEX('03 Raw Data'!$T$3:$T$722,MATCH($A83,'03 Raw Data'!$S$3:$S$722,0)),""))</f>
        <v/>
      </c>
    </row>
    <row r="84">
      <c r="A84" s="23">
        <f>IFERROR(IF(OR('03 Raw Data'!A82="",'03 Raw Data'!A82=0),"",'03 Raw Data'!A82),"")</f>
        <v/>
      </c>
      <c r="B84" s="24">
        <f>IF($A84="","",IFERROR(INDEX('03 Raw Data'!$B$3:$B$722,MATCH($A84,'03 Raw Data'!$A$3:$A$722,0)),""))</f>
        <v/>
      </c>
      <c r="C84" s="24">
        <f>IF($A84="","",IFERROR(INDEX('03 Raw Data'!$E$3:$E$722,MATCH($A84,'03 Raw Data'!$D$3:$D$722,0)),""))</f>
        <v/>
      </c>
      <c r="D84" s="24">
        <f>IF($A84="","",IFERROR(INDEX('03 Raw Data'!$H$3:$H$722,MATCH($A84,'03 Raw Data'!$G$3:$G$722,0)),""))</f>
        <v/>
      </c>
      <c r="E84" s="24">
        <f>IF($A84="","",IFERROR(INDEX('03 Raw Data'!$K$3:$K$722,MATCH($A84,'03 Raw Data'!$J$3:$J$722,0)),""))</f>
        <v/>
      </c>
      <c r="F84" s="24">
        <f>IF($A84="","",IFERROR(INDEX('03 Raw Data'!$N$3:$N$722,MATCH($A84,'03 Raw Data'!$M$3:$M$722,0)),""))</f>
        <v/>
      </c>
      <c r="G84" s="24">
        <f>IF($A84="","",IFERROR(INDEX('03 Raw Data'!$Q$3:$Q$722,MATCH($A84,'03 Raw Data'!$P$3:$P$722,0)),""))</f>
        <v/>
      </c>
      <c r="H84" s="24">
        <f>IF($A84="","",IFERROR(INDEX('03 Raw Data'!$T$3:$T$722,MATCH($A84,'03 Raw Data'!$S$3:$S$722,0)),""))</f>
        <v/>
      </c>
    </row>
    <row r="85">
      <c r="A85" s="23">
        <f>IFERROR(IF(OR('03 Raw Data'!A83="",'03 Raw Data'!A83=0),"",'03 Raw Data'!A83),"")</f>
        <v/>
      </c>
      <c r="B85" s="24">
        <f>IF($A85="","",IFERROR(INDEX('03 Raw Data'!$B$3:$B$722,MATCH($A85,'03 Raw Data'!$A$3:$A$722,0)),""))</f>
        <v/>
      </c>
      <c r="C85" s="24">
        <f>IF($A85="","",IFERROR(INDEX('03 Raw Data'!$E$3:$E$722,MATCH($A85,'03 Raw Data'!$D$3:$D$722,0)),""))</f>
        <v/>
      </c>
      <c r="D85" s="24">
        <f>IF($A85="","",IFERROR(INDEX('03 Raw Data'!$H$3:$H$722,MATCH($A85,'03 Raw Data'!$G$3:$G$722,0)),""))</f>
        <v/>
      </c>
      <c r="E85" s="24">
        <f>IF($A85="","",IFERROR(INDEX('03 Raw Data'!$K$3:$K$722,MATCH($A85,'03 Raw Data'!$J$3:$J$722,0)),""))</f>
        <v/>
      </c>
      <c r="F85" s="24">
        <f>IF($A85="","",IFERROR(INDEX('03 Raw Data'!$N$3:$N$722,MATCH($A85,'03 Raw Data'!$M$3:$M$722,0)),""))</f>
        <v/>
      </c>
      <c r="G85" s="24">
        <f>IF($A85="","",IFERROR(INDEX('03 Raw Data'!$Q$3:$Q$722,MATCH($A85,'03 Raw Data'!$P$3:$P$722,0)),""))</f>
        <v/>
      </c>
      <c r="H85" s="24">
        <f>IF($A85="","",IFERROR(INDEX('03 Raw Data'!$T$3:$T$722,MATCH($A85,'03 Raw Data'!$S$3:$S$722,0)),""))</f>
        <v/>
      </c>
    </row>
    <row r="86">
      <c r="A86" s="23">
        <f>IFERROR(IF(OR('03 Raw Data'!A84="",'03 Raw Data'!A84=0),"",'03 Raw Data'!A84),"")</f>
        <v/>
      </c>
      <c r="B86" s="24">
        <f>IF($A86="","",IFERROR(INDEX('03 Raw Data'!$B$3:$B$722,MATCH($A86,'03 Raw Data'!$A$3:$A$722,0)),""))</f>
        <v/>
      </c>
      <c r="C86" s="24">
        <f>IF($A86="","",IFERROR(INDEX('03 Raw Data'!$E$3:$E$722,MATCH($A86,'03 Raw Data'!$D$3:$D$722,0)),""))</f>
        <v/>
      </c>
      <c r="D86" s="24">
        <f>IF($A86="","",IFERROR(INDEX('03 Raw Data'!$H$3:$H$722,MATCH($A86,'03 Raw Data'!$G$3:$G$722,0)),""))</f>
        <v/>
      </c>
      <c r="E86" s="24">
        <f>IF($A86="","",IFERROR(INDEX('03 Raw Data'!$K$3:$K$722,MATCH($A86,'03 Raw Data'!$J$3:$J$722,0)),""))</f>
        <v/>
      </c>
      <c r="F86" s="24">
        <f>IF($A86="","",IFERROR(INDEX('03 Raw Data'!$N$3:$N$722,MATCH($A86,'03 Raw Data'!$M$3:$M$722,0)),""))</f>
        <v/>
      </c>
      <c r="G86" s="24">
        <f>IF($A86="","",IFERROR(INDEX('03 Raw Data'!$Q$3:$Q$722,MATCH($A86,'03 Raw Data'!$P$3:$P$722,0)),""))</f>
        <v/>
      </c>
      <c r="H86" s="24">
        <f>IF($A86="","",IFERROR(INDEX('03 Raw Data'!$T$3:$T$722,MATCH($A86,'03 Raw Data'!$S$3:$S$722,0)),""))</f>
        <v/>
      </c>
    </row>
    <row r="87">
      <c r="A87" s="23">
        <f>IFERROR(IF(OR('03 Raw Data'!A85="",'03 Raw Data'!A85=0),"",'03 Raw Data'!A85),"")</f>
        <v/>
      </c>
      <c r="B87" s="24">
        <f>IF($A87="","",IFERROR(INDEX('03 Raw Data'!$B$3:$B$722,MATCH($A87,'03 Raw Data'!$A$3:$A$722,0)),""))</f>
        <v/>
      </c>
      <c r="C87" s="24">
        <f>IF($A87="","",IFERROR(INDEX('03 Raw Data'!$E$3:$E$722,MATCH($A87,'03 Raw Data'!$D$3:$D$722,0)),""))</f>
        <v/>
      </c>
      <c r="D87" s="24">
        <f>IF($A87="","",IFERROR(INDEX('03 Raw Data'!$H$3:$H$722,MATCH($A87,'03 Raw Data'!$G$3:$G$722,0)),""))</f>
        <v/>
      </c>
      <c r="E87" s="24">
        <f>IF($A87="","",IFERROR(INDEX('03 Raw Data'!$K$3:$K$722,MATCH($A87,'03 Raw Data'!$J$3:$J$722,0)),""))</f>
        <v/>
      </c>
      <c r="F87" s="24">
        <f>IF($A87="","",IFERROR(INDEX('03 Raw Data'!$N$3:$N$722,MATCH($A87,'03 Raw Data'!$M$3:$M$722,0)),""))</f>
        <v/>
      </c>
      <c r="G87" s="24">
        <f>IF($A87="","",IFERROR(INDEX('03 Raw Data'!$Q$3:$Q$722,MATCH($A87,'03 Raw Data'!$P$3:$P$722,0)),""))</f>
        <v/>
      </c>
      <c r="H87" s="24">
        <f>IF($A87="","",IFERROR(INDEX('03 Raw Data'!$T$3:$T$722,MATCH($A87,'03 Raw Data'!$S$3:$S$722,0)),""))</f>
        <v/>
      </c>
    </row>
    <row r="88">
      <c r="A88" s="23">
        <f>IFERROR(IF(OR('03 Raw Data'!A86="",'03 Raw Data'!A86=0),"",'03 Raw Data'!A86),"")</f>
        <v/>
      </c>
      <c r="B88" s="24">
        <f>IF($A88="","",IFERROR(INDEX('03 Raw Data'!$B$3:$B$722,MATCH($A88,'03 Raw Data'!$A$3:$A$722,0)),""))</f>
        <v/>
      </c>
      <c r="C88" s="24">
        <f>IF($A88="","",IFERROR(INDEX('03 Raw Data'!$E$3:$E$722,MATCH($A88,'03 Raw Data'!$D$3:$D$722,0)),""))</f>
        <v/>
      </c>
      <c r="D88" s="24">
        <f>IF($A88="","",IFERROR(INDEX('03 Raw Data'!$H$3:$H$722,MATCH($A88,'03 Raw Data'!$G$3:$G$722,0)),""))</f>
        <v/>
      </c>
      <c r="E88" s="24">
        <f>IF($A88="","",IFERROR(INDEX('03 Raw Data'!$K$3:$K$722,MATCH($A88,'03 Raw Data'!$J$3:$J$722,0)),""))</f>
        <v/>
      </c>
      <c r="F88" s="24">
        <f>IF($A88="","",IFERROR(INDEX('03 Raw Data'!$N$3:$N$722,MATCH($A88,'03 Raw Data'!$M$3:$M$722,0)),""))</f>
        <v/>
      </c>
      <c r="G88" s="24">
        <f>IF($A88="","",IFERROR(INDEX('03 Raw Data'!$Q$3:$Q$722,MATCH($A88,'03 Raw Data'!$P$3:$P$722,0)),""))</f>
        <v/>
      </c>
      <c r="H88" s="24">
        <f>IF($A88="","",IFERROR(INDEX('03 Raw Data'!$T$3:$T$722,MATCH($A88,'03 Raw Data'!$S$3:$S$722,0)),""))</f>
        <v/>
      </c>
    </row>
    <row r="89">
      <c r="A89" s="23">
        <f>IFERROR(IF(OR('03 Raw Data'!A87="",'03 Raw Data'!A87=0),"",'03 Raw Data'!A87),"")</f>
        <v/>
      </c>
      <c r="B89" s="24">
        <f>IF($A89="","",IFERROR(INDEX('03 Raw Data'!$B$3:$B$722,MATCH($A89,'03 Raw Data'!$A$3:$A$722,0)),""))</f>
        <v/>
      </c>
      <c r="C89" s="24">
        <f>IF($A89="","",IFERROR(INDEX('03 Raw Data'!$E$3:$E$722,MATCH($A89,'03 Raw Data'!$D$3:$D$722,0)),""))</f>
        <v/>
      </c>
      <c r="D89" s="24">
        <f>IF($A89="","",IFERROR(INDEX('03 Raw Data'!$H$3:$H$722,MATCH($A89,'03 Raw Data'!$G$3:$G$722,0)),""))</f>
        <v/>
      </c>
      <c r="E89" s="24">
        <f>IF($A89="","",IFERROR(INDEX('03 Raw Data'!$K$3:$K$722,MATCH($A89,'03 Raw Data'!$J$3:$J$722,0)),""))</f>
        <v/>
      </c>
      <c r="F89" s="24">
        <f>IF($A89="","",IFERROR(INDEX('03 Raw Data'!$N$3:$N$722,MATCH($A89,'03 Raw Data'!$M$3:$M$722,0)),""))</f>
        <v/>
      </c>
      <c r="G89" s="24">
        <f>IF($A89="","",IFERROR(INDEX('03 Raw Data'!$Q$3:$Q$722,MATCH($A89,'03 Raw Data'!$P$3:$P$722,0)),""))</f>
        <v/>
      </c>
      <c r="H89" s="24">
        <f>IF($A89="","",IFERROR(INDEX('03 Raw Data'!$T$3:$T$722,MATCH($A89,'03 Raw Data'!$S$3:$S$722,0)),""))</f>
        <v/>
      </c>
    </row>
    <row r="90">
      <c r="A90" s="23">
        <f>IFERROR(IF(OR('03 Raw Data'!A88="",'03 Raw Data'!A88=0),"",'03 Raw Data'!A88),"")</f>
        <v/>
      </c>
      <c r="B90" s="24">
        <f>IF($A90="","",IFERROR(INDEX('03 Raw Data'!$B$3:$B$722,MATCH($A90,'03 Raw Data'!$A$3:$A$722,0)),""))</f>
        <v/>
      </c>
      <c r="C90" s="24">
        <f>IF($A90="","",IFERROR(INDEX('03 Raw Data'!$E$3:$E$722,MATCH($A90,'03 Raw Data'!$D$3:$D$722,0)),""))</f>
        <v/>
      </c>
      <c r="D90" s="24">
        <f>IF($A90="","",IFERROR(INDEX('03 Raw Data'!$H$3:$H$722,MATCH($A90,'03 Raw Data'!$G$3:$G$722,0)),""))</f>
        <v/>
      </c>
      <c r="E90" s="24">
        <f>IF($A90="","",IFERROR(INDEX('03 Raw Data'!$K$3:$K$722,MATCH($A90,'03 Raw Data'!$J$3:$J$722,0)),""))</f>
        <v/>
      </c>
      <c r="F90" s="24">
        <f>IF($A90="","",IFERROR(INDEX('03 Raw Data'!$N$3:$N$722,MATCH($A90,'03 Raw Data'!$M$3:$M$722,0)),""))</f>
        <v/>
      </c>
      <c r="G90" s="24">
        <f>IF($A90="","",IFERROR(INDEX('03 Raw Data'!$Q$3:$Q$722,MATCH($A90,'03 Raw Data'!$P$3:$P$722,0)),""))</f>
        <v/>
      </c>
      <c r="H90" s="24">
        <f>IF($A90="","",IFERROR(INDEX('03 Raw Data'!$T$3:$T$722,MATCH($A90,'03 Raw Data'!$S$3:$S$722,0)),""))</f>
        <v/>
      </c>
    </row>
    <row r="91">
      <c r="A91" s="23">
        <f>IFERROR(IF(OR('03 Raw Data'!A89="",'03 Raw Data'!A89=0),"",'03 Raw Data'!A89),"")</f>
        <v/>
      </c>
      <c r="B91" s="24">
        <f>IF($A91="","",IFERROR(INDEX('03 Raw Data'!$B$3:$B$722,MATCH($A91,'03 Raw Data'!$A$3:$A$722,0)),""))</f>
        <v/>
      </c>
      <c r="C91" s="24">
        <f>IF($A91="","",IFERROR(INDEX('03 Raw Data'!$E$3:$E$722,MATCH($A91,'03 Raw Data'!$D$3:$D$722,0)),""))</f>
        <v/>
      </c>
      <c r="D91" s="24">
        <f>IF($A91="","",IFERROR(INDEX('03 Raw Data'!$H$3:$H$722,MATCH($A91,'03 Raw Data'!$G$3:$G$722,0)),""))</f>
        <v/>
      </c>
      <c r="E91" s="24">
        <f>IF($A91="","",IFERROR(INDEX('03 Raw Data'!$K$3:$K$722,MATCH($A91,'03 Raw Data'!$J$3:$J$722,0)),""))</f>
        <v/>
      </c>
      <c r="F91" s="24">
        <f>IF($A91="","",IFERROR(INDEX('03 Raw Data'!$N$3:$N$722,MATCH($A91,'03 Raw Data'!$M$3:$M$722,0)),""))</f>
        <v/>
      </c>
      <c r="G91" s="24">
        <f>IF($A91="","",IFERROR(INDEX('03 Raw Data'!$Q$3:$Q$722,MATCH($A91,'03 Raw Data'!$P$3:$P$722,0)),""))</f>
        <v/>
      </c>
      <c r="H91" s="24">
        <f>IF($A91="","",IFERROR(INDEX('03 Raw Data'!$T$3:$T$722,MATCH($A91,'03 Raw Data'!$S$3:$S$722,0)),""))</f>
        <v/>
      </c>
    </row>
    <row r="92">
      <c r="A92" s="23">
        <f>IFERROR(IF(OR('03 Raw Data'!A90="",'03 Raw Data'!A90=0),"",'03 Raw Data'!A90),"")</f>
        <v/>
      </c>
      <c r="B92" s="24">
        <f>IF($A92="","",IFERROR(INDEX('03 Raw Data'!$B$3:$B$722,MATCH($A92,'03 Raw Data'!$A$3:$A$722,0)),""))</f>
        <v/>
      </c>
      <c r="C92" s="24">
        <f>IF($A92="","",IFERROR(INDEX('03 Raw Data'!$E$3:$E$722,MATCH($A92,'03 Raw Data'!$D$3:$D$722,0)),""))</f>
        <v/>
      </c>
      <c r="D92" s="24">
        <f>IF($A92="","",IFERROR(INDEX('03 Raw Data'!$H$3:$H$722,MATCH($A92,'03 Raw Data'!$G$3:$G$722,0)),""))</f>
        <v/>
      </c>
      <c r="E92" s="24">
        <f>IF($A92="","",IFERROR(INDEX('03 Raw Data'!$K$3:$K$722,MATCH($A92,'03 Raw Data'!$J$3:$J$722,0)),""))</f>
        <v/>
      </c>
      <c r="F92" s="24">
        <f>IF($A92="","",IFERROR(INDEX('03 Raw Data'!$N$3:$N$722,MATCH($A92,'03 Raw Data'!$M$3:$M$722,0)),""))</f>
        <v/>
      </c>
      <c r="G92" s="24">
        <f>IF($A92="","",IFERROR(INDEX('03 Raw Data'!$Q$3:$Q$722,MATCH($A92,'03 Raw Data'!$P$3:$P$722,0)),""))</f>
        <v/>
      </c>
      <c r="H92" s="24">
        <f>IF($A92="","",IFERROR(INDEX('03 Raw Data'!$T$3:$T$722,MATCH($A92,'03 Raw Data'!$S$3:$S$722,0)),""))</f>
        <v/>
      </c>
    </row>
    <row r="93">
      <c r="A93" s="23">
        <f>IFERROR(IF(OR('03 Raw Data'!A91="",'03 Raw Data'!A91=0),"",'03 Raw Data'!A91),"")</f>
        <v/>
      </c>
      <c r="B93" s="24">
        <f>IF($A93="","",IFERROR(INDEX('03 Raw Data'!$B$3:$B$722,MATCH($A93,'03 Raw Data'!$A$3:$A$722,0)),""))</f>
        <v/>
      </c>
      <c r="C93" s="24">
        <f>IF($A93="","",IFERROR(INDEX('03 Raw Data'!$E$3:$E$722,MATCH($A93,'03 Raw Data'!$D$3:$D$722,0)),""))</f>
        <v/>
      </c>
      <c r="D93" s="24">
        <f>IF($A93="","",IFERROR(INDEX('03 Raw Data'!$H$3:$H$722,MATCH($A93,'03 Raw Data'!$G$3:$G$722,0)),""))</f>
        <v/>
      </c>
      <c r="E93" s="24">
        <f>IF($A93="","",IFERROR(INDEX('03 Raw Data'!$K$3:$K$722,MATCH($A93,'03 Raw Data'!$J$3:$J$722,0)),""))</f>
        <v/>
      </c>
      <c r="F93" s="24">
        <f>IF($A93="","",IFERROR(INDEX('03 Raw Data'!$N$3:$N$722,MATCH($A93,'03 Raw Data'!$M$3:$M$722,0)),""))</f>
        <v/>
      </c>
      <c r="G93" s="24">
        <f>IF($A93="","",IFERROR(INDEX('03 Raw Data'!$Q$3:$Q$722,MATCH($A93,'03 Raw Data'!$P$3:$P$722,0)),""))</f>
        <v/>
      </c>
      <c r="H93" s="24">
        <f>IF($A93="","",IFERROR(INDEX('03 Raw Data'!$T$3:$T$722,MATCH($A93,'03 Raw Data'!$S$3:$S$722,0)),""))</f>
        <v/>
      </c>
    </row>
    <row r="94">
      <c r="A94" s="23">
        <f>IFERROR(IF(OR('03 Raw Data'!A92="",'03 Raw Data'!A92=0),"",'03 Raw Data'!A92),"")</f>
        <v/>
      </c>
      <c r="B94" s="24">
        <f>IF($A94="","",IFERROR(INDEX('03 Raw Data'!$B$3:$B$722,MATCH($A94,'03 Raw Data'!$A$3:$A$722,0)),""))</f>
        <v/>
      </c>
      <c r="C94" s="24">
        <f>IF($A94="","",IFERROR(INDEX('03 Raw Data'!$E$3:$E$722,MATCH($A94,'03 Raw Data'!$D$3:$D$722,0)),""))</f>
        <v/>
      </c>
      <c r="D94" s="24">
        <f>IF($A94="","",IFERROR(INDEX('03 Raw Data'!$H$3:$H$722,MATCH($A94,'03 Raw Data'!$G$3:$G$722,0)),""))</f>
        <v/>
      </c>
      <c r="E94" s="24">
        <f>IF($A94="","",IFERROR(INDEX('03 Raw Data'!$K$3:$K$722,MATCH($A94,'03 Raw Data'!$J$3:$J$722,0)),""))</f>
        <v/>
      </c>
      <c r="F94" s="24">
        <f>IF($A94="","",IFERROR(INDEX('03 Raw Data'!$N$3:$N$722,MATCH($A94,'03 Raw Data'!$M$3:$M$722,0)),""))</f>
        <v/>
      </c>
      <c r="G94" s="24">
        <f>IF($A94="","",IFERROR(INDEX('03 Raw Data'!$Q$3:$Q$722,MATCH($A94,'03 Raw Data'!$P$3:$P$722,0)),""))</f>
        <v/>
      </c>
      <c r="H94" s="24">
        <f>IF($A94="","",IFERROR(INDEX('03 Raw Data'!$T$3:$T$722,MATCH($A94,'03 Raw Data'!$S$3:$S$722,0)),""))</f>
        <v/>
      </c>
    </row>
    <row r="95">
      <c r="A95" s="23">
        <f>IFERROR(IF(OR('03 Raw Data'!A93="",'03 Raw Data'!A93=0),"",'03 Raw Data'!A93),"")</f>
        <v/>
      </c>
      <c r="B95" s="24">
        <f>IF($A95="","",IFERROR(INDEX('03 Raw Data'!$B$3:$B$722,MATCH($A95,'03 Raw Data'!$A$3:$A$722,0)),""))</f>
        <v/>
      </c>
      <c r="C95" s="24">
        <f>IF($A95="","",IFERROR(INDEX('03 Raw Data'!$E$3:$E$722,MATCH($A95,'03 Raw Data'!$D$3:$D$722,0)),""))</f>
        <v/>
      </c>
      <c r="D95" s="24">
        <f>IF($A95="","",IFERROR(INDEX('03 Raw Data'!$H$3:$H$722,MATCH($A95,'03 Raw Data'!$G$3:$G$722,0)),""))</f>
        <v/>
      </c>
      <c r="E95" s="24">
        <f>IF($A95="","",IFERROR(INDEX('03 Raw Data'!$K$3:$K$722,MATCH($A95,'03 Raw Data'!$J$3:$J$722,0)),""))</f>
        <v/>
      </c>
      <c r="F95" s="24">
        <f>IF($A95="","",IFERROR(INDEX('03 Raw Data'!$N$3:$N$722,MATCH($A95,'03 Raw Data'!$M$3:$M$722,0)),""))</f>
        <v/>
      </c>
      <c r="G95" s="24">
        <f>IF($A95="","",IFERROR(INDEX('03 Raw Data'!$Q$3:$Q$722,MATCH($A95,'03 Raw Data'!$P$3:$P$722,0)),""))</f>
        <v/>
      </c>
      <c r="H95" s="24">
        <f>IF($A95="","",IFERROR(INDEX('03 Raw Data'!$T$3:$T$722,MATCH($A95,'03 Raw Data'!$S$3:$S$722,0)),""))</f>
        <v/>
      </c>
    </row>
    <row r="96">
      <c r="A96" s="23">
        <f>IFERROR(IF(OR('03 Raw Data'!A94="",'03 Raw Data'!A94=0),"",'03 Raw Data'!A94),"")</f>
        <v/>
      </c>
      <c r="B96" s="24">
        <f>IF($A96="","",IFERROR(INDEX('03 Raw Data'!$B$3:$B$722,MATCH($A96,'03 Raw Data'!$A$3:$A$722,0)),""))</f>
        <v/>
      </c>
      <c r="C96" s="24">
        <f>IF($A96="","",IFERROR(INDEX('03 Raw Data'!$E$3:$E$722,MATCH($A96,'03 Raw Data'!$D$3:$D$722,0)),""))</f>
        <v/>
      </c>
      <c r="D96" s="24">
        <f>IF($A96="","",IFERROR(INDEX('03 Raw Data'!$H$3:$H$722,MATCH($A96,'03 Raw Data'!$G$3:$G$722,0)),""))</f>
        <v/>
      </c>
      <c r="E96" s="24">
        <f>IF($A96="","",IFERROR(INDEX('03 Raw Data'!$K$3:$K$722,MATCH($A96,'03 Raw Data'!$J$3:$J$722,0)),""))</f>
        <v/>
      </c>
      <c r="F96" s="24">
        <f>IF($A96="","",IFERROR(INDEX('03 Raw Data'!$N$3:$N$722,MATCH($A96,'03 Raw Data'!$M$3:$M$722,0)),""))</f>
        <v/>
      </c>
      <c r="G96" s="24">
        <f>IF($A96="","",IFERROR(INDEX('03 Raw Data'!$Q$3:$Q$722,MATCH($A96,'03 Raw Data'!$P$3:$P$722,0)),""))</f>
        <v/>
      </c>
      <c r="H96" s="24">
        <f>IF($A96="","",IFERROR(INDEX('03 Raw Data'!$T$3:$T$722,MATCH($A96,'03 Raw Data'!$S$3:$S$722,0)),""))</f>
        <v/>
      </c>
    </row>
    <row r="97">
      <c r="A97" s="23">
        <f>IFERROR(IF(OR('03 Raw Data'!A95="",'03 Raw Data'!A95=0),"",'03 Raw Data'!A95),"")</f>
        <v/>
      </c>
      <c r="B97" s="24">
        <f>IF($A97="","",IFERROR(INDEX('03 Raw Data'!$B$3:$B$722,MATCH($A97,'03 Raw Data'!$A$3:$A$722,0)),""))</f>
        <v/>
      </c>
      <c r="C97" s="24">
        <f>IF($A97="","",IFERROR(INDEX('03 Raw Data'!$E$3:$E$722,MATCH($A97,'03 Raw Data'!$D$3:$D$722,0)),""))</f>
        <v/>
      </c>
      <c r="D97" s="24">
        <f>IF($A97="","",IFERROR(INDEX('03 Raw Data'!$H$3:$H$722,MATCH($A97,'03 Raw Data'!$G$3:$G$722,0)),""))</f>
        <v/>
      </c>
      <c r="E97" s="24">
        <f>IF($A97="","",IFERROR(INDEX('03 Raw Data'!$K$3:$K$722,MATCH($A97,'03 Raw Data'!$J$3:$J$722,0)),""))</f>
        <v/>
      </c>
      <c r="F97" s="24">
        <f>IF($A97="","",IFERROR(INDEX('03 Raw Data'!$N$3:$N$722,MATCH($A97,'03 Raw Data'!$M$3:$M$722,0)),""))</f>
        <v/>
      </c>
      <c r="G97" s="24">
        <f>IF($A97="","",IFERROR(INDEX('03 Raw Data'!$Q$3:$Q$722,MATCH($A97,'03 Raw Data'!$P$3:$P$722,0)),""))</f>
        <v/>
      </c>
      <c r="H97" s="24">
        <f>IF($A97="","",IFERROR(INDEX('03 Raw Data'!$T$3:$T$722,MATCH($A97,'03 Raw Data'!$S$3:$S$722,0)),""))</f>
        <v/>
      </c>
    </row>
    <row r="98">
      <c r="A98" s="23">
        <f>IFERROR(IF(OR('03 Raw Data'!A96="",'03 Raw Data'!A96=0),"",'03 Raw Data'!A96),"")</f>
        <v/>
      </c>
      <c r="B98" s="24">
        <f>IF($A98="","",IFERROR(INDEX('03 Raw Data'!$B$3:$B$722,MATCH($A98,'03 Raw Data'!$A$3:$A$722,0)),""))</f>
        <v/>
      </c>
      <c r="C98" s="24">
        <f>IF($A98="","",IFERROR(INDEX('03 Raw Data'!$E$3:$E$722,MATCH($A98,'03 Raw Data'!$D$3:$D$722,0)),""))</f>
        <v/>
      </c>
      <c r="D98" s="24">
        <f>IF($A98="","",IFERROR(INDEX('03 Raw Data'!$H$3:$H$722,MATCH($A98,'03 Raw Data'!$G$3:$G$722,0)),""))</f>
        <v/>
      </c>
      <c r="E98" s="24">
        <f>IF($A98="","",IFERROR(INDEX('03 Raw Data'!$K$3:$K$722,MATCH($A98,'03 Raw Data'!$J$3:$J$722,0)),""))</f>
        <v/>
      </c>
      <c r="F98" s="24">
        <f>IF($A98="","",IFERROR(INDEX('03 Raw Data'!$N$3:$N$722,MATCH($A98,'03 Raw Data'!$M$3:$M$722,0)),""))</f>
        <v/>
      </c>
      <c r="G98" s="24">
        <f>IF($A98="","",IFERROR(INDEX('03 Raw Data'!$Q$3:$Q$722,MATCH($A98,'03 Raw Data'!$P$3:$P$722,0)),""))</f>
        <v/>
      </c>
      <c r="H98" s="24">
        <f>IF($A98="","",IFERROR(INDEX('03 Raw Data'!$T$3:$T$722,MATCH($A98,'03 Raw Data'!$S$3:$S$722,0)),""))</f>
        <v/>
      </c>
    </row>
    <row r="99">
      <c r="A99" s="23">
        <f>IFERROR(IF(OR('03 Raw Data'!A97="",'03 Raw Data'!A97=0),"",'03 Raw Data'!A97),"")</f>
        <v/>
      </c>
      <c r="B99" s="24">
        <f>IF($A99="","",IFERROR(INDEX('03 Raw Data'!$B$3:$B$722,MATCH($A99,'03 Raw Data'!$A$3:$A$722,0)),""))</f>
        <v/>
      </c>
      <c r="C99" s="24">
        <f>IF($A99="","",IFERROR(INDEX('03 Raw Data'!$E$3:$E$722,MATCH($A99,'03 Raw Data'!$D$3:$D$722,0)),""))</f>
        <v/>
      </c>
      <c r="D99" s="24">
        <f>IF($A99="","",IFERROR(INDEX('03 Raw Data'!$H$3:$H$722,MATCH($A99,'03 Raw Data'!$G$3:$G$722,0)),""))</f>
        <v/>
      </c>
      <c r="E99" s="24">
        <f>IF($A99="","",IFERROR(INDEX('03 Raw Data'!$K$3:$K$722,MATCH($A99,'03 Raw Data'!$J$3:$J$722,0)),""))</f>
        <v/>
      </c>
      <c r="F99" s="24">
        <f>IF($A99="","",IFERROR(INDEX('03 Raw Data'!$N$3:$N$722,MATCH($A99,'03 Raw Data'!$M$3:$M$722,0)),""))</f>
        <v/>
      </c>
      <c r="G99" s="24">
        <f>IF($A99="","",IFERROR(INDEX('03 Raw Data'!$Q$3:$Q$722,MATCH($A99,'03 Raw Data'!$P$3:$P$722,0)),""))</f>
        <v/>
      </c>
      <c r="H99" s="24">
        <f>IF($A99="","",IFERROR(INDEX('03 Raw Data'!$T$3:$T$722,MATCH($A99,'03 Raw Data'!$S$3:$S$722,0)),""))</f>
        <v/>
      </c>
    </row>
    <row r="100">
      <c r="A100" s="23">
        <f>IFERROR(IF(OR('03 Raw Data'!A98="",'03 Raw Data'!A98=0),"",'03 Raw Data'!A98),"")</f>
        <v/>
      </c>
      <c r="B100" s="24">
        <f>IF($A100="","",IFERROR(INDEX('03 Raw Data'!$B$3:$B$722,MATCH($A100,'03 Raw Data'!$A$3:$A$722,0)),""))</f>
        <v/>
      </c>
      <c r="C100" s="24">
        <f>IF($A100="","",IFERROR(INDEX('03 Raw Data'!$E$3:$E$722,MATCH($A100,'03 Raw Data'!$D$3:$D$722,0)),""))</f>
        <v/>
      </c>
      <c r="D100" s="24">
        <f>IF($A100="","",IFERROR(INDEX('03 Raw Data'!$H$3:$H$722,MATCH($A100,'03 Raw Data'!$G$3:$G$722,0)),""))</f>
        <v/>
      </c>
      <c r="E100" s="24">
        <f>IF($A100="","",IFERROR(INDEX('03 Raw Data'!$K$3:$K$722,MATCH($A100,'03 Raw Data'!$J$3:$J$722,0)),""))</f>
        <v/>
      </c>
      <c r="F100" s="24">
        <f>IF($A100="","",IFERROR(INDEX('03 Raw Data'!$N$3:$N$722,MATCH($A100,'03 Raw Data'!$M$3:$M$722,0)),""))</f>
        <v/>
      </c>
      <c r="G100" s="24">
        <f>IF($A100="","",IFERROR(INDEX('03 Raw Data'!$Q$3:$Q$722,MATCH($A100,'03 Raw Data'!$P$3:$P$722,0)),""))</f>
        <v/>
      </c>
      <c r="H100" s="24">
        <f>IF($A100="","",IFERROR(INDEX('03 Raw Data'!$T$3:$T$722,MATCH($A100,'03 Raw Data'!$S$3:$S$722,0)),""))</f>
        <v/>
      </c>
    </row>
    <row r="101">
      <c r="A101" s="23">
        <f>IFERROR(IF(OR('03 Raw Data'!A99="",'03 Raw Data'!A99=0),"",'03 Raw Data'!A99),"")</f>
        <v/>
      </c>
      <c r="B101" s="24">
        <f>IF($A101="","",IFERROR(INDEX('03 Raw Data'!$B$3:$B$722,MATCH($A101,'03 Raw Data'!$A$3:$A$722,0)),""))</f>
        <v/>
      </c>
      <c r="C101" s="24">
        <f>IF($A101="","",IFERROR(INDEX('03 Raw Data'!$E$3:$E$722,MATCH($A101,'03 Raw Data'!$D$3:$D$722,0)),""))</f>
        <v/>
      </c>
      <c r="D101" s="24">
        <f>IF($A101="","",IFERROR(INDEX('03 Raw Data'!$H$3:$H$722,MATCH($A101,'03 Raw Data'!$G$3:$G$722,0)),""))</f>
        <v/>
      </c>
      <c r="E101" s="24">
        <f>IF($A101="","",IFERROR(INDEX('03 Raw Data'!$K$3:$K$722,MATCH($A101,'03 Raw Data'!$J$3:$J$722,0)),""))</f>
        <v/>
      </c>
      <c r="F101" s="24">
        <f>IF($A101="","",IFERROR(INDEX('03 Raw Data'!$N$3:$N$722,MATCH($A101,'03 Raw Data'!$M$3:$M$722,0)),""))</f>
        <v/>
      </c>
      <c r="G101" s="24">
        <f>IF($A101="","",IFERROR(INDEX('03 Raw Data'!$Q$3:$Q$722,MATCH($A101,'03 Raw Data'!$P$3:$P$722,0)),""))</f>
        <v/>
      </c>
      <c r="H101" s="24">
        <f>IF($A101="","",IFERROR(INDEX('03 Raw Data'!$T$3:$T$722,MATCH($A101,'03 Raw Data'!$S$3:$S$722,0)),""))</f>
        <v/>
      </c>
    </row>
    <row r="102">
      <c r="A102" s="23">
        <f>IFERROR(IF(OR('03 Raw Data'!A100="",'03 Raw Data'!A100=0),"",'03 Raw Data'!A100),"")</f>
        <v/>
      </c>
      <c r="B102" s="24">
        <f>IF($A102="","",IFERROR(INDEX('03 Raw Data'!$B$3:$B$722,MATCH($A102,'03 Raw Data'!$A$3:$A$722,0)),""))</f>
        <v/>
      </c>
      <c r="C102" s="24">
        <f>IF($A102="","",IFERROR(INDEX('03 Raw Data'!$E$3:$E$722,MATCH($A102,'03 Raw Data'!$D$3:$D$722,0)),""))</f>
        <v/>
      </c>
      <c r="D102" s="24">
        <f>IF($A102="","",IFERROR(INDEX('03 Raw Data'!$H$3:$H$722,MATCH($A102,'03 Raw Data'!$G$3:$G$722,0)),""))</f>
        <v/>
      </c>
      <c r="E102" s="24">
        <f>IF($A102="","",IFERROR(INDEX('03 Raw Data'!$K$3:$K$722,MATCH($A102,'03 Raw Data'!$J$3:$J$722,0)),""))</f>
        <v/>
      </c>
      <c r="F102" s="24">
        <f>IF($A102="","",IFERROR(INDEX('03 Raw Data'!$N$3:$N$722,MATCH($A102,'03 Raw Data'!$M$3:$M$722,0)),""))</f>
        <v/>
      </c>
      <c r="G102" s="24">
        <f>IF($A102="","",IFERROR(INDEX('03 Raw Data'!$Q$3:$Q$722,MATCH($A102,'03 Raw Data'!$P$3:$P$722,0)),""))</f>
        <v/>
      </c>
      <c r="H102" s="24">
        <f>IF($A102="","",IFERROR(INDEX('03 Raw Data'!$T$3:$T$722,MATCH($A102,'03 Raw Data'!$S$3:$S$722,0)),""))</f>
        <v/>
      </c>
    </row>
    <row r="103">
      <c r="A103" s="23">
        <f>IFERROR(IF(OR('03 Raw Data'!A101="",'03 Raw Data'!A101=0),"",'03 Raw Data'!A101),"")</f>
        <v/>
      </c>
      <c r="B103" s="24">
        <f>IF($A103="","",IFERROR(INDEX('03 Raw Data'!$B$3:$B$722,MATCH($A103,'03 Raw Data'!$A$3:$A$722,0)),""))</f>
        <v/>
      </c>
      <c r="C103" s="24">
        <f>IF($A103="","",IFERROR(INDEX('03 Raw Data'!$E$3:$E$722,MATCH($A103,'03 Raw Data'!$D$3:$D$722,0)),""))</f>
        <v/>
      </c>
      <c r="D103" s="24">
        <f>IF($A103="","",IFERROR(INDEX('03 Raw Data'!$H$3:$H$722,MATCH($A103,'03 Raw Data'!$G$3:$G$722,0)),""))</f>
        <v/>
      </c>
      <c r="E103" s="24">
        <f>IF($A103="","",IFERROR(INDEX('03 Raw Data'!$K$3:$K$722,MATCH($A103,'03 Raw Data'!$J$3:$J$722,0)),""))</f>
        <v/>
      </c>
      <c r="F103" s="24">
        <f>IF($A103="","",IFERROR(INDEX('03 Raw Data'!$N$3:$N$722,MATCH($A103,'03 Raw Data'!$M$3:$M$722,0)),""))</f>
        <v/>
      </c>
      <c r="G103" s="24">
        <f>IF($A103="","",IFERROR(INDEX('03 Raw Data'!$Q$3:$Q$722,MATCH($A103,'03 Raw Data'!$P$3:$P$722,0)),""))</f>
        <v/>
      </c>
      <c r="H103" s="24">
        <f>IF($A103="","",IFERROR(INDEX('03 Raw Data'!$T$3:$T$722,MATCH($A103,'03 Raw Data'!$S$3:$S$722,0)),""))</f>
        <v/>
      </c>
    </row>
    <row r="104">
      <c r="A104" s="23">
        <f>IFERROR(IF(OR('03 Raw Data'!A102="",'03 Raw Data'!A102=0),"",'03 Raw Data'!A102),"")</f>
        <v/>
      </c>
      <c r="B104" s="24">
        <f>IF($A104="","",IFERROR(INDEX('03 Raw Data'!$B$3:$B$722,MATCH($A104,'03 Raw Data'!$A$3:$A$722,0)),""))</f>
        <v/>
      </c>
      <c r="C104" s="24">
        <f>IF($A104="","",IFERROR(INDEX('03 Raw Data'!$E$3:$E$722,MATCH($A104,'03 Raw Data'!$D$3:$D$722,0)),""))</f>
        <v/>
      </c>
      <c r="D104" s="24">
        <f>IF($A104="","",IFERROR(INDEX('03 Raw Data'!$H$3:$H$722,MATCH($A104,'03 Raw Data'!$G$3:$G$722,0)),""))</f>
        <v/>
      </c>
      <c r="E104" s="24">
        <f>IF($A104="","",IFERROR(INDEX('03 Raw Data'!$K$3:$K$722,MATCH($A104,'03 Raw Data'!$J$3:$J$722,0)),""))</f>
        <v/>
      </c>
      <c r="F104" s="24">
        <f>IF($A104="","",IFERROR(INDEX('03 Raw Data'!$N$3:$N$722,MATCH($A104,'03 Raw Data'!$M$3:$M$722,0)),""))</f>
        <v/>
      </c>
      <c r="G104" s="24">
        <f>IF($A104="","",IFERROR(INDEX('03 Raw Data'!$Q$3:$Q$722,MATCH($A104,'03 Raw Data'!$P$3:$P$722,0)),""))</f>
        <v/>
      </c>
      <c r="H104" s="24">
        <f>IF($A104="","",IFERROR(INDEX('03 Raw Data'!$T$3:$T$722,MATCH($A104,'03 Raw Data'!$S$3:$S$722,0)),""))</f>
        <v/>
      </c>
    </row>
    <row r="105">
      <c r="A105" s="23">
        <f>IFERROR(IF(OR('03 Raw Data'!A103="",'03 Raw Data'!A103=0),"",'03 Raw Data'!A103),"")</f>
        <v/>
      </c>
      <c r="B105" s="24">
        <f>IF($A105="","",IFERROR(INDEX('03 Raw Data'!$B$3:$B$722,MATCH($A105,'03 Raw Data'!$A$3:$A$722,0)),""))</f>
        <v/>
      </c>
      <c r="C105" s="24">
        <f>IF($A105="","",IFERROR(INDEX('03 Raw Data'!$E$3:$E$722,MATCH($A105,'03 Raw Data'!$D$3:$D$722,0)),""))</f>
        <v/>
      </c>
      <c r="D105" s="24">
        <f>IF($A105="","",IFERROR(INDEX('03 Raw Data'!$H$3:$H$722,MATCH($A105,'03 Raw Data'!$G$3:$G$722,0)),""))</f>
        <v/>
      </c>
      <c r="E105" s="24">
        <f>IF($A105="","",IFERROR(INDEX('03 Raw Data'!$K$3:$K$722,MATCH($A105,'03 Raw Data'!$J$3:$J$722,0)),""))</f>
        <v/>
      </c>
      <c r="F105" s="24">
        <f>IF($A105="","",IFERROR(INDEX('03 Raw Data'!$N$3:$N$722,MATCH($A105,'03 Raw Data'!$M$3:$M$722,0)),""))</f>
        <v/>
      </c>
      <c r="G105" s="24">
        <f>IF($A105="","",IFERROR(INDEX('03 Raw Data'!$Q$3:$Q$722,MATCH($A105,'03 Raw Data'!$P$3:$P$722,0)),""))</f>
        <v/>
      </c>
      <c r="H105" s="24">
        <f>IF($A105="","",IFERROR(INDEX('03 Raw Data'!$T$3:$T$722,MATCH($A105,'03 Raw Data'!$S$3:$S$722,0)),""))</f>
        <v/>
      </c>
    </row>
    <row r="106">
      <c r="A106" s="23">
        <f>IFERROR(IF(OR('03 Raw Data'!A104="",'03 Raw Data'!A104=0),"",'03 Raw Data'!A104),"")</f>
        <v/>
      </c>
      <c r="B106" s="24">
        <f>IF($A106="","",IFERROR(INDEX('03 Raw Data'!$B$3:$B$722,MATCH($A106,'03 Raw Data'!$A$3:$A$722,0)),""))</f>
        <v/>
      </c>
      <c r="C106" s="24">
        <f>IF($A106="","",IFERROR(INDEX('03 Raw Data'!$E$3:$E$722,MATCH($A106,'03 Raw Data'!$D$3:$D$722,0)),""))</f>
        <v/>
      </c>
      <c r="D106" s="24">
        <f>IF($A106="","",IFERROR(INDEX('03 Raw Data'!$H$3:$H$722,MATCH($A106,'03 Raw Data'!$G$3:$G$722,0)),""))</f>
        <v/>
      </c>
      <c r="E106" s="24">
        <f>IF($A106="","",IFERROR(INDEX('03 Raw Data'!$K$3:$K$722,MATCH($A106,'03 Raw Data'!$J$3:$J$722,0)),""))</f>
        <v/>
      </c>
      <c r="F106" s="24">
        <f>IF($A106="","",IFERROR(INDEX('03 Raw Data'!$N$3:$N$722,MATCH($A106,'03 Raw Data'!$M$3:$M$722,0)),""))</f>
        <v/>
      </c>
      <c r="G106" s="24">
        <f>IF($A106="","",IFERROR(INDEX('03 Raw Data'!$Q$3:$Q$722,MATCH($A106,'03 Raw Data'!$P$3:$P$722,0)),""))</f>
        <v/>
      </c>
      <c r="H106" s="24">
        <f>IF($A106="","",IFERROR(INDEX('03 Raw Data'!$T$3:$T$722,MATCH($A106,'03 Raw Data'!$S$3:$S$722,0)),""))</f>
        <v/>
      </c>
    </row>
    <row r="107">
      <c r="A107" s="23">
        <f>IFERROR(IF(OR('03 Raw Data'!A105="",'03 Raw Data'!A105=0),"",'03 Raw Data'!A105),"")</f>
        <v/>
      </c>
      <c r="B107" s="24">
        <f>IF($A107="","",IFERROR(INDEX('03 Raw Data'!$B$3:$B$722,MATCH($A107,'03 Raw Data'!$A$3:$A$722,0)),""))</f>
        <v/>
      </c>
      <c r="C107" s="24">
        <f>IF($A107="","",IFERROR(INDEX('03 Raw Data'!$E$3:$E$722,MATCH($A107,'03 Raw Data'!$D$3:$D$722,0)),""))</f>
        <v/>
      </c>
      <c r="D107" s="24">
        <f>IF($A107="","",IFERROR(INDEX('03 Raw Data'!$H$3:$H$722,MATCH($A107,'03 Raw Data'!$G$3:$G$722,0)),""))</f>
        <v/>
      </c>
      <c r="E107" s="24">
        <f>IF($A107="","",IFERROR(INDEX('03 Raw Data'!$K$3:$K$722,MATCH($A107,'03 Raw Data'!$J$3:$J$722,0)),""))</f>
        <v/>
      </c>
      <c r="F107" s="24">
        <f>IF($A107="","",IFERROR(INDEX('03 Raw Data'!$N$3:$N$722,MATCH($A107,'03 Raw Data'!$M$3:$M$722,0)),""))</f>
        <v/>
      </c>
      <c r="G107" s="24">
        <f>IF($A107="","",IFERROR(INDEX('03 Raw Data'!$Q$3:$Q$722,MATCH($A107,'03 Raw Data'!$P$3:$P$722,0)),""))</f>
        <v/>
      </c>
      <c r="H107" s="24">
        <f>IF($A107="","",IFERROR(INDEX('03 Raw Data'!$T$3:$T$722,MATCH($A107,'03 Raw Data'!$S$3:$S$722,0)),""))</f>
        <v/>
      </c>
    </row>
    <row r="108">
      <c r="A108" s="23">
        <f>IFERROR(IF(OR('03 Raw Data'!A106="",'03 Raw Data'!A106=0),"",'03 Raw Data'!A106),"")</f>
        <v/>
      </c>
      <c r="B108" s="24">
        <f>IF($A108="","",IFERROR(INDEX('03 Raw Data'!$B$3:$B$722,MATCH($A108,'03 Raw Data'!$A$3:$A$722,0)),""))</f>
        <v/>
      </c>
      <c r="C108" s="24">
        <f>IF($A108="","",IFERROR(INDEX('03 Raw Data'!$E$3:$E$722,MATCH($A108,'03 Raw Data'!$D$3:$D$722,0)),""))</f>
        <v/>
      </c>
      <c r="D108" s="24">
        <f>IF($A108="","",IFERROR(INDEX('03 Raw Data'!$H$3:$H$722,MATCH($A108,'03 Raw Data'!$G$3:$G$722,0)),""))</f>
        <v/>
      </c>
      <c r="E108" s="24">
        <f>IF($A108="","",IFERROR(INDEX('03 Raw Data'!$K$3:$K$722,MATCH($A108,'03 Raw Data'!$J$3:$J$722,0)),""))</f>
        <v/>
      </c>
      <c r="F108" s="24">
        <f>IF($A108="","",IFERROR(INDEX('03 Raw Data'!$N$3:$N$722,MATCH($A108,'03 Raw Data'!$M$3:$M$722,0)),""))</f>
        <v/>
      </c>
      <c r="G108" s="24">
        <f>IF($A108="","",IFERROR(INDEX('03 Raw Data'!$Q$3:$Q$722,MATCH($A108,'03 Raw Data'!$P$3:$P$722,0)),""))</f>
        <v/>
      </c>
      <c r="H108" s="24">
        <f>IF($A108="","",IFERROR(INDEX('03 Raw Data'!$T$3:$T$722,MATCH($A108,'03 Raw Data'!$S$3:$S$722,0)),""))</f>
        <v/>
      </c>
    </row>
    <row r="109">
      <c r="A109" s="23">
        <f>IFERROR(IF(OR('03 Raw Data'!A107="",'03 Raw Data'!A107=0),"",'03 Raw Data'!A107),"")</f>
        <v/>
      </c>
      <c r="B109" s="24">
        <f>IF($A109="","",IFERROR(INDEX('03 Raw Data'!$B$3:$B$722,MATCH($A109,'03 Raw Data'!$A$3:$A$722,0)),""))</f>
        <v/>
      </c>
      <c r="C109" s="24">
        <f>IF($A109="","",IFERROR(INDEX('03 Raw Data'!$E$3:$E$722,MATCH($A109,'03 Raw Data'!$D$3:$D$722,0)),""))</f>
        <v/>
      </c>
      <c r="D109" s="24">
        <f>IF($A109="","",IFERROR(INDEX('03 Raw Data'!$H$3:$H$722,MATCH($A109,'03 Raw Data'!$G$3:$G$722,0)),""))</f>
        <v/>
      </c>
      <c r="E109" s="24">
        <f>IF($A109="","",IFERROR(INDEX('03 Raw Data'!$K$3:$K$722,MATCH($A109,'03 Raw Data'!$J$3:$J$722,0)),""))</f>
        <v/>
      </c>
      <c r="F109" s="24">
        <f>IF($A109="","",IFERROR(INDEX('03 Raw Data'!$N$3:$N$722,MATCH($A109,'03 Raw Data'!$M$3:$M$722,0)),""))</f>
        <v/>
      </c>
      <c r="G109" s="24">
        <f>IF($A109="","",IFERROR(INDEX('03 Raw Data'!$Q$3:$Q$722,MATCH($A109,'03 Raw Data'!$P$3:$P$722,0)),""))</f>
        <v/>
      </c>
      <c r="H109" s="24">
        <f>IF($A109="","",IFERROR(INDEX('03 Raw Data'!$T$3:$T$722,MATCH($A109,'03 Raw Data'!$S$3:$S$722,0)),""))</f>
        <v/>
      </c>
    </row>
    <row r="110">
      <c r="A110" s="23">
        <f>IFERROR(IF(OR('03 Raw Data'!A108="",'03 Raw Data'!A108=0),"",'03 Raw Data'!A108),"")</f>
        <v/>
      </c>
      <c r="B110" s="24">
        <f>IF($A110="","",IFERROR(INDEX('03 Raw Data'!$B$3:$B$722,MATCH($A110,'03 Raw Data'!$A$3:$A$722,0)),""))</f>
        <v/>
      </c>
      <c r="C110" s="24">
        <f>IF($A110="","",IFERROR(INDEX('03 Raw Data'!$E$3:$E$722,MATCH($A110,'03 Raw Data'!$D$3:$D$722,0)),""))</f>
        <v/>
      </c>
      <c r="D110" s="24">
        <f>IF($A110="","",IFERROR(INDEX('03 Raw Data'!$H$3:$H$722,MATCH($A110,'03 Raw Data'!$G$3:$G$722,0)),""))</f>
        <v/>
      </c>
      <c r="E110" s="24">
        <f>IF($A110="","",IFERROR(INDEX('03 Raw Data'!$K$3:$K$722,MATCH($A110,'03 Raw Data'!$J$3:$J$722,0)),""))</f>
        <v/>
      </c>
      <c r="F110" s="24">
        <f>IF($A110="","",IFERROR(INDEX('03 Raw Data'!$N$3:$N$722,MATCH($A110,'03 Raw Data'!$M$3:$M$722,0)),""))</f>
        <v/>
      </c>
      <c r="G110" s="24">
        <f>IF($A110="","",IFERROR(INDEX('03 Raw Data'!$Q$3:$Q$722,MATCH($A110,'03 Raw Data'!$P$3:$P$722,0)),""))</f>
        <v/>
      </c>
      <c r="H110" s="24">
        <f>IF($A110="","",IFERROR(INDEX('03 Raw Data'!$T$3:$T$722,MATCH($A110,'03 Raw Data'!$S$3:$S$722,0)),""))</f>
        <v/>
      </c>
    </row>
    <row r="111">
      <c r="A111" s="23">
        <f>IFERROR(IF(OR('03 Raw Data'!A109="",'03 Raw Data'!A109=0),"",'03 Raw Data'!A109),"")</f>
        <v/>
      </c>
      <c r="B111" s="24">
        <f>IF($A111="","",IFERROR(INDEX('03 Raw Data'!$B$3:$B$722,MATCH($A111,'03 Raw Data'!$A$3:$A$722,0)),""))</f>
        <v/>
      </c>
      <c r="C111" s="24">
        <f>IF($A111="","",IFERROR(INDEX('03 Raw Data'!$E$3:$E$722,MATCH($A111,'03 Raw Data'!$D$3:$D$722,0)),""))</f>
        <v/>
      </c>
      <c r="D111" s="24">
        <f>IF($A111="","",IFERROR(INDEX('03 Raw Data'!$H$3:$H$722,MATCH($A111,'03 Raw Data'!$G$3:$G$722,0)),""))</f>
        <v/>
      </c>
      <c r="E111" s="24">
        <f>IF($A111="","",IFERROR(INDEX('03 Raw Data'!$K$3:$K$722,MATCH($A111,'03 Raw Data'!$J$3:$J$722,0)),""))</f>
        <v/>
      </c>
      <c r="F111" s="24">
        <f>IF($A111="","",IFERROR(INDEX('03 Raw Data'!$N$3:$N$722,MATCH($A111,'03 Raw Data'!$M$3:$M$722,0)),""))</f>
        <v/>
      </c>
      <c r="G111" s="24">
        <f>IF($A111="","",IFERROR(INDEX('03 Raw Data'!$Q$3:$Q$722,MATCH($A111,'03 Raw Data'!$P$3:$P$722,0)),""))</f>
        <v/>
      </c>
      <c r="H111" s="24">
        <f>IF($A111="","",IFERROR(INDEX('03 Raw Data'!$T$3:$T$722,MATCH($A111,'03 Raw Data'!$S$3:$S$722,0)),""))</f>
        <v/>
      </c>
    </row>
    <row r="112">
      <c r="A112" s="23">
        <f>IFERROR(IF(OR('03 Raw Data'!A110="",'03 Raw Data'!A110=0),"",'03 Raw Data'!A110),"")</f>
        <v/>
      </c>
      <c r="B112" s="24">
        <f>IF($A112="","",IFERROR(INDEX('03 Raw Data'!$B$3:$B$722,MATCH($A112,'03 Raw Data'!$A$3:$A$722,0)),""))</f>
        <v/>
      </c>
      <c r="C112" s="24">
        <f>IF($A112="","",IFERROR(INDEX('03 Raw Data'!$E$3:$E$722,MATCH($A112,'03 Raw Data'!$D$3:$D$722,0)),""))</f>
        <v/>
      </c>
      <c r="D112" s="24">
        <f>IF($A112="","",IFERROR(INDEX('03 Raw Data'!$H$3:$H$722,MATCH($A112,'03 Raw Data'!$G$3:$G$722,0)),""))</f>
        <v/>
      </c>
      <c r="E112" s="24">
        <f>IF($A112="","",IFERROR(INDEX('03 Raw Data'!$K$3:$K$722,MATCH($A112,'03 Raw Data'!$J$3:$J$722,0)),""))</f>
        <v/>
      </c>
      <c r="F112" s="24">
        <f>IF($A112="","",IFERROR(INDEX('03 Raw Data'!$N$3:$N$722,MATCH($A112,'03 Raw Data'!$M$3:$M$722,0)),""))</f>
        <v/>
      </c>
      <c r="G112" s="24">
        <f>IF($A112="","",IFERROR(INDEX('03 Raw Data'!$Q$3:$Q$722,MATCH($A112,'03 Raw Data'!$P$3:$P$722,0)),""))</f>
        <v/>
      </c>
      <c r="H112" s="24">
        <f>IF($A112="","",IFERROR(INDEX('03 Raw Data'!$T$3:$T$722,MATCH($A112,'03 Raw Data'!$S$3:$S$722,0)),""))</f>
        <v/>
      </c>
    </row>
    <row r="113">
      <c r="A113" s="23">
        <f>IFERROR(IF(OR('03 Raw Data'!A111="",'03 Raw Data'!A111=0),"",'03 Raw Data'!A111),"")</f>
        <v/>
      </c>
      <c r="B113" s="24">
        <f>IF($A113="","",IFERROR(INDEX('03 Raw Data'!$B$3:$B$722,MATCH($A113,'03 Raw Data'!$A$3:$A$722,0)),""))</f>
        <v/>
      </c>
      <c r="C113" s="24">
        <f>IF($A113="","",IFERROR(INDEX('03 Raw Data'!$E$3:$E$722,MATCH($A113,'03 Raw Data'!$D$3:$D$722,0)),""))</f>
        <v/>
      </c>
      <c r="D113" s="24">
        <f>IF($A113="","",IFERROR(INDEX('03 Raw Data'!$H$3:$H$722,MATCH($A113,'03 Raw Data'!$G$3:$G$722,0)),""))</f>
        <v/>
      </c>
      <c r="E113" s="24">
        <f>IF($A113="","",IFERROR(INDEX('03 Raw Data'!$K$3:$K$722,MATCH($A113,'03 Raw Data'!$J$3:$J$722,0)),""))</f>
        <v/>
      </c>
      <c r="F113" s="24">
        <f>IF($A113="","",IFERROR(INDEX('03 Raw Data'!$N$3:$N$722,MATCH($A113,'03 Raw Data'!$M$3:$M$722,0)),""))</f>
        <v/>
      </c>
      <c r="G113" s="24">
        <f>IF($A113="","",IFERROR(INDEX('03 Raw Data'!$Q$3:$Q$722,MATCH($A113,'03 Raw Data'!$P$3:$P$722,0)),""))</f>
        <v/>
      </c>
      <c r="H113" s="24">
        <f>IF($A113="","",IFERROR(INDEX('03 Raw Data'!$T$3:$T$722,MATCH($A113,'03 Raw Data'!$S$3:$S$722,0)),""))</f>
        <v/>
      </c>
    </row>
    <row r="114">
      <c r="A114" s="23">
        <f>IFERROR(IF(OR('03 Raw Data'!A112="",'03 Raw Data'!A112=0),"",'03 Raw Data'!A112),"")</f>
        <v/>
      </c>
      <c r="B114" s="24">
        <f>IF($A114="","",IFERROR(INDEX('03 Raw Data'!$B$3:$B$722,MATCH($A114,'03 Raw Data'!$A$3:$A$722,0)),""))</f>
        <v/>
      </c>
      <c r="C114" s="24">
        <f>IF($A114="","",IFERROR(INDEX('03 Raw Data'!$E$3:$E$722,MATCH($A114,'03 Raw Data'!$D$3:$D$722,0)),""))</f>
        <v/>
      </c>
      <c r="D114" s="24">
        <f>IF($A114="","",IFERROR(INDEX('03 Raw Data'!$H$3:$H$722,MATCH($A114,'03 Raw Data'!$G$3:$G$722,0)),""))</f>
        <v/>
      </c>
      <c r="E114" s="24">
        <f>IF($A114="","",IFERROR(INDEX('03 Raw Data'!$K$3:$K$722,MATCH($A114,'03 Raw Data'!$J$3:$J$722,0)),""))</f>
        <v/>
      </c>
      <c r="F114" s="24">
        <f>IF($A114="","",IFERROR(INDEX('03 Raw Data'!$N$3:$N$722,MATCH($A114,'03 Raw Data'!$M$3:$M$722,0)),""))</f>
        <v/>
      </c>
      <c r="G114" s="24">
        <f>IF($A114="","",IFERROR(INDEX('03 Raw Data'!$Q$3:$Q$722,MATCH($A114,'03 Raw Data'!$P$3:$P$722,0)),""))</f>
        <v/>
      </c>
      <c r="H114" s="24">
        <f>IF($A114="","",IFERROR(INDEX('03 Raw Data'!$T$3:$T$722,MATCH($A114,'03 Raw Data'!$S$3:$S$722,0)),""))</f>
        <v/>
      </c>
    </row>
    <row r="115">
      <c r="A115" s="23">
        <f>IFERROR(IF(OR('03 Raw Data'!A113="",'03 Raw Data'!A113=0),"",'03 Raw Data'!A113),"")</f>
        <v/>
      </c>
      <c r="B115" s="24">
        <f>IF($A115="","",IFERROR(INDEX('03 Raw Data'!$B$3:$B$722,MATCH($A115,'03 Raw Data'!$A$3:$A$722,0)),""))</f>
        <v/>
      </c>
      <c r="C115" s="24">
        <f>IF($A115="","",IFERROR(INDEX('03 Raw Data'!$E$3:$E$722,MATCH($A115,'03 Raw Data'!$D$3:$D$722,0)),""))</f>
        <v/>
      </c>
      <c r="D115" s="24">
        <f>IF($A115="","",IFERROR(INDEX('03 Raw Data'!$H$3:$H$722,MATCH($A115,'03 Raw Data'!$G$3:$G$722,0)),""))</f>
        <v/>
      </c>
      <c r="E115" s="24">
        <f>IF($A115="","",IFERROR(INDEX('03 Raw Data'!$K$3:$K$722,MATCH($A115,'03 Raw Data'!$J$3:$J$722,0)),""))</f>
        <v/>
      </c>
      <c r="F115" s="24">
        <f>IF($A115="","",IFERROR(INDEX('03 Raw Data'!$N$3:$N$722,MATCH($A115,'03 Raw Data'!$M$3:$M$722,0)),""))</f>
        <v/>
      </c>
      <c r="G115" s="24">
        <f>IF($A115="","",IFERROR(INDEX('03 Raw Data'!$Q$3:$Q$722,MATCH($A115,'03 Raw Data'!$P$3:$P$722,0)),""))</f>
        <v/>
      </c>
      <c r="H115" s="24">
        <f>IF($A115="","",IFERROR(INDEX('03 Raw Data'!$T$3:$T$722,MATCH($A115,'03 Raw Data'!$S$3:$S$722,0)),""))</f>
        <v/>
      </c>
    </row>
    <row r="116">
      <c r="A116" s="23">
        <f>IFERROR(IF(OR('03 Raw Data'!A114="",'03 Raw Data'!A114=0),"",'03 Raw Data'!A114),"")</f>
        <v/>
      </c>
      <c r="B116" s="24">
        <f>IF($A116="","",IFERROR(INDEX('03 Raw Data'!$B$3:$B$722,MATCH($A116,'03 Raw Data'!$A$3:$A$722,0)),""))</f>
        <v/>
      </c>
      <c r="C116" s="24">
        <f>IF($A116="","",IFERROR(INDEX('03 Raw Data'!$E$3:$E$722,MATCH($A116,'03 Raw Data'!$D$3:$D$722,0)),""))</f>
        <v/>
      </c>
      <c r="D116" s="24">
        <f>IF($A116="","",IFERROR(INDEX('03 Raw Data'!$H$3:$H$722,MATCH($A116,'03 Raw Data'!$G$3:$G$722,0)),""))</f>
        <v/>
      </c>
      <c r="E116" s="24">
        <f>IF($A116="","",IFERROR(INDEX('03 Raw Data'!$K$3:$K$722,MATCH($A116,'03 Raw Data'!$J$3:$J$722,0)),""))</f>
        <v/>
      </c>
      <c r="F116" s="24">
        <f>IF($A116="","",IFERROR(INDEX('03 Raw Data'!$N$3:$N$722,MATCH($A116,'03 Raw Data'!$M$3:$M$722,0)),""))</f>
        <v/>
      </c>
      <c r="G116" s="24">
        <f>IF($A116="","",IFERROR(INDEX('03 Raw Data'!$Q$3:$Q$722,MATCH($A116,'03 Raw Data'!$P$3:$P$722,0)),""))</f>
        <v/>
      </c>
      <c r="H116" s="24">
        <f>IF($A116="","",IFERROR(INDEX('03 Raw Data'!$T$3:$T$722,MATCH($A116,'03 Raw Data'!$S$3:$S$722,0)),""))</f>
        <v/>
      </c>
    </row>
    <row r="117">
      <c r="A117" s="23">
        <f>IFERROR(IF(OR('03 Raw Data'!A115="",'03 Raw Data'!A115=0),"",'03 Raw Data'!A115),"")</f>
        <v/>
      </c>
      <c r="B117" s="24">
        <f>IF($A117="","",IFERROR(INDEX('03 Raw Data'!$B$3:$B$722,MATCH($A117,'03 Raw Data'!$A$3:$A$722,0)),""))</f>
        <v/>
      </c>
      <c r="C117" s="24">
        <f>IF($A117="","",IFERROR(INDEX('03 Raw Data'!$E$3:$E$722,MATCH($A117,'03 Raw Data'!$D$3:$D$722,0)),""))</f>
        <v/>
      </c>
      <c r="D117" s="24">
        <f>IF($A117="","",IFERROR(INDEX('03 Raw Data'!$H$3:$H$722,MATCH($A117,'03 Raw Data'!$G$3:$G$722,0)),""))</f>
        <v/>
      </c>
      <c r="E117" s="24">
        <f>IF($A117="","",IFERROR(INDEX('03 Raw Data'!$K$3:$K$722,MATCH($A117,'03 Raw Data'!$J$3:$J$722,0)),""))</f>
        <v/>
      </c>
      <c r="F117" s="24">
        <f>IF($A117="","",IFERROR(INDEX('03 Raw Data'!$N$3:$N$722,MATCH($A117,'03 Raw Data'!$M$3:$M$722,0)),""))</f>
        <v/>
      </c>
      <c r="G117" s="24">
        <f>IF($A117="","",IFERROR(INDEX('03 Raw Data'!$Q$3:$Q$722,MATCH($A117,'03 Raw Data'!$P$3:$P$722,0)),""))</f>
        <v/>
      </c>
      <c r="H117" s="24">
        <f>IF($A117="","",IFERROR(INDEX('03 Raw Data'!$T$3:$T$722,MATCH($A117,'03 Raw Data'!$S$3:$S$722,0)),""))</f>
        <v/>
      </c>
    </row>
    <row r="118">
      <c r="A118" s="23">
        <f>IFERROR(IF(OR('03 Raw Data'!A116="",'03 Raw Data'!A116=0),"",'03 Raw Data'!A116),"")</f>
        <v/>
      </c>
      <c r="B118" s="24">
        <f>IF($A118="","",IFERROR(INDEX('03 Raw Data'!$B$3:$B$722,MATCH($A118,'03 Raw Data'!$A$3:$A$722,0)),""))</f>
        <v/>
      </c>
      <c r="C118" s="24">
        <f>IF($A118="","",IFERROR(INDEX('03 Raw Data'!$E$3:$E$722,MATCH($A118,'03 Raw Data'!$D$3:$D$722,0)),""))</f>
        <v/>
      </c>
      <c r="D118" s="24">
        <f>IF($A118="","",IFERROR(INDEX('03 Raw Data'!$H$3:$H$722,MATCH($A118,'03 Raw Data'!$G$3:$G$722,0)),""))</f>
        <v/>
      </c>
      <c r="E118" s="24">
        <f>IF($A118="","",IFERROR(INDEX('03 Raw Data'!$K$3:$K$722,MATCH($A118,'03 Raw Data'!$J$3:$J$722,0)),""))</f>
        <v/>
      </c>
      <c r="F118" s="24">
        <f>IF($A118="","",IFERROR(INDEX('03 Raw Data'!$N$3:$N$722,MATCH($A118,'03 Raw Data'!$M$3:$M$722,0)),""))</f>
        <v/>
      </c>
      <c r="G118" s="24">
        <f>IF($A118="","",IFERROR(INDEX('03 Raw Data'!$Q$3:$Q$722,MATCH($A118,'03 Raw Data'!$P$3:$P$722,0)),""))</f>
        <v/>
      </c>
      <c r="H118" s="24">
        <f>IF($A118="","",IFERROR(INDEX('03 Raw Data'!$T$3:$T$722,MATCH($A118,'03 Raw Data'!$S$3:$S$722,0)),""))</f>
        <v/>
      </c>
    </row>
    <row r="119">
      <c r="A119" s="23">
        <f>IFERROR(IF(OR('03 Raw Data'!A117="",'03 Raw Data'!A117=0),"",'03 Raw Data'!A117),"")</f>
        <v/>
      </c>
      <c r="B119" s="24">
        <f>IF($A119="","",IFERROR(INDEX('03 Raw Data'!$B$3:$B$722,MATCH($A119,'03 Raw Data'!$A$3:$A$722,0)),""))</f>
        <v/>
      </c>
      <c r="C119" s="24">
        <f>IF($A119="","",IFERROR(INDEX('03 Raw Data'!$E$3:$E$722,MATCH($A119,'03 Raw Data'!$D$3:$D$722,0)),""))</f>
        <v/>
      </c>
      <c r="D119" s="24">
        <f>IF($A119="","",IFERROR(INDEX('03 Raw Data'!$H$3:$H$722,MATCH($A119,'03 Raw Data'!$G$3:$G$722,0)),""))</f>
        <v/>
      </c>
      <c r="E119" s="24">
        <f>IF($A119="","",IFERROR(INDEX('03 Raw Data'!$K$3:$K$722,MATCH($A119,'03 Raw Data'!$J$3:$J$722,0)),""))</f>
        <v/>
      </c>
      <c r="F119" s="24">
        <f>IF($A119="","",IFERROR(INDEX('03 Raw Data'!$N$3:$N$722,MATCH($A119,'03 Raw Data'!$M$3:$M$722,0)),""))</f>
        <v/>
      </c>
      <c r="G119" s="24">
        <f>IF($A119="","",IFERROR(INDEX('03 Raw Data'!$Q$3:$Q$722,MATCH($A119,'03 Raw Data'!$P$3:$P$722,0)),""))</f>
        <v/>
      </c>
      <c r="H119" s="24">
        <f>IF($A119="","",IFERROR(INDEX('03 Raw Data'!$T$3:$T$722,MATCH($A119,'03 Raw Data'!$S$3:$S$722,0)),""))</f>
        <v/>
      </c>
    </row>
    <row r="120">
      <c r="A120" s="23">
        <f>IFERROR(IF(OR('03 Raw Data'!A118="",'03 Raw Data'!A118=0),"",'03 Raw Data'!A118),"")</f>
        <v/>
      </c>
      <c r="B120" s="24">
        <f>IF($A120="","",IFERROR(INDEX('03 Raw Data'!$B$3:$B$722,MATCH($A120,'03 Raw Data'!$A$3:$A$722,0)),""))</f>
        <v/>
      </c>
      <c r="C120" s="24">
        <f>IF($A120="","",IFERROR(INDEX('03 Raw Data'!$E$3:$E$722,MATCH($A120,'03 Raw Data'!$D$3:$D$722,0)),""))</f>
        <v/>
      </c>
      <c r="D120" s="24">
        <f>IF($A120="","",IFERROR(INDEX('03 Raw Data'!$H$3:$H$722,MATCH($A120,'03 Raw Data'!$G$3:$G$722,0)),""))</f>
        <v/>
      </c>
      <c r="E120" s="24">
        <f>IF($A120="","",IFERROR(INDEX('03 Raw Data'!$K$3:$K$722,MATCH($A120,'03 Raw Data'!$J$3:$J$722,0)),""))</f>
        <v/>
      </c>
      <c r="F120" s="24">
        <f>IF($A120="","",IFERROR(INDEX('03 Raw Data'!$N$3:$N$722,MATCH($A120,'03 Raw Data'!$M$3:$M$722,0)),""))</f>
        <v/>
      </c>
      <c r="G120" s="24">
        <f>IF($A120="","",IFERROR(INDEX('03 Raw Data'!$Q$3:$Q$722,MATCH($A120,'03 Raw Data'!$P$3:$P$722,0)),""))</f>
        <v/>
      </c>
      <c r="H120" s="24">
        <f>IF($A120="","",IFERROR(INDEX('03 Raw Data'!$T$3:$T$722,MATCH($A120,'03 Raw Data'!$S$3:$S$722,0)),""))</f>
        <v/>
      </c>
    </row>
    <row r="121">
      <c r="A121" s="23">
        <f>IFERROR(IF(OR('03 Raw Data'!A119="",'03 Raw Data'!A119=0),"",'03 Raw Data'!A119),"")</f>
        <v/>
      </c>
      <c r="B121" s="24">
        <f>IF($A121="","",IFERROR(INDEX('03 Raw Data'!$B$3:$B$722,MATCH($A121,'03 Raw Data'!$A$3:$A$722,0)),""))</f>
        <v/>
      </c>
      <c r="C121" s="24">
        <f>IF($A121="","",IFERROR(INDEX('03 Raw Data'!$E$3:$E$722,MATCH($A121,'03 Raw Data'!$D$3:$D$722,0)),""))</f>
        <v/>
      </c>
      <c r="D121" s="24">
        <f>IF($A121="","",IFERROR(INDEX('03 Raw Data'!$H$3:$H$722,MATCH($A121,'03 Raw Data'!$G$3:$G$722,0)),""))</f>
        <v/>
      </c>
      <c r="E121" s="24">
        <f>IF($A121="","",IFERROR(INDEX('03 Raw Data'!$K$3:$K$722,MATCH($A121,'03 Raw Data'!$J$3:$J$722,0)),""))</f>
        <v/>
      </c>
      <c r="F121" s="24">
        <f>IF($A121="","",IFERROR(INDEX('03 Raw Data'!$N$3:$N$722,MATCH($A121,'03 Raw Data'!$M$3:$M$722,0)),""))</f>
        <v/>
      </c>
      <c r="G121" s="24">
        <f>IF($A121="","",IFERROR(INDEX('03 Raw Data'!$Q$3:$Q$722,MATCH($A121,'03 Raw Data'!$P$3:$P$722,0)),""))</f>
        <v/>
      </c>
      <c r="H121" s="24">
        <f>IF($A121="","",IFERROR(INDEX('03 Raw Data'!$T$3:$T$722,MATCH($A121,'03 Raw Data'!$S$3:$S$722,0)),""))</f>
        <v/>
      </c>
    </row>
    <row r="122">
      <c r="A122" s="23">
        <f>IFERROR(IF(OR('03 Raw Data'!A120="",'03 Raw Data'!A120=0),"",'03 Raw Data'!A120),"")</f>
        <v/>
      </c>
      <c r="B122" s="24">
        <f>IF($A122="","",IFERROR(INDEX('03 Raw Data'!$B$3:$B$722,MATCH($A122,'03 Raw Data'!$A$3:$A$722,0)),""))</f>
        <v/>
      </c>
      <c r="C122" s="24">
        <f>IF($A122="","",IFERROR(INDEX('03 Raw Data'!$E$3:$E$722,MATCH($A122,'03 Raw Data'!$D$3:$D$722,0)),""))</f>
        <v/>
      </c>
      <c r="D122" s="24">
        <f>IF($A122="","",IFERROR(INDEX('03 Raw Data'!$H$3:$H$722,MATCH($A122,'03 Raw Data'!$G$3:$G$722,0)),""))</f>
        <v/>
      </c>
      <c r="E122" s="24">
        <f>IF($A122="","",IFERROR(INDEX('03 Raw Data'!$K$3:$K$722,MATCH($A122,'03 Raw Data'!$J$3:$J$722,0)),""))</f>
        <v/>
      </c>
      <c r="F122" s="24">
        <f>IF($A122="","",IFERROR(INDEX('03 Raw Data'!$N$3:$N$722,MATCH($A122,'03 Raw Data'!$M$3:$M$722,0)),""))</f>
        <v/>
      </c>
      <c r="G122" s="24">
        <f>IF($A122="","",IFERROR(INDEX('03 Raw Data'!$Q$3:$Q$722,MATCH($A122,'03 Raw Data'!$P$3:$P$722,0)),""))</f>
        <v/>
      </c>
      <c r="H122" s="24">
        <f>IF($A122="","",IFERROR(INDEX('03 Raw Data'!$T$3:$T$722,MATCH($A122,'03 Raw Data'!$S$3:$S$722,0)),""))</f>
        <v/>
      </c>
    </row>
    <row r="123">
      <c r="A123" s="23">
        <f>IFERROR(IF(OR('03 Raw Data'!A121="",'03 Raw Data'!A121=0),"",'03 Raw Data'!A121),"")</f>
        <v/>
      </c>
      <c r="B123" s="24">
        <f>IF($A123="","",IFERROR(INDEX('03 Raw Data'!$B$3:$B$722,MATCH($A123,'03 Raw Data'!$A$3:$A$722,0)),""))</f>
        <v/>
      </c>
      <c r="C123" s="24">
        <f>IF($A123="","",IFERROR(INDEX('03 Raw Data'!$E$3:$E$722,MATCH($A123,'03 Raw Data'!$D$3:$D$722,0)),""))</f>
        <v/>
      </c>
      <c r="D123" s="24">
        <f>IF($A123="","",IFERROR(INDEX('03 Raw Data'!$H$3:$H$722,MATCH($A123,'03 Raw Data'!$G$3:$G$722,0)),""))</f>
        <v/>
      </c>
      <c r="E123" s="24">
        <f>IF($A123="","",IFERROR(INDEX('03 Raw Data'!$K$3:$K$722,MATCH($A123,'03 Raw Data'!$J$3:$J$722,0)),""))</f>
        <v/>
      </c>
      <c r="F123" s="24">
        <f>IF($A123="","",IFERROR(INDEX('03 Raw Data'!$N$3:$N$722,MATCH($A123,'03 Raw Data'!$M$3:$M$722,0)),""))</f>
        <v/>
      </c>
      <c r="G123" s="24">
        <f>IF($A123="","",IFERROR(INDEX('03 Raw Data'!$Q$3:$Q$722,MATCH($A123,'03 Raw Data'!$P$3:$P$722,0)),""))</f>
        <v/>
      </c>
      <c r="H123" s="24">
        <f>IF($A123="","",IFERROR(INDEX('03 Raw Data'!$T$3:$T$722,MATCH($A123,'03 Raw Data'!$S$3:$S$722,0)),""))</f>
        <v/>
      </c>
    </row>
    <row r="124">
      <c r="A124" s="23">
        <f>IFERROR(IF(OR('03 Raw Data'!A122="",'03 Raw Data'!A122=0),"",'03 Raw Data'!A122),"")</f>
        <v/>
      </c>
      <c r="B124" s="24">
        <f>IF($A124="","",IFERROR(INDEX('03 Raw Data'!$B$3:$B$722,MATCH($A124,'03 Raw Data'!$A$3:$A$722,0)),""))</f>
        <v/>
      </c>
      <c r="C124" s="24">
        <f>IF($A124="","",IFERROR(INDEX('03 Raw Data'!$E$3:$E$722,MATCH($A124,'03 Raw Data'!$D$3:$D$722,0)),""))</f>
        <v/>
      </c>
      <c r="D124" s="24">
        <f>IF($A124="","",IFERROR(INDEX('03 Raw Data'!$H$3:$H$722,MATCH($A124,'03 Raw Data'!$G$3:$G$722,0)),""))</f>
        <v/>
      </c>
      <c r="E124" s="24">
        <f>IF($A124="","",IFERROR(INDEX('03 Raw Data'!$K$3:$K$722,MATCH($A124,'03 Raw Data'!$J$3:$J$722,0)),""))</f>
        <v/>
      </c>
      <c r="F124" s="24">
        <f>IF($A124="","",IFERROR(INDEX('03 Raw Data'!$N$3:$N$722,MATCH($A124,'03 Raw Data'!$M$3:$M$722,0)),""))</f>
        <v/>
      </c>
      <c r="G124" s="24">
        <f>IF($A124="","",IFERROR(INDEX('03 Raw Data'!$Q$3:$Q$722,MATCH($A124,'03 Raw Data'!$P$3:$P$722,0)),""))</f>
        <v/>
      </c>
      <c r="H124" s="24">
        <f>IF($A124="","",IFERROR(INDEX('03 Raw Data'!$T$3:$T$722,MATCH($A124,'03 Raw Data'!$S$3:$S$722,0)),""))</f>
        <v/>
      </c>
    </row>
    <row r="125">
      <c r="A125" s="23">
        <f>IFERROR(IF(OR('03 Raw Data'!A123="",'03 Raw Data'!A123=0),"",'03 Raw Data'!A123),"")</f>
        <v/>
      </c>
      <c r="B125" s="24">
        <f>IF($A125="","",IFERROR(INDEX('03 Raw Data'!$B$3:$B$722,MATCH($A125,'03 Raw Data'!$A$3:$A$722,0)),""))</f>
        <v/>
      </c>
      <c r="C125" s="24">
        <f>IF($A125="","",IFERROR(INDEX('03 Raw Data'!$E$3:$E$722,MATCH($A125,'03 Raw Data'!$D$3:$D$722,0)),""))</f>
        <v/>
      </c>
      <c r="D125" s="24">
        <f>IF($A125="","",IFERROR(INDEX('03 Raw Data'!$H$3:$H$722,MATCH($A125,'03 Raw Data'!$G$3:$G$722,0)),""))</f>
        <v/>
      </c>
      <c r="E125" s="24">
        <f>IF($A125="","",IFERROR(INDEX('03 Raw Data'!$K$3:$K$722,MATCH($A125,'03 Raw Data'!$J$3:$J$722,0)),""))</f>
        <v/>
      </c>
      <c r="F125" s="24">
        <f>IF($A125="","",IFERROR(INDEX('03 Raw Data'!$N$3:$N$722,MATCH($A125,'03 Raw Data'!$M$3:$M$722,0)),""))</f>
        <v/>
      </c>
      <c r="G125" s="24">
        <f>IF($A125="","",IFERROR(INDEX('03 Raw Data'!$Q$3:$Q$722,MATCH($A125,'03 Raw Data'!$P$3:$P$722,0)),""))</f>
        <v/>
      </c>
      <c r="H125" s="24">
        <f>IF($A125="","",IFERROR(INDEX('03 Raw Data'!$T$3:$T$722,MATCH($A125,'03 Raw Data'!$S$3:$S$722,0)),""))</f>
        <v/>
      </c>
    </row>
    <row r="126">
      <c r="A126" s="23">
        <f>IFERROR(IF(OR('03 Raw Data'!A124="",'03 Raw Data'!A124=0),"",'03 Raw Data'!A124),"")</f>
        <v/>
      </c>
      <c r="B126" s="24">
        <f>IF($A126="","",IFERROR(INDEX('03 Raw Data'!$B$3:$B$722,MATCH($A126,'03 Raw Data'!$A$3:$A$722,0)),""))</f>
        <v/>
      </c>
      <c r="C126" s="24">
        <f>IF($A126="","",IFERROR(INDEX('03 Raw Data'!$E$3:$E$722,MATCH($A126,'03 Raw Data'!$D$3:$D$722,0)),""))</f>
        <v/>
      </c>
      <c r="D126" s="24">
        <f>IF($A126="","",IFERROR(INDEX('03 Raw Data'!$H$3:$H$722,MATCH($A126,'03 Raw Data'!$G$3:$G$722,0)),""))</f>
        <v/>
      </c>
      <c r="E126" s="24">
        <f>IF($A126="","",IFERROR(INDEX('03 Raw Data'!$K$3:$K$722,MATCH($A126,'03 Raw Data'!$J$3:$J$722,0)),""))</f>
        <v/>
      </c>
      <c r="F126" s="24">
        <f>IF($A126="","",IFERROR(INDEX('03 Raw Data'!$N$3:$N$722,MATCH($A126,'03 Raw Data'!$M$3:$M$722,0)),""))</f>
        <v/>
      </c>
      <c r="G126" s="24">
        <f>IF($A126="","",IFERROR(INDEX('03 Raw Data'!$Q$3:$Q$722,MATCH($A126,'03 Raw Data'!$P$3:$P$722,0)),""))</f>
        <v/>
      </c>
      <c r="H126" s="24">
        <f>IF($A126="","",IFERROR(INDEX('03 Raw Data'!$T$3:$T$722,MATCH($A126,'03 Raw Data'!$S$3:$S$722,0)),""))</f>
        <v/>
      </c>
    </row>
    <row r="127">
      <c r="A127" s="23">
        <f>IFERROR(IF(OR('03 Raw Data'!A125="",'03 Raw Data'!A125=0),"",'03 Raw Data'!A125),"")</f>
        <v/>
      </c>
      <c r="B127" s="24">
        <f>IF($A127="","",IFERROR(INDEX('03 Raw Data'!$B$3:$B$722,MATCH($A127,'03 Raw Data'!$A$3:$A$722,0)),""))</f>
        <v/>
      </c>
      <c r="C127" s="24">
        <f>IF($A127="","",IFERROR(INDEX('03 Raw Data'!$E$3:$E$722,MATCH($A127,'03 Raw Data'!$D$3:$D$722,0)),""))</f>
        <v/>
      </c>
      <c r="D127" s="24">
        <f>IF($A127="","",IFERROR(INDEX('03 Raw Data'!$H$3:$H$722,MATCH($A127,'03 Raw Data'!$G$3:$G$722,0)),""))</f>
        <v/>
      </c>
      <c r="E127" s="24">
        <f>IF($A127="","",IFERROR(INDEX('03 Raw Data'!$K$3:$K$722,MATCH($A127,'03 Raw Data'!$J$3:$J$722,0)),""))</f>
        <v/>
      </c>
      <c r="F127" s="24">
        <f>IF($A127="","",IFERROR(INDEX('03 Raw Data'!$N$3:$N$722,MATCH($A127,'03 Raw Data'!$M$3:$M$722,0)),""))</f>
        <v/>
      </c>
      <c r="G127" s="24">
        <f>IF($A127="","",IFERROR(INDEX('03 Raw Data'!$Q$3:$Q$722,MATCH($A127,'03 Raw Data'!$P$3:$P$722,0)),""))</f>
        <v/>
      </c>
      <c r="H127" s="24">
        <f>IF($A127="","",IFERROR(INDEX('03 Raw Data'!$T$3:$T$722,MATCH($A127,'03 Raw Data'!$S$3:$S$722,0)),""))</f>
        <v/>
      </c>
    </row>
    <row r="128">
      <c r="A128" s="23">
        <f>IFERROR(IF(OR('03 Raw Data'!A126="",'03 Raw Data'!A126=0),"",'03 Raw Data'!A126),"")</f>
        <v/>
      </c>
      <c r="B128" s="24">
        <f>IF($A128="","",IFERROR(INDEX('03 Raw Data'!$B$3:$B$722,MATCH($A128,'03 Raw Data'!$A$3:$A$722,0)),""))</f>
        <v/>
      </c>
      <c r="C128" s="24">
        <f>IF($A128="","",IFERROR(INDEX('03 Raw Data'!$E$3:$E$722,MATCH($A128,'03 Raw Data'!$D$3:$D$722,0)),""))</f>
        <v/>
      </c>
      <c r="D128" s="24">
        <f>IF($A128="","",IFERROR(INDEX('03 Raw Data'!$H$3:$H$722,MATCH($A128,'03 Raw Data'!$G$3:$G$722,0)),""))</f>
        <v/>
      </c>
      <c r="E128" s="24">
        <f>IF($A128="","",IFERROR(INDEX('03 Raw Data'!$K$3:$K$722,MATCH($A128,'03 Raw Data'!$J$3:$J$722,0)),""))</f>
        <v/>
      </c>
      <c r="F128" s="24">
        <f>IF($A128="","",IFERROR(INDEX('03 Raw Data'!$N$3:$N$722,MATCH($A128,'03 Raw Data'!$M$3:$M$722,0)),""))</f>
        <v/>
      </c>
      <c r="G128" s="24">
        <f>IF($A128="","",IFERROR(INDEX('03 Raw Data'!$Q$3:$Q$722,MATCH($A128,'03 Raw Data'!$P$3:$P$722,0)),""))</f>
        <v/>
      </c>
      <c r="H128" s="24">
        <f>IF($A128="","",IFERROR(INDEX('03 Raw Data'!$T$3:$T$722,MATCH($A128,'03 Raw Data'!$S$3:$S$722,0)),""))</f>
        <v/>
      </c>
    </row>
    <row r="129">
      <c r="A129" s="23">
        <f>IFERROR(IF(OR('03 Raw Data'!A127="",'03 Raw Data'!A127=0),"",'03 Raw Data'!A127),"")</f>
        <v/>
      </c>
      <c r="B129" s="24">
        <f>IF($A129="","",IFERROR(INDEX('03 Raw Data'!$B$3:$B$722,MATCH($A129,'03 Raw Data'!$A$3:$A$722,0)),""))</f>
        <v/>
      </c>
      <c r="C129" s="24">
        <f>IF($A129="","",IFERROR(INDEX('03 Raw Data'!$E$3:$E$722,MATCH($A129,'03 Raw Data'!$D$3:$D$722,0)),""))</f>
        <v/>
      </c>
      <c r="D129" s="24">
        <f>IF($A129="","",IFERROR(INDEX('03 Raw Data'!$H$3:$H$722,MATCH($A129,'03 Raw Data'!$G$3:$G$722,0)),""))</f>
        <v/>
      </c>
      <c r="E129" s="24">
        <f>IF($A129="","",IFERROR(INDEX('03 Raw Data'!$K$3:$K$722,MATCH($A129,'03 Raw Data'!$J$3:$J$722,0)),""))</f>
        <v/>
      </c>
      <c r="F129" s="24">
        <f>IF($A129="","",IFERROR(INDEX('03 Raw Data'!$N$3:$N$722,MATCH($A129,'03 Raw Data'!$M$3:$M$722,0)),""))</f>
        <v/>
      </c>
      <c r="G129" s="24">
        <f>IF($A129="","",IFERROR(INDEX('03 Raw Data'!$Q$3:$Q$722,MATCH($A129,'03 Raw Data'!$P$3:$P$722,0)),""))</f>
        <v/>
      </c>
      <c r="H129" s="24">
        <f>IF($A129="","",IFERROR(INDEX('03 Raw Data'!$T$3:$T$722,MATCH($A129,'03 Raw Data'!$S$3:$S$722,0)),""))</f>
        <v/>
      </c>
    </row>
    <row r="130">
      <c r="A130" s="23">
        <f>IFERROR(IF(OR('03 Raw Data'!A128="",'03 Raw Data'!A128=0),"",'03 Raw Data'!A128),"")</f>
        <v/>
      </c>
      <c r="B130" s="24">
        <f>IF($A130="","",IFERROR(INDEX('03 Raw Data'!$B$3:$B$722,MATCH($A130,'03 Raw Data'!$A$3:$A$722,0)),""))</f>
        <v/>
      </c>
      <c r="C130" s="24">
        <f>IF($A130="","",IFERROR(INDEX('03 Raw Data'!$E$3:$E$722,MATCH($A130,'03 Raw Data'!$D$3:$D$722,0)),""))</f>
        <v/>
      </c>
      <c r="D130" s="24">
        <f>IF($A130="","",IFERROR(INDEX('03 Raw Data'!$H$3:$H$722,MATCH($A130,'03 Raw Data'!$G$3:$G$722,0)),""))</f>
        <v/>
      </c>
      <c r="E130" s="24">
        <f>IF($A130="","",IFERROR(INDEX('03 Raw Data'!$K$3:$K$722,MATCH($A130,'03 Raw Data'!$J$3:$J$722,0)),""))</f>
        <v/>
      </c>
      <c r="F130" s="24">
        <f>IF($A130="","",IFERROR(INDEX('03 Raw Data'!$N$3:$N$722,MATCH($A130,'03 Raw Data'!$M$3:$M$722,0)),""))</f>
        <v/>
      </c>
      <c r="G130" s="24">
        <f>IF($A130="","",IFERROR(INDEX('03 Raw Data'!$Q$3:$Q$722,MATCH($A130,'03 Raw Data'!$P$3:$P$722,0)),""))</f>
        <v/>
      </c>
      <c r="H130" s="24">
        <f>IF($A130="","",IFERROR(INDEX('03 Raw Data'!$T$3:$T$722,MATCH($A130,'03 Raw Data'!$S$3:$S$722,0)),""))</f>
        <v/>
      </c>
    </row>
    <row r="131">
      <c r="A131" s="23">
        <f>IFERROR(IF(OR('03 Raw Data'!A129="",'03 Raw Data'!A129=0),"",'03 Raw Data'!A129),"")</f>
        <v/>
      </c>
      <c r="B131" s="24">
        <f>IF($A131="","",IFERROR(INDEX('03 Raw Data'!$B$3:$B$722,MATCH($A131,'03 Raw Data'!$A$3:$A$722,0)),""))</f>
        <v/>
      </c>
      <c r="C131" s="24">
        <f>IF($A131="","",IFERROR(INDEX('03 Raw Data'!$E$3:$E$722,MATCH($A131,'03 Raw Data'!$D$3:$D$722,0)),""))</f>
        <v/>
      </c>
      <c r="D131" s="24">
        <f>IF($A131="","",IFERROR(INDEX('03 Raw Data'!$H$3:$H$722,MATCH($A131,'03 Raw Data'!$G$3:$G$722,0)),""))</f>
        <v/>
      </c>
      <c r="E131" s="24">
        <f>IF($A131="","",IFERROR(INDEX('03 Raw Data'!$K$3:$K$722,MATCH($A131,'03 Raw Data'!$J$3:$J$722,0)),""))</f>
        <v/>
      </c>
      <c r="F131" s="24">
        <f>IF($A131="","",IFERROR(INDEX('03 Raw Data'!$N$3:$N$722,MATCH($A131,'03 Raw Data'!$M$3:$M$722,0)),""))</f>
        <v/>
      </c>
      <c r="G131" s="24">
        <f>IF($A131="","",IFERROR(INDEX('03 Raw Data'!$Q$3:$Q$722,MATCH($A131,'03 Raw Data'!$P$3:$P$722,0)),""))</f>
        <v/>
      </c>
      <c r="H131" s="24">
        <f>IF($A131="","",IFERROR(INDEX('03 Raw Data'!$T$3:$T$722,MATCH($A131,'03 Raw Data'!$S$3:$S$722,0)),""))</f>
        <v/>
      </c>
    </row>
    <row r="132">
      <c r="A132" s="23">
        <f>IFERROR(IF(OR('03 Raw Data'!A130="",'03 Raw Data'!A130=0),"",'03 Raw Data'!A130),"")</f>
        <v/>
      </c>
      <c r="B132" s="24">
        <f>IF($A132="","",IFERROR(INDEX('03 Raw Data'!$B$3:$B$722,MATCH($A132,'03 Raw Data'!$A$3:$A$722,0)),""))</f>
        <v/>
      </c>
      <c r="C132" s="24">
        <f>IF($A132="","",IFERROR(INDEX('03 Raw Data'!$E$3:$E$722,MATCH($A132,'03 Raw Data'!$D$3:$D$722,0)),""))</f>
        <v/>
      </c>
      <c r="D132" s="24">
        <f>IF($A132="","",IFERROR(INDEX('03 Raw Data'!$H$3:$H$722,MATCH($A132,'03 Raw Data'!$G$3:$G$722,0)),""))</f>
        <v/>
      </c>
      <c r="E132" s="24">
        <f>IF($A132="","",IFERROR(INDEX('03 Raw Data'!$K$3:$K$722,MATCH($A132,'03 Raw Data'!$J$3:$J$722,0)),""))</f>
        <v/>
      </c>
      <c r="F132" s="24">
        <f>IF($A132="","",IFERROR(INDEX('03 Raw Data'!$N$3:$N$722,MATCH($A132,'03 Raw Data'!$M$3:$M$722,0)),""))</f>
        <v/>
      </c>
      <c r="G132" s="24">
        <f>IF($A132="","",IFERROR(INDEX('03 Raw Data'!$Q$3:$Q$722,MATCH($A132,'03 Raw Data'!$P$3:$P$722,0)),""))</f>
        <v/>
      </c>
      <c r="H132" s="24">
        <f>IF($A132="","",IFERROR(INDEX('03 Raw Data'!$T$3:$T$722,MATCH($A132,'03 Raw Data'!$S$3:$S$722,0)),""))</f>
        <v/>
      </c>
    </row>
    <row r="133">
      <c r="A133" s="23">
        <f>IFERROR(IF(OR('03 Raw Data'!A131="",'03 Raw Data'!A131=0),"",'03 Raw Data'!A131),"")</f>
        <v/>
      </c>
      <c r="B133" s="24">
        <f>IF($A133="","",IFERROR(INDEX('03 Raw Data'!$B$3:$B$722,MATCH($A133,'03 Raw Data'!$A$3:$A$722,0)),""))</f>
        <v/>
      </c>
      <c r="C133" s="24">
        <f>IF($A133="","",IFERROR(INDEX('03 Raw Data'!$E$3:$E$722,MATCH($A133,'03 Raw Data'!$D$3:$D$722,0)),""))</f>
        <v/>
      </c>
      <c r="D133" s="24">
        <f>IF($A133="","",IFERROR(INDEX('03 Raw Data'!$H$3:$H$722,MATCH($A133,'03 Raw Data'!$G$3:$G$722,0)),""))</f>
        <v/>
      </c>
      <c r="E133" s="24">
        <f>IF($A133="","",IFERROR(INDEX('03 Raw Data'!$K$3:$K$722,MATCH($A133,'03 Raw Data'!$J$3:$J$722,0)),""))</f>
        <v/>
      </c>
      <c r="F133" s="24">
        <f>IF($A133="","",IFERROR(INDEX('03 Raw Data'!$N$3:$N$722,MATCH($A133,'03 Raw Data'!$M$3:$M$722,0)),""))</f>
        <v/>
      </c>
      <c r="G133" s="24">
        <f>IF($A133="","",IFERROR(INDEX('03 Raw Data'!$Q$3:$Q$722,MATCH($A133,'03 Raw Data'!$P$3:$P$722,0)),""))</f>
        <v/>
      </c>
      <c r="H133" s="24">
        <f>IF($A133="","",IFERROR(INDEX('03 Raw Data'!$T$3:$T$722,MATCH($A133,'03 Raw Data'!$S$3:$S$722,0)),""))</f>
        <v/>
      </c>
    </row>
    <row r="134">
      <c r="A134" s="23">
        <f>IFERROR(IF(OR('03 Raw Data'!A132="",'03 Raw Data'!A132=0),"",'03 Raw Data'!A132),"")</f>
        <v/>
      </c>
      <c r="B134" s="24">
        <f>IF($A134="","",IFERROR(INDEX('03 Raw Data'!$B$3:$B$722,MATCH($A134,'03 Raw Data'!$A$3:$A$722,0)),""))</f>
        <v/>
      </c>
      <c r="C134" s="24">
        <f>IF($A134="","",IFERROR(INDEX('03 Raw Data'!$E$3:$E$722,MATCH($A134,'03 Raw Data'!$D$3:$D$722,0)),""))</f>
        <v/>
      </c>
      <c r="D134" s="24">
        <f>IF($A134="","",IFERROR(INDEX('03 Raw Data'!$H$3:$H$722,MATCH($A134,'03 Raw Data'!$G$3:$G$722,0)),""))</f>
        <v/>
      </c>
      <c r="E134" s="24">
        <f>IF($A134="","",IFERROR(INDEX('03 Raw Data'!$K$3:$K$722,MATCH($A134,'03 Raw Data'!$J$3:$J$722,0)),""))</f>
        <v/>
      </c>
      <c r="F134" s="24">
        <f>IF($A134="","",IFERROR(INDEX('03 Raw Data'!$N$3:$N$722,MATCH($A134,'03 Raw Data'!$M$3:$M$722,0)),""))</f>
        <v/>
      </c>
      <c r="G134" s="24">
        <f>IF($A134="","",IFERROR(INDEX('03 Raw Data'!$Q$3:$Q$722,MATCH($A134,'03 Raw Data'!$P$3:$P$722,0)),""))</f>
        <v/>
      </c>
      <c r="H134" s="24">
        <f>IF($A134="","",IFERROR(INDEX('03 Raw Data'!$T$3:$T$722,MATCH($A134,'03 Raw Data'!$S$3:$S$722,0)),""))</f>
        <v/>
      </c>
    </row>
    <row r="135">
      <c r="A135" s="23">
        <f>IFERROR(IF(OR('03 Raw Data'!A133="",'03 Raw Data'!A133=0),"",'03 Raw Data'!A133),"")</f>
        <v/>
      </c>
      <c r="B135" s="24">
        <f>IF($A135="","",IFERROR(INDEX('03 Raw Data'!$B$3:$B$722,MATCH($A135,'03 Raw Data'!$A$3:$A$722,0)),""))</f>
        <v/>
      </c>
      <c r="C135" s="24">
        <f>IF($A135="","",IFERROR(INDEX('03 Raw Data'!$E$3:$E$722,MATCH($A135,'03 Raw Data'!$D$3:$D$722,0)),""))</f>
        <v/>
      </c>
      <c r="D135" s="24">
        <f>IF($A135="","",IFERROR(INDEX('03 Raw Data'!$H$3:$H$722,MATCH($A135,'03 Raw Data'!$G$3:$G$722,0)),""))</f>
        <v/>
      </c>
      <c r="E135" s="24">
        <f>IF($A135="","",IFERROR(INDEX('03 Raw Data'!$K$3:$K$722,MATCH($A135,'03 Raw Data'!$J$3:$J$722,0)),""))</f>
        <v/>
      </c>
      <c r="F135" s="24">
        <f>IF($A135="","",IFERROR(INDEX('03 Raw Data'!$N$3:$N$722,MATCH($A135,'03 Raw Data'!$M$3:$M$722,0)),""))</f>
        <v/>
      </c>
      <c r="G135" s="24">
        <f>IF($A135="","",IFERROR(INDEX('03 Raw Data'!$Q$3:$Q$722,MATCH($A135,'03 Raw Data'!$P$3:$P$722,0)),""))</f>
        <v/>
      </c>
      <c r="H135" s="24">
        <f>IF($A135="","",IFERROR(INDEX('03 Raw Data'!$T$3:$T$722,MATCH($A135,'03 Raw Data'!$S$3:$S$722,0)),""))</f>
        <v/>
      </c>
    </row>
    <row r="136">
      <c r="A136" s="23">
        <f>IFERROR(IF(OR('03 Raw Data'!A134="",'03 Raw Data'!A134=0),"",'03 Raw Data'!A134),"")</f>
        <v/>
      </c>
      <c r="B136" s="24">
        <f>IF($A136="","",IFERROR(INDEX('03 Raw Data'!$B$3:$B$722,MATCH($A136,'03 Raw Data'!$A$3:$A$722,0)),""))</f>
        <v/>
      </c>
      <c r="C136" s="24">
        <f>IF($A136="","",IFERROR(INDEX('03 Raw Data'!$E$3:$E$722,MATCH($A136,'03 Raw Data'!$D$3:$D$722,0)),""))</f>
        <v/>
      </c>
      <c r="D136" s="24">
        <f>IF($A136="","",IFERROR(INDEX('03 Raw Data'!$H$3:$H$722,MATCH($A136,'03 Raw Data'!$G$3:$G$722,0)),""))</f>
        <v/>
      </c>
      <c r="E136" s="24">
        <f>IF($A136="","",IFERROR(INDEX('03 Raw Data'!$K$3:$K$722,MATCH($A136,'03 Raw Data'!$J$3:$J$722,0)),""))</f>
        <v/>
      </c>
      <c r="F136" s="24">
        <f>IF($A136="","",IFERROR(INDEX('03 Raw Data'!$N$3:$N$722,MATCH($A136,'03 Raw Data'!$M$3:$M$722,0)),""))</f>
        <v/>
      </c>
      <c r="G136" s="24">
        <f>IF($A136="","",IFERROR(INDEX('03 Raw Data'!$Q$3:$Q$722,MATCH($A136,'03 Raw Data'!$P$3:$P$722,0)),""))</f>
        <v/>
      </c>
      <c r="H136" s="24">
        <f>IF($A136="","",IFERROR(INDEX('03 Raw Data'!$T$3:$T$722,MATCH($A136,'03 Raw Data'!$S$3:$S$722,0)),""))</f>
        <v/>
      </c>
    </row>
    <row r="137">
      <c r="A137" s="23">
        <f>IFERROR(IF(OR('03 Raw Data'!A135="",'03 Raw Data'!A135=0),"",'03 Raw Data'!A135),"")</f>
        <v/>
      </c>
      <c r="B137" s="24">
        <f>IF($A137="","",IFERROR(INDEX('03 Raw Data'!$B$3:$B$722,MATCH($A137,'03 Raw Data'!$A$3:$A$722,0)),""))</f>
        <v/>
      </c>
      <c r="C137" s="24">
        <f>IF($A137="","",IFERROR(INDEX('03 Raw Data'!$E$3:$E$722,MATCH($A137,'03 Raw Data'!$D$3:$D$722,0)),""))</f>
        <v/>
      </c>
      <c r="D137" s="24">
        <f>IF($A137="","",IFERROR(INDEX('03 Raw Data'!$H$3:$H$722,MATCH($A137,'03 Raw Data'!$G$3:$G$722,0)),""))</f>
        <v/>
      </c>
      <c r="E137" s="24">
        <f>IF($A137="","",IFERROR(INDEX('03 Raw Data'!$K$3:$K$722,MATCH($A137,'03 Raw Data'!$J$3:$J$722,0)),""))</f>
        <v/>
      </c>
      <c r="F137" s="24">
        <f>IF($A137="","",IFERROR(INDEX('03 Raw Data'!$N$3:$N$722,MATCH($A137,'03 Raw Data'!$M$3:$M$722,0)),""))</f>
        <v/>
      </c>
      <c r="G137" s="24">
        <f>IF($A137="","",IFERROR(INDEX('03 Raw Data'!$Q$3:$Q$722,MATCH($A137,'03 Raw Data'!$P$3:$P$722,0)),""))</f>
        <v/>
      </c>
      <c r="H137" s="24">
        <f>IF($A137="","",IFERROR(INDEX('03 Raw Data'!$T$3:$T$722,MATCH($A137,'03 Raw Data'!$S$3:$S$722,0)),""))</f>
        <v/>
      </c>
    </row>
    <row r="138">
      <c r="A138" s="23">
        <f>IFERROR(IF(OR('03 Raw Data'!A136="",'03 Raw Data'!A136=0),"",'03 Raw Data'!A136),"")</f>
        <v/>
      </c>
      <c r="B138" s="24">
        <f>IF($A138="","",IFERROR(INDEX('03 Raw Data'!$B$3:$B$722,MATCH($A138,'03 Raw Data'!$A$3:$A$722,0)),""))</f>
        <v/>
      </c>
      <c r="C138" s="24">
        <f>IF($A138="","",IFERROR(INDEX('03 Raw Data'!$E$3:$E$722,MATCH($A138,'03 Raw Data'!$D$3:$D$722,0)),""))</f>
        <v/>
      </c>
      <c r="D138" s="24">
        <f>IF($A138="","",IFERROR(INDEX('03 Raw Data'!$H$3:$H$722,MATCH($A138,'03 Raw Data'!$G$3:$G$722,0)),""))</f>
        <v/>
      </c>
      <c r="E138" s="24">
        <f>IF($A138="","",IFERROR(INDEX('03 Raw Data'!$K$3:$K$722,MATCH($A138,'03 Raw Data'!$J$3:$J$722,0)),""))</f>
        <v/>
      </c>
      <c r="F138" s="24">
        <f>IF($A138="","",IFERROR(INDEX('03 Raw Data'!$N$3:$N$722,MATCH($A138,'03 Raw Data'!$M$3:$M$722,0)),""))</f>
        <v/>
      </c>
      <c r="G138" s="24">
        <f>IF($A138="","",IFERROR(INDEX('03 Raw Data'!$Q$3:$Q$722,MATCH($A138,'03 Raw Data'!$P$3:$P$722,0)),""))</f>
        <v/>
      </c>
      <c r="H138" s="24">
        <f>IF($A138="","",IFERROR(INDEX('03 Raw Data'!$T$3:$T$722,MATCH($A138,'03 Raw Data'!$S$3:$S$722,0)),""))</f>
        <v/>
      </c>
    </row>
    <row r="139">
      <c r="A139" s="23">
        <f>IFERROR(IF(OR('03 Raw Data'!A137="",'03 Raw Data'!A137=0),"",'03 Raw Data'!A137),"")</f>
        <v/>
      </c>
      <c r="B139" s="24">
        <f>IF($A139="","",IFERROR(INDEX('03 Raw Data'!$B$3:$B$722,MATCH($A139,'03 Raw Data'!$A$3:$A$722,0)),""))</f>
        <v/>
      </c>
      <c r="C139" s="24">
        <f>IF($A139="","",IFERROR(INDEX('03 Raw Data'!$E$3:$E$722,MATCH($A139,'03 Raw Data'!$D$3:$D$722,0)),""))</f>
        <v/>
      </c>
      <c r="D139" s="24">
        <f>IF($A139="","",IFERROR(INDEX('03 Raw Data'!$H$3:$H$722,MATCH($A139,'03 Raw Data'!$G$3:$G$722,0)),""))</f>
        <v/>
      </c>
      <c r="E139" s="24">
        <f>IF($A139="","",IFERROR(INDEX('03 Raw Data'!$K$3:$K$722,MATCH($A139,'03 Raw Data'!$J$3:$J$722,0)),""))</f>
        <v/>
      </c>
      <c r="F139" s="24">
        <f>IF($A139="","",IFERROR(INDEX('03 Raw Data'!$N$3:$N$722,MATCH($A139,'03 Raw Data'!$M$3:$M$722,0)),""))</f>
        <v/>
      </c>
      <c r="G139" s="24">
        <f>IF($A139="","",IFERROR(INDEX('03 Raw Data'!$Q$3:$Q$722,MATCH($A139,'03 Raw Data'!$P$3:$P$722,0)),""))</f>
        <v/>
      </c>
      <c r="H139" s="24">
        <f>IF($A139="","",IFERROR(INDEX('03 Raw Data'!$T$3:$T$722,MATCH($A139,'03 Raw Data'!$S$3:$S$722,0)),""))</f>
        <v/>
      </c>
    </row>
    <row r="140">
      <c r="A140" s="23">
        <f>IFERROR(IF(OR('03 Raw Data'!A138="",'03 Raw Data'!A138=0),"",'03 Raw Data'!A138),"")</f>
        <v/>
      </c>
      <c r="B140" s="24">
        <f>IF($A140="","",IFERROR(INDEX('03 Raw Data'!$B$3:$B$722,MATCH($A140,'03 Raw Data'!$A$3:$A$722,0)),""))</f>
        <v/>
      </c>
      <c r="C140" s="24">
        <f>IF($A140="","",IFERROR(INDEX('03 Raw Data'!$E$3:$E$722,MATCH($A140,'03 Raw Data'!$D$3:$D$722,0)),""))</f>
        <v/>
      </c>
      <c r="D140" s="24">
        <f>IF($A140="","",IFERROR(INDEX('03 Raw Data'!$H$3:$H$722,MATCH($A140,'03 Raw Data'!$G$3:$G$722,0)),""))</f>
        <v/>
      </c>
      <c r="E140" s="24">
        <f>IF($A140="","",IFERROR(INDEX('03 Raw Data'!$K$3:$K$722,MATCH($A140,'03 Raw Data'!$J$3:$J$722,0)),""))</f>
        <v/>
      </c>
      <c r="F140" s="24">
        <f>IF($A140="","",IFERROR(INDEX('03 Raw Data'!$N$3:$N$722,MATCH($A140,'03 Raw Data'!$M$3:$M$722,0)),""))</f>
        <v/>
      </c>
      <c r="G140" s="24">
        <f>IF($A140="","",IFERROR(INDEX('03 Raw Data'!$Q$3:$Q$722,MATCH($A140,'03 Raw Data'!$P$3:$P$722,0)),""))</f>
        <v/>
      </c>
      <c r="H140" s="24">
        <f>IF($A140="","",IFERROR(INDEX('03 Raw Data'!$T$3:$T$722,MATCH($A140,'03 Raw Data'!$S$3:$S$722,0)),""))</f>
        <v/>
      </c>
    </row>
    <row r="141">
      <c r="A141" s="23">
        <f>IFERROR(IF(OR('03 Raw Data'!A139="",'03 Raw Data'!A139=0),"",'03 Raw Data'!A139),"")</f>
        <v/>
      </c>
      <c r="B141" s="24">
        <f>IF($A141="","",IFERROR(INDEX('03 Raw Data'!$B$3:$B$722,MATCH($A141,'03 Raw Data'!$A$3:$A$722,0)),""))</f>
        <v/>
      </c>
      <c r="C141" s="24">
        <f>IF($A141="","",IFERROR(INDEX('03 Raw Data'!$E$3:$E$722,MATCH($A141,'03 Raw Data'!$D$3:$D$722,0)),""))</f>
        <v/>
      </c>
      <c r="D141" s="24">
        <f>IF($A141="","",IFERROR(INDEX('03 Raw Data'!$H$3:$H$722,MATCH($A141,'03 Raw Data'!$G$3:$G$722,0)),""))</f>
        <v/>
      </c>
      <c r="E141" s="24">
        <f>IF($A141="","",IFERROR(INDEX('03 Raw Data'!$K$3:$K$722,MATCH($A141,'03 Raw Data'!$J$3:$J$722,0)),""))</f>
        <v/>
      </c>
      <c r="F141" s="24">
        <f>IF($A141="","",IFERROR(INDEX('03 Raw Data'!$N$3:$N$722,MATCH($A141,'03 Raw Data'!$M$3:$M$722,0)),""))</f>
        <v/>
      </c>
      <c r="G141" s="24">
        <f>IF($A141="","",IFERROR(INDEX('03 Raw Data'!$Q$3:$Q$722,MATCH($A141,'03 Raw Data'!$P$3:$P$722,0)),""))</f>
        <v/>
      </c>
      <c r="H141" s="24">
        <f>IF($A141="","",IFERROR(INDEX('03 Raw Data'!$T$3:$T$722,MATCH($A141,'03 Raw Data'!$S$3:$S$722,0)),""))</f>
        <v/>
      </c>
    </row>
    <row r="142">
      <c r="A142" s="23">
        <f>IFERROR(IF(OR('03 Raw Data'!A140="",'03 Raw Data'!A140=0),"",'03 Raw Data'!A140),"")</f>
        <v/>
      </c>
      <c r="B142" s="24">
        <f>IF($A142="","",IFERROR(INDEX('03 Raw Data'!$B$3:$B$722,MATCH($A142,'03 Raw Data'!$A$3:$A$722,0)),""))</f>
        <v/>
      </c>
      <c r="C142" s="24">
        <f>IF($A142="","",IFERROR(INDEX('03 Raw Data'!$E$3:$E$722,MATCH($A142,'03 Raw Data'!$D$3:$D$722,0)),""))</f>
        <v/>
      </c>
      <c r="D142" s="24">
        <f>IF($A142="","",IFERROR(INDEX('03 Raw Data'!$H$3:$H$722,MATCH($A142,'03 Raw Data'!$G$3:$G$722,0)),""))</f>
        <v/>
      </c>
      <c r="E142" s="24">
        <f>IF($A142="","",IFERROR(INDEX('03 Raw Data'!$K$3:$K$722,MATCH($A142,'03 Raw Data'!$J$3:$J$722,0)),""))</f>
        <v/>
      </c>
      <c r="F142" s="24">
        <f>IF($A142="","",IFERROR(INDEX('03 Raw Data'!$N$3:$N$722,MATCH($A142,'03 Raw Data'!$M$3:$M$722,0)),""))</f>
        <v/>
      </c>
      <c r="G142" s="24">
        <f>IF($A142="","",IFERROR(INDEX('03 Raw Data'!$Q$3:$Q$722,MATCH($A142,'03 Raw Data'!$P$3:$P$722,0)),""))</f>
        <v/>
      </c>
      <c r="H142" s="24">
        <f>IF($A142="","",IFERROR(INDEX('03 Raw Data'!$T$3:$T$722,MATCH($A142,'03 Raw Data'!$S$3:$S$722,0)),""))</f>
        <v/>
      </c>
    </row>
    <row r="143">
      <c r="A143" s="23">
        <f>IFERROR(IF(OR('03 Raw Data'!A141="",'03 Raw Data'!A141=0),"",'03 Raw Data'!A141),"")</f>
        <v/>
      </c>
      <c r="B143" s="24">
        <f>IF($A143="","",IFERROR(INDEX('03 Raw Data'!$B$3:$B$722,MATCH($A143,'03 Raw Data'!$A$3:$A$722,0)),""))</f>
        <v/>
      </c>
      <c r="C143" s="24">
        <f>IF($A143="","",IFERROR(INDEX('03 Raw Data'!$E$3:$E$722,MATCH($A143,'03 Raw Data'!$D$3:$D$722,0)),""))</f>
        <v/>
      </c>
      <c r="D143" s="24">
        <f>IF($A143="","",IFERROR(INDEX('03 Raw Data'!$H$3:$H$722,MATCH($A143,'03 Raw Data'!$G$3:$G$722,0)),""))</f>
        <v/>
      </c>
      <c r="E143" s="24">
        <f>IF($A143="","",IFERROR(INDEX('03 Raw Data'!$K$3:$K$722,MATCH($A143,'03 Raw Data'!$J$3:$J$722,0)),""))</f>
        <v/>
      </c>
      <c r="F143" s="24">
        <f>IF($A143="","",IFERROR(INDEX('03 Raw Data'!$N$3:$N$722,MATCH($A143,'03 Raw Data'!$M$3:$M$722,0)),""))</f>
        <v/>
      </c>
      <c r="G143" s="24">
        <f>IF($A143="","",IFERROR(INDEX('03 Raw Data'!$Q$3:$Q$722,MATCH($A143,'03 Raw Data'!$P$3:$P$722,0)),""))</f>
        <v/>
      </c>
      <c r="H143" s="24">
        <f>IF($A143="","",IFERROR(INDEX('03 Raw Data'!$T$3:$T$722,MATCH($A143,'03 Raw Data'!$S$3:$S$722,0)),""))</f>
        <v/>
      </c>
    </row>
    <row r="144">
      <c r="A144" s="23">
        <f>IFERROR(IF(OR('03 Raw Data'!A142="",'03 Raw Data'!A142=0),"",'03 Raw Data'!A142),"")</f>
        <v/>
      </c>
      <c r="B144" s="24">
        <f>IF($A144="","",IFERROR(INDEX('03 Raw Data'!$B$3:$B$722,MATCH($A144,'03 Raw Data'!$A$3:$A$722,0)),""))</f>
        <v/>
      </c>
      <c r="C144" s="24">
        <f>IF($A144="","",IFERROR(INDEX('03 Raw Data'!$E$3:$E$722,MATCH($A144,'03 Raw Data'!$D$3:$D$722,0)),""))</f>
        <v/>
      </c>
      <c r="D144" s="24">
        <f>IF($A144="","",IFERROR(INDEX('03 Raw Data'!$H$3:$H$722,MATCH($A144,'03 Raw Data'!$G$3:$G$722,0)),""))</f>
        <v/>
      </c>
      <c r="E144" s="24">
        <f>IF($A144="","",IFERROR(INDEX('03 Raw Data'!$K$3:$K$722,MATCH($A144,'03 Raw Data'!$J$3:$J$722,0)),""))</f>
        <v/>
      </c>
      <c r="F144" s="24">
        <f>IF($A144="","",IFERROR(INDEX('03 Raw Data'!$N$3:$N$722,MATCH($A144,'03 Raw Data'!$M$3:$M$722,0)),""))</f>
        <v/>
      </c>
      <c r="G144" s="24">
        <f>IF($A144="","",IFERROR(INDEX('03 Raw Data'!$Q$3:$Q$722,MATCH($A144,'03 Raw Data'!$P$3:$P$722,0)),""))</f>
        <v/>
      </c>
      <c r="H144" s="24">
        <f>IF($A144="","",IFERROR(INDEX('03 Raw Data'!$T$3:$T$722,MATCH($A144,'03 Raw Data'!$S$3:$S$722,0)),""))</f>
        <v/>
      </c>
    </row>
    <row r="145">
      <c r="A145" s="23">
        <f>IFERROR(IF(OR('03 Raw Data'!A143="",'03 Raw Data'!A143=0),"",'03 Raw Data'!A143),"")</f>
        <v/>
      </c>
      <c r="B145" s="24">
        <f>IF($A145="","",IFERROR(INDEX('03 Raw Data'!$B$3:$B$722,MATCH($A145,'03 Raw Data'!$A$3:$A$722,0)),""))</f>
        <v/>
      </c>
      <c r="C145" s="24">
        <f>IF($A145="","",IFERROR(INDEX('03 Raw Data'!$E$3:$E$722,MATCH($A145,'03 Raw Data'!$D$3:$D$722,0)),""))</f>
        <v/>
      </c>
      <c r="D145" s="24">
        <f>IF($A145="","",IFERROR(INDEX('03 Raw Data'!$H$3:$H$722,MATCH($A145,'03 Raw Data'!$G$3:$G$722,0)),""))</f>
        <v/>
      </c>
      <c r="E145" s="24">
        <f>IF($A145="","",IFERROR(INDEX('03 Raw Data'!$K$3:$K$722,MATCH($A145,'03 Raw Data'!$J$3:$J$722,0)),""))</f>
        <v/>
      </c>
      <c r="F145" s="24">
        <f>IF($A145="","",IFERROR(INDEX('03 Raw Data'!$N$3:$N$722,MATCH($A145,'03 Raw Data'!$M$3:$M$722,0)),""))</f>
        <v/>
      </c>
      <c r="G145" s="24">
        <f>IF($A145="","",IFERROR(INDEX('03 Raw Data'!$Q$3:$Q$722,MATCH($A145,'03 Raw Data'!$P$3:$P$722,0)),""))</f>
        <v/>
      </c>
      <c r="H145" s="24">
        <f>IF($A145="","",IFERROR(INDEX('03 Raw Data'!$T$3:$T$722,MATCH($A145,'03 Raw Data'!$S$3:$S$722,0)),""))</f>
        <v/>
      </c>
    </row>
    <row r="146">
      <c r="A146" s="23">
        <f>IFERROR(IF(OR('03 Raw Data'!A144="",'03 Raw Data'!A144=0),"",'03 Raw Data'!A144),"")</f>
        <v/>
      </c>
      <c r="B146" s="24">
        <f>IF($A146="","",IFERROR(INDEX('03 Raw Data'!$B$3:$B$722,MATCH($A146,'03 Raw Data'!$A$3:$A$722,0)),""))</f>
        <v/>
      </c>
      <c r="C146" s="24">
        <f>IF($A146="","",IFERROR(INDEX('03 Raw Data'!$E$3:$E$722,MATCH($A146,'03 Raw Data'!$D$3:$D$722,0)),""))</f>
        <v/>
      </c>
      <c r="D146" s="24">
        <f>IF($A146="","",IFERROR(INDEX('03 Raw Data'!$H$3:$H$722,MATCH($A146,'03 Raw Data'!$G$3:$G$722,0)),""))</f>
        <v/>
      </c>
      <c r="E146" s="24">
        <f>IF($A146="","",IFERROR(INDEX('03 Raw Data'!$K$3:$K$722,MATCH($A146,'03 Raw Data'!$J$3:$J$722,0)),""))</f>
        <v/>
      </c>
      <c r="F146" s="24">
        <f>IF($A146="","",IFERROR(INDEX('03 Raw Data'!$N$3:$N$722,MATCH($A146,'03 Raw Data'!$M$3:$M$722,0)),""))</f>
        <v/>
      </c>
      <c r="G146" s="24">
        <f>IF($A146="","",IFERROR(INDEX('03 Raw Data'!$Q$3:$Q$722,MATCH($A146,'03 Raw Data'!$P$3:$P$722,0)),""))</f>
        <v/>
      </c>
      <c r="H146" s="24">
        <f>IF($A146="","",IFERROR(INDEX('03 Raw Data'!$T$3:$T$722,MATCH($A146,'03 Raw Data'!$S$3:$S$722,0)),""))</f>
        <v/>
      </c>
    </row>
    <row r="147">
      <c r="A147" s="23">
        <f>IFERROR(IF(OR('03 Raw Data'!A145="",'03 Raw Data'!A145=0),"",'03 Raw Data'!A145),"")</f>
        <v/>
      </c>
      <c r="B147" s="24">
        <f>IF($A147="","",IFERROR(INDEX('03 Raw Data'!$B$3:$B$722,MATCH($A147,'03 Raw Data'!$A$3:$A$722,0)),""))</f>
        <v/>
      </c>
      <c r="C147" s="24">
        <f>IF($A147="","",IFERROR(INDEX('03 Raw Data'!$E$3:$E$722,MATCH($A147,'03 Raw Data'!$D$3:$D$722,0)),""))</f>
        <v/>
      </c>
      <c r="D147" s="24">
        <f>IF($A147="","",IFERROR(INDEX('03 Raw Data'!$H$3:$H$722,MATCH($A147,'03 Raw Data'!$G$3:$G$722,0)),""))</f>
        <v/>
      </c>
      <c r="E147" s="24">
        <f>IF($A147="","",IFERROR(INDEX('03 Raw Data'!$K$3:$K$722,MATCH($A147,'03 Raw Data'!$J$3:$J$722,0)),""))</f>
        <v/>
      </c>
      <c r="F147" s="24">
        <f>IF($A147="","",IFERROR(INDEX('03 Raw Data'!$N$3:$N$722,MATCH($A147,'03 Raw Data'!$M$3:$M$722,0)),""))</f>
        <v/>
      </c>
      <c r="G147" s="24">
        <f>IF($A147="","",IFERROR(INDEX('03 Raw Data'!$Q$3:$Q$722,MATCH($A147,'03 Raw Data'!$P$3:$P$722,0)),""))</f>
        <v/>
      </c>
      <c r="H147" s="24">
        <f>IF($A147="","",IFERROR(INDEX('03 Raw Data'!$T$3:$T$722,MATCH($A147,'03 Raw Data'!$S$3:$S$722,0)),""))</f>
        <v/>
      </c>
    </row>
    <row r="148">
      <c r="A148" s="23">
        <f>IFERROR(IF(OR('03 Raw Data'!A146="",'03 Raw Data'!A146=0),"",'03 Raw Data'!A146),"")</f>
        <v/>
      </c>
      <c r="B148" s="24">
        <f>IF($A148="","",IFERROR(INDEX('03 Raw Data'!$B$3:$B$722,MATCH($A148,'03 Raw Data'!$A$3:$A$722,0)),""))</f>
        <v/>
      </c>
      <c r="C148" s="24">
        <f>IF($A148="","",IFERROR(INDEX('03 Raw Data'!$E$3:$E$722,MATCH($A148,'03 Raw Data'!$D$3:$D$722,0)),""))</f>
        <v/>
      </c>
      <c r="D148" s="24">
        <f>IF($A148="","",IFERROR(INDEX('03 Raw Data'!$H$3:$H$722,MATCH($A148,'03 Raw Data'!$G$3:$G$722,0)),""))</f>
        <v/>
      </c>
      <c r="E148" s="24">
        <f>IF($A148="","",IFERROR(INDEX('03 Raw Data'!$K$3:$K$722,MATCH($A148,'03 Raw Data'!$J$3:$J$722,0)),""))</f>
        <v/>
      </c>
      <c r="F148" s="24">
        <f>IF($A148="","",IFERROR(INDEX('03 Raw Data'!$N$3:$N$722,MATCH($A148,'03 Raw Data'!$M$3:$M$722,0)),""))</f>
        <v/>
      </c>
      <c r="G148" s="24">
        <f>IF($A148="","",IFERROR(INDEX('03 Raw Data'!$Q$3:$Q$722,MATCH($A148,'03 Raw Data'!$P$3:$P$722,0)),""))</f>
        <v/>
      </c>
      <c r="H148" s="24">
        <f>IF($A148="","",IFERROR(INDEX('03 Raw Data'!$T$3:$T$722,MATCH($A148,'03 Raw Data'!$S$3:$S$722,0)),""))</f>
        <v/>
      </c>
    </row>
    <row r="149">
      <c r="A149" s="23">
        <f>IFERROR(IF(OR('03 Raw Data'!A147="",'03 Raw Data'!A147=0),"",'03 Raw Data'!A147),"")</f>
        <v/>
      </c>
      <c r="B149" s="24">
        <f>IF($A149="","",IFERROR(INDEX('03 Raw Data'!$B$3:$B$722,MATCH($A149,'03 Raw Data'!$A$3:$A$722,0)),""))</f>
        <v/>
      </c>
      <c r="C149" s="24">
        <f>IF($A149="","",IFERROR(INDEX('03 Raw Data'!$E$3:$E$722,MATCH($A149,'03 Raw Data'!$D$3:$D$722,0)),""))</f>
        <v/>
      </c>
      <c r="D149" s="24">
        <f>IF($A149="","",IFERROR(INDEX('03 Raw Data'!$H$3:$H$722,MATCH($A149,'03 Raw Data'!$G$3:$G$722,0)),""))</f>
        <v/>
      </c>
      <c r="E149" s="24">
        <f>IF($A149="","",IFERROR(INDEX('03 Raw Data'!$K$3:$K$722,MATCH($A149,'03 Raw Data'!$J$3:$J$722,0)),""))</f>
        <v/>
      </c>
      <c r="F149" s="24">
        <f>IF($A149="","",IFERROR(INDEX('03 Raw Data'!$N$3:$N$722,MATCH($A149,'03 Raw Data'!$M$3:$M$722,0)),""))</f>
        <v/>
      </c>
      <c r="G149" s="24">
        <f>IF($A149="","",IFERROR(INDEX('03 Raw Data'!$Q$3:$Q$722,MATCH($A149,'03 Raw Data'!$P$3:$P$722,0)),""))</f>
        <v/>
      </c>
      <c r="H149" s="24">
        <f>IF($A149="","",IFERROR(INDEX('03 Raw Data'!$T$3:$T$722,MATCH($A149,'03 Raw Data'!$S$3:$S$722,0)),""))</f>
        <v/>
      </c>
    </row>
    <row r="150">
      <c r="A150" s="23">
        <f>IFERROR(IF(OR('03 Raw Data'!A148="",'03 Raw Data'!A148=0),"",'03 Raw Data'!A148),"")</f>
        <v/>
      </c>
      <c r="B150" s="24">
        <f>IF($A150="","",IFERROR(INDEX('03 Raw Data'!$B$3:$B$722,MATCH($A150,'03 Raw Data'!$A$3:$A$722,0)),""))</f>
        <v/>
      </c>
      <c r="C150" s="24">
        <f>IF($A150="","",IFERROR(INDEX('03 Raw Data'!$E$3:$E$722,MATCH($A150,'03 Raw Data'!$D$3:$D$722,0)),""))</f>
        <v/>
      </c>
      <c r="D150" s="24">
        <f>IF($A150="","",IFERROR(INDEX('03 Raw Data'!$H$3:$H$722,MATCH($A150,'03 Raw Data'!$G$3:$G$722,0)),""))</f>
        <v/>
      </c>
      <c r="E150" s="24">
        <f>IF($A150="","",IFERROR(INDEX('03 Raw Data'!$K$3:$K$722,MATCH($A150,'03 Raw Data'!$J$3:$J$722,0)),""))</f>
        <v/>
      </c>
      <c r="F150" s="24">
        <f>IF($A150="","",IFERROR(INDEX('03 Raw Data'!$N$3:$N$722,MATCH($A150,'03 Raw Data'!$M$3:$M$722,0)),""))</f>
        <v/>
      </c>
      <c r="G150" s="24">
        <f>IF($A150="","",IFERROR(INDEX('03 Raw Data'!$Q$3:$Q$722,MATCH($A150,'03 Raw Data'!$P$3:$P$722,0)),""))</f>
        <v/>
      </c>
      <c r="H150" s="24">
        <f>IF($A150="","",IFERROR(INDEX('03 Raw Data'!$T$3:$T$722,MATCH($A150,'03 Raw Data'!$S$3:$S$722,0)),""))</f>
        <v/>
      </c>
    </row>
    <row r="151">
      <c r="A151" s="23">
        <f>IFERROR(IF(OR('03 Raw Data'!A149="",'03 Raw Data'!A149=0),"",'03 Raw Data'!A149),"")</f>
        <v/>
      </c>
      <c r="B151" s="24">
        <f>IF($A151="","",IFERROR(INDEX('03 Raw Data'!$B$3:$B$722,MATCH($A151,'03 Raw Data'!$A$3:$A$722,0)),""))</f>
        <v/>
      </c>
      <c r="C151" s="24">
        <f>IF($A151="","",IFERROR(INDEX('03 Raw Data'!$E$3:$E$722,MATCH($A151,'03 Raw Data'!$D$3:$D$722,0)),""))</f>
        <v/>
      </c>
      <c r="D151" s="24">
        <f>IF($A151="","",IFERROR(INDEX('03 Raw Data'!$H$3:$H$722,MATCH($A151,'03 Raw Data'!$G$3:$G$722,0)),""))</f>
        <v/>
      </c>
      <c r="E151" s="24">
        <f>IF($A151="","",IFERROR(INDEX('03 Raw Data'!$K$3:$K$722,MATCH($A151,'03 Raw Data'!$J$3:$J$722,0)),""))</f>
        <v/>
      </c>
      <c r="F151" s="24">
        <f>IF($A151="","",IFERROR(INDEX('03 Raw Data'!$N$3:$N$722,MATCH($A151,'03 Raw Data'!$M$3:$M$722,0)),""))</f>
        <v/>
      </c>
      <c r="G151" s="24">
        <f>IF($A151="","",IFERROR(INDEX('03 Raw Data'!$Q$3:$Q$722,MATCH($A151,'03 Raw Data'!$P$3:$P$722,0)),""))</f>
        <v/>
      </c>
      <c r="H151" s="24">
        <f>IF($A151="","",IFERROR(INDEX('03 Raw Data'!$T$3:$T$722,MATCH($A151,'03 Raw Data'!$S$3:$S$722,0)),""))</f>
        <v/>
      </c>
    </row>
    <row r="152">
      <c r="A152" s="23">
        <f>IFERROR(IF(OR('03 Raw Data'!A150="",'03 Raw Data'!A150=0),"",'03 Raw Data'!A150),"")</f>
        <v/>
      </c>
      <c r="B152" s="24">
        <f>IF($A152="","",IFERROR(INDEX('03 Raw Data'!$B$3:$B$722,MATCH($A152,'03 Raw Data'!$A$3:$A$722,0)),""))</f>
        <v/>
      </c>
      <c r="C152" s="24">
        <f>IF($A152="","",IFERROR(INDEX('03 Raw Data'!$E$3:$E$722,MATCH($A152,'03 Raw Data'!$D$3:$D$722,0)),""))</f>
        <v/>
      </c>
      <c r="D152" s="24">
        <f>IF($A152="","",IFERROR(INDEX('03 Raw Data'!$H$3:$H$722,MATCH($A152,'03 Raw Data'!$G$3:$G$722,0)),""))</f>
        <v/>
      </c>
      <c r="E152" s="24">
        <f>IF($A152="","",IFERROR(INDEX('03 Raw Data'!$K$3:$K$722,MATCH($A152,'03 Raw Data'!$J$3:$J$722,0)),""))</f>
        <v/>
      </c>
      <c r="F152" s="24">
        <f>IF($A152="","",IFERROR(INDEX('03 Raw Data'!$N$3:$N$722,MATCH($A152,'03 Raw Data'!$M$3:$M$722,0)),""))</f>
        <v/>
      </c>
      <c r="G152" s="24">
        <f>IF($A152="","",IFERROR(INDEX('03 Raw Data'!$Q$3:$Q$722,MATCH($A152,'03 Raw Data'!$P$3:$P$722,0)),""))</f>
        <v/>
      </c>
      <c r="H152" s="24">
        <f>IF($A152="","",IFERROR(INDEX('03 Raw Data'!$T$3:$T$722,MATCH($A152,'03 Raw Data'!$S$3:$S$722,0)),""))</f>
        <v/>
      </c>
    </row>
    <row r="153">
      <c r="A153" s="23">
        <f>IFERROR(IF(OR('03 Raw Data'!A151="",'03 Raw Data'!A151=0),"",'03 Raw Data'!A151),"")</f>
        <v/>
      </c>
      <c r="B153" s="24">
        <f>IF($A153="","",IFERROR(INDEX('03 Raw Data'!$B$3:$B$722,MATCH($A153,'03 Raw Data'!$A$3:$A$722,0)),""))</f>
        <v/>
      </c>
      <c r="C153" s="24">
        <f>IF($A153="","",IFERROR(INDEX('03 Raw Data'!$E$3:$E$722,MATCH($A153,'03 Raw Data'!$D$3:$D$722,0)),""))</f>
        <v/>
      </c>
      <c r="D153" s="24">
        <f>IF($A153="","",IFERROR(INDEX('03 Raw Data'!$H$3:$H$722,MATCH($A153,'03 Raw Data'!$G$3:$G$722,0)),""))</f>
        <v/>
      </c>
      <c r="E153" s="24">
        <f>IF($A153="","",IFERROR(INDEX('03 Raw Data'!$K$3:$K$722,MATCH($A153,'03 Raw Data'!$J$3:$J$722,0)),""))</f>
        <v/>
      </c>
      <c r="F153" s="24">
        <f>IF($A153="","",IFERROR(INDEX('03 Raw Data'!$N$3:$N$722,MATCH($A153,'03 Raw Data'!$M$3:$M$722,0)),""))</f>
        <v/>
      </c>
      <c r="G153" s="24">
        <f>IF($A153="","",IFERROR(INDEX('03 Raw Data'!$Q$3:$Q$722,MATCH($A153,'03 Raw Data'!$P$3:$P$722,0)),""))</f>
        <v/>
      </c>
      <c r="H153" s="24">
        <f>IF($A153="","",IFERROR(INDEX('03 Raw Data'!$T$3:$T$722,MATCH($A153,'03 Raw Data'!$S$3:$S$722,0)),""))</f>
        <v/>
      </c>
    </row>
    <row r="154">
      <c r="A154" s="23">
        <f>IFERROR(IF(OR('03 Raw Data'!A152="",'03 Raw Data'!A152=0),"",'03 Raw Data'!A152),"")</f>
        <v/>
      </c>
      <c r="B154" s="24">
        <f>IF($A154="","",IFERROR(INDEX('03 Raw Data'!$B$3:$B$722,MATCH($A154,'03 Raw Data'!$A$3:$A$722,0)),""))</f>
        <v/>
      </c>
      <c r="C154" s="24">
        <f>IF($A154="","",IFERROR(INDEX('03 Raw Data'!$E$3:$E$722,MATCH($A154,'03 Raw Data'!$D$3:$D$722,0)),""))</f>
        <v/>
      </c>
      <c r="D154" s="24">
        <f>IF($A154="","",IFERROR(INDEX('03 Raw Data'!$H$3:$H$722,MATCH($A154,'03 Raw Data'!$G$3:$G$722,0)),""))</f>
        <v/>
      </c>
      <c r="E154" s="24">
        <f>IF($A154="","",IFERROR(INDEX('03 Raw Data'!$K$3:$K$722,MATCH($A154,'03 Raw Data'!$J$3:$J$722,0)),""))</f>
        <v/>
      </c>
      <c r="F154" s="24">
        <f>IF($A154="","",IFERROR(INDEX('03 Raw Data'!$N$3:$N$722,MATCH($A154,'03 Raw Data'!$M$3:$M$722,0)),""))</f>
        <v/>
      </c>
      <c r="G154" s="24">
        <f>IF($A154="","",IFERROR(INDEX('03 Raw Data'!$Q$3:$Q$722,MATCH($A154,'03 Raw Data'!$P$3:$P$722,0)),""))</f>
        <v/>
      </c>
      <c r="H154" s="24">
        <f>IF($A154="","",IFERROR(INDEX('03 Raw Data'!$T$3:$T$722,MATCH($A154,'03 Raw Data'!$S$3:$S$722,0)),""))</f>
        <v/>
      </c>
    </row>
    <row r="155">
      <c r="A155" s="23">
        <f>IFERROR(IF(OR('03 Raw Data'!A153="",'03 Raw Data'!A153=0),"",'03 Raw Data'!A153),"")</f>
        <v/>
      </c>
      <c r="B155" s="24">
        <f>IF($A155="","",IFERROR(INDEX('03 Raw Data'!$B$3:$B$722,MATCH($A155,'03 Raw Data'!$A$3:$A$722,0)),""))</f>
        <v/>
      </c>
      <c r="C155" s="24">
        <f>IF($A155="","",IFERROR(INDEX('03 Raw Data'!$E$3:$E$722,MATCH($A155,'03 Raw Data'!$D$3:$D$722,0)),""))</f>
        <v/>
      </c>
      <c r="D155" s="24">
        <f>IF($A155="","",IFERROR(INDEX('03 Raw Data'!$H$3:$H$722,MATCH($A155,'03 Raw Data'!$G$3:$G$722,0)),""))</f>
        <v/>
      </c>
      <c r="E155" s="24">
        <f>IF($A155="","",IFERROR(INDEX('03 Raw Data'!$K$3:$K$722,MATCH($A155,'03 Raw Data'!$J$3:$J$722,0)),""))</f>
        <v/>
      </c>
      <c r="F155" s="24">
        <f>IF($A155="","",IFERROR(INDEX('03 Raw Data'!$N$3:$N$722,MATCH($A155,'03 Raw Data'!$M$3:$M$722,0)),""))</f>
        <v/>
      </c>
      <c r="G155" s="24">
        <f>IF($A155="","",IFERROR(INDEX('03 Raw Data'!$Q$3:$Q$722,MATCH($A155,'03 Raw Data'!$P$3:$P$722,0)),""))</f>
        <v/>
      </c>
      <c r="H155" s="24">
        <f>IF($A155="","",IFERROR(INDEX('03 Raw Data'!$T$3:$T$722,MATCH($A155,'03 Raw Data'!$S$3:$S$722,0)),""))</f>
        <v/>
      </c>
    </row>
    <row r="156">
      <c r="A156" s="23">
        <f>IFERROR(IF(OR('03 Raw Data'!A154="",'03 Raw Data'!A154=0),"",'03 Raw Data'!A154),"")</f>
        <v/>
      </c>
      <c r="B156" s="24">
        <f>IF($A156="","",IFERROR(INDEX('03 Raw Data'!$B$3:$B$722,MATCH($A156,'03 Raw Data'!$A$3:$A$722,0)),""))</f>
        <v/>
      </c>
      <c r="C156" s="24">
        <f>IF($A156="","",IFERROR(INDEX('03 Raw Data'!$E$3:$E$722,MATCH($A156,'03 Raw Data'!$D$3:$D$722,0)),""))</f>
        <v/>
      </c>
      <c r="D156" s="24">
        <f>IF($A156="","",IFERROR(INDEX('03 Raw Data'!$H$3:$H$722,MATCH($A156,'03 Raw Data'!$G$3:$G$722,0)),""))</f>
        <v/>
      </c>
      <c r="E156" s="24">
        <f>IF($A156="","",IFERROR(INDEX('03 Raw Data'!$K$3:$K$722,MATCH($A156,'03 Raw Data'!$J$3:$J$722,0)),""))</f>
        <v/>
      </c>
      <c r="F156" s="24">
        <f>IF($A156="","",IFERROR(INDEX('03 Raw Data'!$N$3:$N$722,MATCH($A156,'03 Raw Data'!$M$3:$M$722,0)),""))</f>
        <v/>
      </c>
      <c r="G156" s="24">
        <f>IF($A156="","",IFERROR(INDEX('03 Raw Data'!$Q$3:$Q$722,MATCH($A156,'03 Raw Data'!$P$3:$P$722,0)),""))</f>
        <v/>
      </c>
      <c r="H156" s="24">
        <f>IF($A156="","",IFERROR(INDEX('03 Raw Data'!$T$3:$T$722,MATCH($A156,'03 Raw Data'!$S$3:$S$722,0)),""))</f>
        <v/>
      </c>
    </row>
    <row r="157">
      <c r="A157" s="23">
        <f>IFERROR(IF(OR('03 Raw Data'!A155="",'03 Raw Data'!A155=0),"",'03 Raw Data'!A155),"")</f>
        <v/>
      </c>
      <c r="B157" s="24">
        <f>IF($A157="","",IFERROR(INDEX('03 Raw Data'!$B$3:$B$722,MATCH($A157,'03 Raw Data'!$A$3:$A$722,0)),""))</f>
        <v/>
      </c>
      <c r="C157" s="24">
        <f>IF($A157="","",IFERROR(INDEX('03 Raw Data'!$E$3:$E$722,MATCH($A157,'03 Raw Data'!$D$3:$D$722,0)),""))</f>
        <v/>
      </c>
      <c r="D157" s="24">
        <f>IF($A157="","",IFERROR(INDEX('03 Raw Data'!$H$3:$H$722,MATCH($A157,'03 Raw Data'!$G$3:$G$722,0)),""))</f>
        <v/>
      </c>
      <c r="E157" s="24">
        <f>IF($A157="","",IFERROR(INDEX('03 Raw Data'!$K$3:$K$722,MATCH($A157,'03 Raw Data'!$J$3:$J$722,0)),""))</f>
        <v/>
      </c>
      <c r="F157" s="24">
        <f>IF($A157="","",IFERROR(INDEX('03 Raw Data'!$N$3:$N$722,MATCH($A157,'03 Raw Data'!$M$3:$M$722,0)),""))</f>
        <v/>
      </c>
      <c r="G157" s="24">
        <f>IF($A157="","",IFERROR(INDEX('03 Raw Data'!$Q$3:$Q$722,MATCH($A157,'03 Raw Data'!$P$3:$P$722,0)),""))</f>
        <v/>
      </c>
      <c r="H157" s="24">
        <f>IF($A157="","",IFERROR(INDEX('03 Raw Data'!$T$3:$T$722,MATCH($A157,'03 Raw Data'!$S$3:$S$722,0)),""))</f>
        <v/>
      </c>
    </row>
    <row r="158">
      <c r="A158" s="23">
        <f>IFERROR(IF(OR('03 Raw Data'!A156="",'03 Raw Data'!A156=0),"",'03 Raw Data'!A156),"")</f>
        <v/>
      </c>
      <c r="B158" s="24">
        <f>IF($A158="","",IFERROR(INDEX('03 Raw Data'!$B$3:$B$722,MATCH($A158,'03 Raw Data'!$A$3:$A$722,0)),""))</f>
        <v/>
      </c>
      <c r="C158" s="24">
        <f>IF($A158="","",IFERROR(INDEX('03 Raw Data'!$E$3:$E$722,MATCH($A158,'03 Raw Data'!$D$3:$D$722,0)),""))</f>
        <v/>
      </c>
      <c r="D158" s="24">
        <f>IF($A158="","",IFERROR(INDEX('03 Raw Data'!$H$3:$H$722,MATCH($A158,'03 Raw Data'!$G$3:$G$722,0)),""))</f>
        <v/>
      </c>
      <c r="E158" s="24">
        <f>IF($A158="","",IFERROR(INDEX('03 Raw Data'!$K$3:$K$722,MATCH($A158,'03 Raw Data'!$J$3:$J$722,0)),""))</f>
        <v/>
      </c>
      <c r="F158" s="24">
        <f>IF($A158="","",IFERROR(INDEX('03 Raw Data'!$N$3:$N$722,MATCH($A158,'03 Raw Data'!$M$3:$M$722,0)),""))</f>
        <v/>
      </c>
      <c r="G158" s="24">
        <f>IF($A158="","",IFERROR(INDEX('03 Raw Data'!$Q$3:$Q$722,MATCH($A158,'03 Raw Data'!$P$3:$P$722,0)),""))</f>
        <v/>
      </c>
      <c r="H158" s="24">
        <f>IF($A158="","",IFERROR(INDEX('03 Raw Data'!$T$3:$T$722,MATCH($A158,'03 Raw Data'!$S$3:$S$722,0)),""))</f>
        <v/>
      </c>
    </row>
    <row r="159">
      <c r="A159" s="23">
        <f>IFERROR(IF(OR('03 Raw Data'!A157="",'03 Raw Data'!A157=0),"",'03 Raw Data'!A157),"")</f>
        <v/>
      </c>
      <c r="B159" s="24">
        <f>IF($A159="","",IFERROR(INDEX('03 Raw Data'!$B$3:$B$722,MATCH($A159,'03 Raw Data'!$A$3:$A$722,0)),""))</f>
        <v/>
      </c>
      <c r="C159" s="24">
        <f>IF($A159="","",IFERROR(INDEX('03 Raw Data'!$E$3:$E$722,MATCH($A159,'03 Raw Data'!$D$3:$D$722,0)),""))</f>
        <v/>
      </c>
      <c r="D159" s="24">
        <f>IF($A159="","",IFERROR(INDEX('03 Raw Data'!$H$3:$H$722,MATCH($A159,'03 Raw Data'!$G$3:$G$722,0)),""))</f>
        <v/>
      </c>
      <c r="E159" s="24">
        <f>IF($A159="","",IFERROR(INDEX('03 Raw Data'!$K$3:$K$722,MATCH($A159,'03 Raw Data'!$J$3:$J$722,0)),""))</f>
        <v/>
      </c>
      <c r="F159" s="24">
        <f>IF($A159="","",IFERROR(INDEX('03 Raw Data'!$N$3:$N$722,MATCH($A159,'03 Raw Data'!$M$3:$M$722,0)),""))</f>
        <v/>
      </c>
      <c r="G159" s="24">
        <f>IF($A159="","",IFERROR(INDEX('03 Raw Data'!$Q$3:$Q$722,MATCH($A159,'03 Raw Data'!$P$3:$P$722,0)),""))</f>
        <v/>
      </c>
      <c r="H159" s="24">
        <f>IF($A159="","",IFERROR(INDEX('03 Raw Data'!$T$3:$T$722,MATCH($A159,'03 Raw Data'!$S$3:$S$722,0)),""))</f>
        <v/>
      </c>
    </row>
    <row r="160">
      <c r="A160" s="23">
        <f>IFERROR(IF(OR('03 Raw Data'!A158="",'03 Raw Data'!A158=0),"",'03 Raw Data'!A158),"")</f>
        <v/>
      </c>
      <c r="B160" s="24">
        <f>IF($A160="","",IFERROR(INDEX('03 Raw Data'!$B$3:$B$722,MATCH($A160,'03 Raw Data'!$A$3:$A$722,0)),""))</f>
        <v/>
      </c>
      <c r="C160" s="24">
        <f>IF($A160="","",IFERROR(INDEX('03 Raw Data'!$E$3:$E$722,MATCH($A160,'03 Raw Data'!$D$3:$D$722,0)),""))</f>
        <v/>
      </c>
      <c r="D160" s="24">
        <f>IF($A160="","",IFERROR(INDEX('03 Raw Data'!$H$3:$H$722,MATCH($A160,'03 Raw Data'!$G$3:$G$722,0)),""))</f>
        <v/>
      </c>
      <c r="E160" s="24">
        <f>IF($A160="","",IFERROR(INDEX('03 Raw Data'!$K$3:$K$722,MATCH($A160,'03 Raw Data'!$J$3:$J$722,0)),""))</f>
        <v/>
      </c>
      <c r="F160" s="24">
        <f>IF($A160="","",IFERROR(INDEX('03 Raw Data'!$N$3:$N$722,MATCH($A160,'03 Raw Data'!$M$3:$M$722,0)),""))</f>
        <v/>
      </c>
      <c r="G160" s="24">
        <f>IF($A160="","",IFERROR(INDEX('03 Raw Data'!$Q$3:$Q$722,MATCH($A160,'03 Raw Data'!$P$3:$P$722,0)),""))</f>
        <v/>
      </c>
      <c r="H160" s="24">
        <f>IF($A160="","",IFERROR(INDEX('03 Raw Data'!$T$3:$T$722,MATCH($A160,'03 Raw Data'!$S$3:$S$722,0)),""))</f>
        <v/>
      </c>
    </row>
    <row r="161">
      <c r="A161" s="23">
        <f>IFERROR(IF(OR('03 Raw Data'!A159="",'03 Raw Data'!A159=0),"",'03 Raw Data'!A159),"")</f>
        <v/>
      </c>
      <c r="B161" s="24">
        <f>IF($A161="","",IFERROR(INDEX('03 Raw Data'!$B$3:$B$722,MATCH($A161,'03 Raw Data'!$A$3:$A$722,0)),""))</f>
        <v/>
      </c>
      <c r="C161" s="24">
        <f>IF($A161="","",IFERROR(INDEX('03 Raw Data'!$E$3:$E$722,MATCH($A161,'03 Raw Data'!$D$3:$D$722,0)),""))</f>
        <v/>
      </c>
      <c r="D161" s="24">
        <f>IF($A161="","",IFERROR(INDEX('03 Raw Data'!$H$3:$H$722,MATCH($A161,'03 Raw Data'!$G$3:$G$722,0)),""))</f>
        <v/>
      </c>
      <c r="E161" s="24">
        <f>IF($A161="","",IFERROR(INDEX('03 Raw Data'!$K$3:$K$722,MATCH($A161,'03 Raw Data'!$J$3:$J$722,0)),""))</f>
        <v/>
      </c>
      <c r="F161" s="24">
        <f>IF($A161="","",IFERROR(INDEX('03 Raw Data'!$N$3:$N$722,MATCH($A161,'03 Raw Data'!$M$3:$M$722,0)),""))</f>
        <v/>
      </c>
      <c r="G161" s="24">
        <f>IF($A161="","",IFERROR(INDEX('03 Raw Data'!$Q$3:$Q$722,MATCH($A161,'03 Raw Data'!$P$3:$P$722,0)),""))</f>
        <v/>
      </c>
      <c r="H161" s="24">
        <f>IF($A161="","",IFERROR(INDEX('03 Raw Data'!$T$3:$T$722,MATCH($A161,'03 Raw Data'!$S$3:$S$722,0)),""))</f>
        <v/>
      </c>
    </row>
    <row r="162">
      <c r="A162" s="23">
        <f>IFERROR(IF(OR('03 Raw Data'!A160="",'03 Raw Data'!A160=0),"",'03 Raw Data'!A160),"")</f>
        <v/>
      </c>
      <c r="B162" s="24">
        <f>IF($A162="","",IFERROR(INDEX('03 Raw Data'!$B$3:$B$722,MATCH($A162,'03 Raw Data'!$A$3:$A$722,0)),""))</f>
        <v/>
      </c>
      <c r="C162" s="24">
        <f>IF($A162="","",IFERROR(INDEX('03 Raw Data'!$E$3:$E$722,MATCH($A162,'03 Raw Data'!$D$3:$D$722,0)),""))</f>
        <v/>
      </c>
      <c r="D162" s="24">
        <f>IF($A162="","",IFERROR(INDEX('03 Raw Data'!$H$3:$H$722,MATCH($A162,'03 Raw Data'!$G$3:$G$722,0)),""))</f>
        <v/>
      </c>
      <c r="E162" s="24">
        <f>IF($A162="","",IFERROR(INDEX('03 Raw Data'!$K$3:$K$722,MATCH($A162,'03 Raw Data'!$J$3:$J$722,0)),""))</f>
        <v/>
      </c>
      <c r="F162" s="24">
        <f>IF($A162="","",IFERROR(INDEX('03 Raw Data'!$N$3:$N$722,MATCH($A162,'03 Raw Data'!$M$3:$M$722,0)),""))</f>
        <v/>
      </c>
      <c r="G162" s="24">
        <f>IF($A162="","",IFERROR(INDEX('03 Raw Data'!$Q$3:$Q$722,MATCH($A162,'03 Raw Data'!$P$3:$P$722,0)),""))</f>
        <v/>
      </c>
      <c r="H162" s="24">
        <f>IF($A162="","",IFERROR(INDEX('03 Raw Data'!$T$3:$T$722,MATCH($A162,'03 Raw Data'!$S$3:$S$722,0)),""))</f>
        <v/>
      </c>
    </row>
    <row r="163">
      <c r="A163" s="23">
        <f>IFERROR(IF(OR('03 Raw Data'!A161="",'03 Raw Data'!A161=0),"",'03 Raw Data'!A161),"")</f>
        <v/>
      </c>
      <c r="B163" s="24">
        <f>IF($A163="","",IFERROR(INDEX('03 Raw Data'!$B$3:$B$722,MATCH($A163,'03 Raw Data'!$A$3:$A$722,0)),""))</f>
        <v/>
      </c>
      <c r="C163" s="24">
        <f>IF($A163="","",IFERROR(INDEX('03 Raw Data'!$E$3:$E$722,MATCH($A163,'03 Raw Data'!$D$3:$D$722,0)),""))</f>
        <v/>
      </c>
      <c r="D163" s="24">
        <f>IF($A163="","",IFERROR(INDEX('03 Raw Data'!$H$3:$H$722,MATCH($A163,'03 Raw Data'!$G$3:$G$722,0)),""))</f>
        <v/>
      </c>
      <c r="E163" s="24">
        <f>IF($A163="","",IFERROR(INDEX('03 Raw Data'!$K$3:$K$722,MATCH($A163,'03 Raw Data'!$J$3:$J$722,0)),""))</f>
        <v/>
      </c>
      <c r="F163" s="24">
        <f>IF($A163="","",IFERROR(INDEX('03 Raw Data'!$N$3:$N$722,MATCH($A163,'03 Raw Data'!$M$3:$M$722,0)),""))</f>
        <v/>
      </c>
      <c r="G163" s="24">
        <f>IF($A163="","",IFERROR(INDEX('03 Raw Data'!$Q$3:$Q$722,MATCH($A163,'03 Raw Data'!$P$3:$P$722,0)),""))</f>
        <v/>
      </c>
      <c r="H163" s="24">
        <f>IF($A163="","",IFERROR(INDEX('03 Raw Data'!$T$3:$T$722,MATCH($A163,'03 Raw Data'!$S$3:$S$722,0)),""))</f>
        <v/>
      </c>
    </row>
    <row r="164">
      <c r="A164" s="23">
        <f>IFERROR(IF(OR('03 Raw Data'!A162="",'03 Raw Data'!A162=0),"",'03 Raw Data'!A162),"")</f>
        <v/>
      </c>
      <c r="B164" s="24">
        <f>IF($A164="","",IFERROR(INDEX('03 Raw Data'!$B$3:$B$722,MATCH($A164,'03 Raw Data'!$A$3:$A$722,0)),""))</f>
        <v/>
      </c>
      <c r="C164" s="24">
        <f>IF($A164="","",IFERROR(INDEX('03 Raw Data'!$E$3:$E$722,MATCH($A164,'03 Raw Data'!$D$3:$D$722,0)),""))</f>
        <v/>
      </c>
      <c r="D164" s="24">
        <f>IF($A164="","",IFERROR(INDEX('03 Raw Data'!$H$3:$H$722,MATCH($A164,'03 Raw Data'!$G$3:$G$722,0)),""))</f>
        <v/>
      </c>
      <c r="E164" s="24">
        <f>IF($A164="","",IFERROR(INDEX('03 Raw Data'!$K$3:$K$722,MATCH($A164,'03 Raw Data'!$J$3:$J$722,0)),""))</f>
        <v/>
      </c>
      <c r="F164" s="24">
        <f>IF($A164="","",IFERROR(INDEX('03 Raw Data'!$N$3:$N$722,MATCH($A164,'03 Raw Data'!$M$3:$M$722,0)),""))</f>
        <v/>
      </c>
      <c r="G164" s="24">
        <f>IF($A164="","",IFERROR(INDEX('03 Raw Data'!$Q$3:$Q$722,MATCH($A164,'03 Raw Data'!$P$3:$P$722,0)),""))</f>
        <v/>
      </c>
      <c r="H164" s="24">
        <f>IF($A164="","",IFERROR(INDEX('03 Raw Data'!$T$3:$T$722,MATCH($A164,'03 Raw Data'!$S$3:$S$722,0)),""))</f>
        <v/>
      </c>
    </row>
    <row r="165">
      <c r="A165" s="23">
        <f>IFERROR(IF(OR('03 Raw Data'!A163="",'03 Raw Data'!A163=0),"",'03 Raw Data'!A163),"")</f>
        <v/>
      </c>
      <c r="B165" s="24">
        <f>IF($A165="","",IFERROR(INDEX('03 Raw Data'!$B$3:$B$722,MATCH($A165,'03 Raw Data'!$A$3:$A$722,0)),""))</f>
        <v/>
      </c>
      <c r="C165" s="24">
        <f>IF($A165="","",IFERROR(INDEX('03 Raw Data'!$E$3:$E$722,MATCH($A165,'03 Raw Data'!$D$3:$D$722,0)),""))</f>
        <v/>
      </c>
      <c r="D165" s="24">
        <f>IF($A165="","",IFERROR(INDEX('03 Raw Data'!$H$3:$H$722,MATCH($A165,'03 Raw Data'!$G$3:$G$722,0)),""))</f>
        <v/>
      </c>
      <c r="E165" s="24">
        <f>IF($A165="","",IFERROR(INDEX('03 Raw Data'!$K$3:$K$722,MATCH($A165,'03 Raw Data'!$J$3:$J$722,0)),""))</f>
        <v/>
      </c>
      <c r="F165" s="24">
        <f>IF($A165="","",IFERROR(INDEX('03 Raw Data'!$N$3:$N$722,MATCH($A165,'03 Raw Data'!$M$3:$M$722,0)),""))</f>
        <v/>
      </c>
      <c r="G165" s="24">
        <f>IF($A165="","",IFERROR(INDEX('03 Raw Data'!$Q$3:$Q$722,MATCH($A165,'03 Raw Data'!$P$3:$P$722,0)),""))</f>
        <v/>
      </c>
      <c r="H165" s="24">
        <f>IF($A165="","",IFERROR(INDEX('03 Raw Data'!$T$3:$T$722,MATCH($A165,'03 Raw Data'!$S$3:$S$722,0)),""))</f>
        <v/>
      </c>
    </row>
    <row r="166">
      <c r="A166" s="23">
        <f>IFERROR(IF(OR('03 Raw Data'!A164="",'03 Raw Data'!A164=0),"",'03 Raw Data'!A164),"")</f>
        <v/>
      </c>
      <c r="B166" s="24">
        <f>IF($A166="","",IFERROR(INDEX('03 Raw Data'!$B$3:$B$722,MATCH($A166,'03 Raw Data'!$A$3:$A$722,0)),""))</f>
        <v/>
      </c>
      <c r="C166" s="24">
        <f>IF($A166="","",IFERROR(INDEX('03 Raw Data'!$E$3:$E$722,MATCH($A166,'03 Raw Data'!$D$3:$D$722,0)),""))</f>
        <v/>
      </c>
      <c r="D166" s="24">
        <f>IF($A166="","",IFERROR(INDEX('03 Raw Data'!$H$3:$H$722,MATCH($A166,'03 Raw Data'!$G$3:$G$722,0)),""))</f>
        <v/>
      </c>
      <c r="E166" s="24">
        <f>IF($A166="","",IFERROR(INDEX('03 Raw Data'!$K$3:$K$722,MATCH($A166,'03 Raw Data'!$J$3:$J$722,0)),""))</f>
        <v/>
      </c>
      <c r="F166" s="24">
        <f>IF($A166="","",IFERROR(INDEX('03 Raw Data'!$N$3:$N$722,MATCH($A166,'03 Raw Data'!$M$3:$M$722,0)),""))</f>
        <v/>
      </c>
      <c r="G166" s="24">
        <f>IF($A166="","",IFERROR(INDEX('03 Raw Data'!$Q$3:$Q$722,MATCH($A166,'03 Raw Data'!$P$3:$P$722,0)),""))</f>
        <v/>
      </c>
      <c r="H166" s="24">
        <f>IF($A166="","",IFERROR(INDEX('03 Raw Data'!$T$3:$T$722,MATCH($A166,'03 Raw Data'!$S$3:$S$722,0)),""))</f>
        <v/>
      </c>
    </row>
    <row r="167">
      <c r="A167" s="23">
        <f>IFERROR(IF(OR('03 Raw Data'!A165="",'03 Raw Data'!A165=0),"",'03 Raw Data'!A165),"")</f>
        <v/>
      </c>
      <c r="B167" s="24">
        <f>IF($A167="","",IFERROR(INDEX('03 Raw Data'!$B$3:$B$722,MATCH($A167,'03 Raw Data'!$A$3:$A$722,0)),""))</f>
        <v/>
      </c>
      <c r="C167" s="24">
        <f>IF($A167="","",IFERROR(INDEX('03 Raw Data'!$E$3:$E$722,MATCH($A167,'03 Raw Data'!$D$3:$D$722,0)),""))</f>
        <v/>
      </c>
      <c r="D167" s="24">
        <f>IF($A167="","",IFERROR(INDEX('03 Raw Data'!$H$3:$H$722,MATCH($A167,'03 Raw Data'!$G$3:$G$722,0)),""))</f>
        <v/>
      </c>
      <c r="E167" s="24">
        <f>IF($A167="","",IFERROR(INDEX('03 Raw Data'!$K$3:$K$722,MATCH($A167,'03 Raw Data'!$J$3:$J$722,0)),""))</f>
        <v/>
      </c>
      <c r="F167" s="24">
        <f>IF($A167="","",IFERROR(INDEX('03 Raw Data'!$N$3:$N$722,MATCH($A167,'03 Raw Data'!$M$3:$M$722,0)),""))</f>
        <v/>
      </c>
      <c r="G167" s="24">
        <f>IF($A167="","",IFERROR(INDEX('03 Raw Data'!$Q$3:$Q$722,MATCH($A167,'03 Raw Data'!$P$3:$P$722,0)),""))</f>
        <v/>
      </c>
      <c r="H167" s="24">
        <f>IF($A167="","",IFERROR(INDEX('03 Raw Data'!$T$3:$T$722,MATCH($A167,'03 Raw Data'!$S$3:$S$722,0)),""))</f>
        <v/>
      </c>
    </row>
    <row r="168">
      <c r="A168" s="23">
        <f>IFERROR(IF(OR('03 Raw Data'!A166="",'03 Raw Data'!A166=0),"",'03 Raw Data'!A166),"")</f>
        <v/>
      </c>
      <c r="B168" s="24">
        <f>IF($A168="","",IFERROR(INDEX('03 Raw Data'!$B$3:$B$722,MATCH($A168,'03 Raw Data'!$A$3:$A$722,0)),""))</f>
        <v/>
      </c>
      <c r="C168" s="24">
        <f>IF($A168="","",IFERROR(INDEX('03 Raw Data'!$E$3:$E$722,MATCH($A168,'03 Raw Data'!$D$3:$D$722,0)),""))</f>
        <v/>
      </c>
      <c r="D168" s="24">
        <f>IF($A168="","",IFERROR(INDEX('03 Raw Data'!$H$3:$H$722,MATCH($A168,'03 Raw Data'!$G$3:$G$722,0)),""))</f>
        <v/>
      </c>
      <c r="E168" s="24">
        <f>IF($A168="","",IFERROR(INDEX('03 Raw Data'!$K$3:$K$722,MATCH($A168,'03 Raw Data'!$J$3:$J$722,0)),""))</f>
        <v/>
      </c>
      <c r="F168" s="24">
        <f>IF($A168="","",IFERROR(INDEX('03 Raw Data'!$N$3:$N$722,MATCH($A168,'03 Raw Data'!$M$3:$M$722,0)),""))</f>
        <v/>
      </c>
      <c r="G168" s="24">
        <f>IF($A168="","",IFERROR(INDEX('03 Raw Data'!$Q$3:$Q$722,MATCH($A168,'03 Raw Data'!$P$3:$P$722,0)),""))</f>
        <v/>
      </c>
      <c r="H168" s="24">
        <f>IF($A168="","",IFERROR(INDEX('03 Raw Data'!$T$3:$T$722,MATCH($A168,'03 Raw Data'!$S$3:$S$722,0)),""))</f>
        <v/>
      </c>
    </row>
    <row r="169">
      <c r="A169" s="23">
        <f>IFERROR(IF(OR('03 Raw Data'!A167="",'03 Raw Data'!A167=0),"",'03 Raw Data'!A167),"")</f>
        <v/>
      </c>
      <c r="B169" s="24">
        <f>IF($A169="","",IFERROR(INDEX('03 Raw Data'!$B$3:$B$722,MATCH($A169,'03 Raw Data'!$A$3:$A$722,0)),""))</f>
        <v/>
      </c>
      <c r="C169" s="24">
        <f>IF($A169="","",IFERROR(INDEX('03 Raw Data'!$E$3:$E$722,MATCH($A169,'03 Raw Data'!$D$3:$D$722,0)),""))</f>
        <v/>
      </c>
      <c r="D169" s="24">
        <f>IF($A169="","",IFERROR(INDEX('03 Raw Data'!$H$3:$H$722,MATCH($A169,'03 Raw Data'!$G$3:$G$722,0)),""))</f>
        <v/>
      </c>
      <c r="E169" s="24">
        <f>IF($A169="","",IFERROR(INDEX('03 Raw Data'!$K$3:$K$722,MATCH($A169,'03 Raw Data'!$J$3:$J$722,0)),""))</f>
        <v/>
      </c>
      <c r="F169" s="24">
        <f>IF($A169="","",IFERROR(INDEX('03 Raw Data'!$N$3:$N$722,MATCH($A169,'03 Raw Data'!$M$3:$M$722,0)),""))</f>
        <v/>
      </c>
      <c r="G169" s="24">
        <f>IF($A169="","",IFERROR(INDEX('03 Raw Data'!$Q$3:$Q$722,MATCH($A169,'03 Raw Data'!$P$3:$P$722,0)),""))</f>
        <v/>
      </c>
      <c r="H169" s="24">
        <f>IF($A169="","",IFERROR(INDEX('03 Raw Data'!$T$3:$T$722,MATCH($A169,'03 Raw Data'!$S$3:$S$722,0)),""))</f>
        <v/>
      </c>
    </row>
    <row r="170">
      <c r="A170" s="23">
        <f>IFERROR(IF(OR('03 Raw Data'!A168="",'03 Raw Data'!A168=0),"",'03 Raw Data'!A168),"")</f>
        <v/>
      </c>
      <c r="B170" s="24">
        <f>IF($A170="","",IFERROR(INDEX('03 Raw Data'!$B$3:$B$722,MATCH($A170,'03 Raw Data'!$A$3:$A$722,0)),""))</f>
        <v/>
      </c>
      <c r="C170" s="24">
        <f>IF($A170="","",IFERROR(INDEX('03 Raw Data'!$E$3:$E$722,MATCH($A170,'03 Raw Data'!$D$3:$D$722,0)),""))</f>
        <v/>
      </c>
      <c r="D170" s="24">
        <f>IF($A170="","",IFERROR(INDEX('03 Raw Data'!$H$3:$H$722,MATCH($A170,'03 Raw Data'!$G$3:$G$722,0)),""))</f>
        <v/>
      </c>
      <c r="E170" s="24">
        <f>IF($A170="","",IFERROR(INDEX('03 Raw Data'!$K$3:$K$722,MATCH($A170,'03 Raw Data'!$J$3:$J$722,0)),""))</f>
        <v/>
      </c>
      <c r="F170" s="24">
        <f>IF($A170="","",IFERROR(INDEX('03 Raw Data'!$N$3:$N$722,MATCH($A170,'03 Raw Data'!$M$3:$M$722,0)),""))</f>
        <v/>
      </c>
      <c r="G170" s="24">
        <f>IF($A170="","",IFERROR(INDEX('03 Raw Data'!$Q$3:$Q$722,MATCH($A170,'03 Raw Data'!$P$3:$P$722,0)),""))</f>
        <v/>
      </c>
      <c r="H170" s="24">
        <f>IF($A170="","",IFERROR(INDEX('03 Raw Data'!$T$3:$T$722,MATCH($A170,'03 Raw Data'!$S$3:$S$722,0)),""))</f>
        <v/>
      </c>
    </row>
    <row r="171">
      <c r="A171" s="23">
        <f>IFERROR(IF(OR('03 Raw Data'!A169="",'03 Raw Data'!A169=0),"",'03 Raw Data'!A169),"")</f>
        <v/>
      </c>
      <c r="B171" s="24">
        <f>IF($A171="","",IFERROR(INDEX('03 Raw Data'!$B$3:$B$722,MATCH($A171,'03 Raw Data'!$A$3:$A$722,0)),""))</f>
        <v/>
      </c>
      <c r="C171" s="24">
        <f>IF($A171="","",IFERROR(INDEX('03 Raw Data'!$E$3:$E$722,MATCH($A171,'03 Raw Data'!$D$3:$D$722,0)),""))</f>
        <v/>
      </c>
      <c r="D171" s="24">
        <f>IF($A171="","",IFERROR(INDEX('03 Raw Data'!$H$3:$H$722,MATCH($A171,'03 Raw Data'!$G$3:$G$722,0)),""))</f>
        <v/>
      </c>
      <c r="E171" s="24">
        <f>IF($A171="","",IFERROR(INDEX('03 Raw Data'!$K$3:$K$722,MATCH($A171,'03 Raw Data'!$J$3:$J$722,0)),""))</f>
        <v/>
      </c>
      <c r="F171" s="24">
        <f>IF($A171="","",IFERROR(INDEX('03 Raw Data'!$N$3:$N$722,MATCH($A171,'03 Raw Data'!$M$3:$M$722,0)),""))</f>
        <v/>
      </c>
      <c r="G171" s="24">
        <f>IF($A171="","",IFERROR(INDEX('03 Raw Data'!$Q$3:$Q$722,MATCH($A171,'03 Raw Data'!$P$3:$P$722,0)),""))</f>
        <v/>
      </c>
      <c r="H171" s="24">
        <f>IF($A171="","",IFERROR(INDEX('03 Raw Data'!$T$3:$T$722,MATCH($A171,'03 Raw Data'!$S$3:$S$722,0)),""))</f>
        <v/>
      </c>
    </row>
    <row r="172">
      <c r="A172" s="23">
        <f>IFERROR(IF(OR('03 Raw Data'!A170="",'03 Raw Data'!A170=0),"",'03 Raw Data'!A170),"")</f>
        <v/>
      </c>
      <c r="B172" s="24">
        <f>IF($A172="","",IFERROR(INDEX('03 Raw Data'!$B$3:$B$722,MATCH($A172,'03 Raw Data'!$A$3:$A$722,0)),""))</f>
        <v/>
      </c>
      <c r="C172" s="24">
        <f>IF($A172="","",IFERROR(INDEX('03 Raw Data'!$E$3:$E$722,MATCH($A172,'03 Raw Data'!$D$3:$D$722,0)),""))</f>
        <v/>
      </c>
      <c r="D172" s="24">
        <f>IF($A172="","",IFERROR(INDEX('03 Raw Data'!$H$3:$H$722,MATCH($A172,'03 Raw Data'!$G$3:$G$722,0)),""))</f>
        <v/>
      </c>
      <c r="E172" s="24">
        <f>IF($A172="","",IFERROR(INDEX('03 Raw Data'!$K$3:$K$722,MATCH($A172,'03 Raw Data'!$J$3:$J$722,0)),""))</f>
        <v/>
      </c>
      <c r="F172" s="24">
        <f>IF($A172="","",IFERROR(INDEX('03 Raw Data'!$N$3:$N$722,MATCH($A172,'03 Raw Data'!$M$3:$M$722,0)),""))</f>
        <v/>
      </c>
      <c r="G172" s="24">
        <f>IF($A172="","",IFERROR(INDEX('03 Raw Data'!$Q$3:$Q$722,MATCH($A172,'03 Raw Data'!$P$3:$P$722,0)),""))</f>
        <v/>
      </c>
      <c r="H172" s="24">
        <f>IF($A172="","",IFERROR(INDEX('03 Raw Data'!$T$3:$T$722,MATCH($A172,'03 Raw Data'!$S$3:$S$722,0)),""))</f>
        <v/>
      </c>
    </row>
    <row r="173">
      <c r="A173" s="23">
        <f>IFERROR(IF(OR('03 Raw Data'!A171="",'03 Raw Data'!A171=0),"",'03 Raw Data'!A171),"")</f>
        <v/>
      </c>
      <c r="B173" s="24">
        <f>IF($A173="","",IFERROR(INDEX('03 Raw Data'!$B$3:$B$722,MATCH($A173,'03 Raw Data'!$A$3:$A$722,0)),""))</f>
        <v/>
      </c>
      <c r="C173" s="24">
        <f>IF($A173="","",IFERROR(INDEX('03 Raw Data'!$E$3:$E$722,MATCH($A173,'03 Raw Data'!$D$3:$D$722,0)),""))</f>
        <v/>
      </c>
      <c r="D173" s="24">
        <f>IF($A173="","",IFERROR(INDEX('03 Raw Data'!$H$3:$H$722,MATCH($A173,'03 Raw Data'!$G$3:$G$722,0)),""))</f>
        <v/>
      </c>
      <c r="E173" s="24">
        <f>IF($A173="","",IFERROR(INDEX('03 Raw Data'!$K$3:$K$722,MATCH($A173,'03 Raw Data'!$J$3:$J$722,0)),""))</f>
        <v/>
      </c>
      <c r="F173" s="24">
        <f>IF($A173="","",IFERROR(INDEX('03 Raw Data'!$N$3:$N$722,MATCH($A173,'03 Raw Data'!$M$3:$M$722,0)),""))</f>
        <v/>
      </c>
      <c r="G173" s="24">
        <f>IF($A173="","",IFERROR(INDEX('03 Raw Data'!$Q$3:$Q$722,MATCH($A173,'03 Raw Data'!$P$3:$P$722,0)),""))</f>
        <v/>
      </c>
      <c r="H173" s="24">
        <f>IF($A173="","",IFERROR(INDEX('03 Raw Data'!$T$3:$T$722,MATCH($A173,'03 Raw Data'!$S$3:$S$722,0)),""))</f>
        <v/>
      </c>
    </row>
    <row r="174">
      <c r="A174" s="23">
        <f>IFERROR(IF(OR('03 Raw Data'!A172="",'03 Raw Data'!A172=0),"",'03 Raw Data'!A172),"")</f>
        <v/>
      </c>
      <c r="B174" s="24">
        <f>IF($A174="","",IFERROR(INDEX('03 Raw Data'!$B$3:$B$722,MATCH($A174,'03 Raw Data'!$A$3:$A$722,0)),""))</f>
        <v/>
      </c>
      <c r="C174" s="24">
        <f>IF($A174="","",IFERROR(INDEX('03 Raw Data'!$E$3:$E$722,MATCH($A174,'03 Raw Data'!$D$3:$D$722,0)),""))</f>
        <v/>
      </c>
      <c r="D174" s="24">
        <f>IF($A174="","",IFERROR(INDEX('03 Raw Data'!$H$3:$H$722,MATCH($A174,'03 Raw Data'!$G$3:$G$722,0)),""))</f>
        <v/>
      </c>
      <c r="E174" s="24">
        <f>IF($A174="","",IFERROR(INDEX('03 Raw Data'!$K$3:$K$722,MATCH($A174,'03 Raw Data'!$J$3:$J$722,0)),""))</f>
        <v/>
      </c>
      <c r="F174" s="24">
        <f>IF($A174="","",IFERROR(INDEX('03 Raw Data'!$N$3:$N$722,MATCH($A174,'03 Raw Data'!$M$3:$M$722,0)),""))</f>
        <v/>
      </c>
      <c r="G174" s="24">
        <f>IF($A174="","",IFERROR(INDEX('03 Raw Data'!$Q$3:$Q$722,MATCH($A174,'03 Raw Data'!$P$3:$P$722,0)),""))</f>
        <v/>
      </c>
      <c r="H174" s="24">
        <f>IF($A174="","",IFERROR(INDEX('03 Raw Data'!$T$3:$T$722,MATCH($A174,'03 Raw Data'!$S$3:$S$722,0)),""))</f>
        <v/>
      </c>
    </row>
    <row r="175">
      <c r="A175" s="23">
        <f>IFERROR(IF(OR('03 Raw Data'!A173="",'03 Raw Data'!A173=0),"",'03 Raw Data'!A173),"")</f>
        <v/>
      </c>
      <c r="B175" s="24">
        <f>IF($A175="","",IFERROR(INDEX('03 Raw Data'!$B$3:$B$722,MATCH($A175,'03 Raw Data'!$A$3:$A$722,0)),""))</f>
        <v/>
      </c>
      <c r="C175" s="24">
        <f>IF($A175="","",IFERROR(INDEX('03 Raw Data'!$E$3:$E$722,MATCH($A175,'03 Raw Data'!$D$3:$D$722,0)),""))</f>
        <v/>
      </c>
      <c r="D175" s="24">
        <f>IF($A175="","",IFERROR(INDEX('03 Raw Data'!$H$3:$H$722,MATCH($A175,'03 Raw Data'!$G$3:$G$722,0)),""))</f>
        <v/>
      </c>
      <c r="E175" s="24">
        <f>IF($A175="","",IFERROR(INDEX('03 Raw Data'!$K$3:$K$722,MATCH($A175,'03 Raw Data'!$J$3:$J$722,0)),""))</f>
        <v/>
      </c>
      <c r="F175" s="24">
        <f>IF($A175="","",IFERROR(INDEX('03 Raw Data'!$N$3:$N$722,MATCH($A175,'03 Raw Data'!$M$3:$M$722,0)),""))</f>
        <v/>
      </c>
      <c r="G175" s="24">
        <f>IF($A175="","",IFERROR(INDEX('03 Raw Data'!$Q$3:$Q$722,MATCH($A175,'03 Raw Data'!$P$3:$P$722,0)),""))</f>
        <v/>
      </c>
      <c r="H175" s="24">
        <f>IF($A175="","",IFERROR(INDEX('03 Raw Data'!$T$3:$T$722,MATCH($A175,'03 Raw Data'!$S$3:$S$722,0)),""))</f>
        <v/>
      </c>
    </row>
    <row r="176">
      <c r="A176" s="23">
        <f>IFERROR(IF(OR('03 Raw Data'!A174="",'03 Raw Data'!A174=0),"",'03 Raw Data'!A174),"")</f>
        <v/>
      </c>
      <c r="B176" s="24">
        <f>IF($A176="","",IFERROR(INDEX('03 Raw Data'!$B$3:$B$722,MATCH($A176,'03 Raw Data'!$A$3:$A$722,0)),""))</f>
        <v/>
      </c>
      <c r="C176" s="24">
        <f>IF($A176="","",IFERROR(INDEX('03 Raw Data'!$E$3:$E$722,MATCH($A176,'03 Raw Data'!$D$3:$D$722,0)),""))</f>
        <v/>
      </c>
      <c r="D176" s="24">
        <f>IF($A176="","",IFERROR(INDEX('03 Raw Data'!$H$3:$H$722,MATCH($A176,'03 Raw Data'!$G$3:$G$722,0)),""))</f>
        <v/>
      </c>
      <c r="E176" s="24">
        <f>IF($A176="","",IFERROR(INDEX('03 Raw Data'!$K$3:$K$722,MATCH($A176,'03 Raw Data'!$J$3:$J$722,0)),""))</f>
        <v/>
      </c>
      <c r="F176" s="24">
        <f>IF($A176="","",IFERROR(INDEX('03 Raw Data'!$N$3:$N$722,MATCH($A176,'03 Raw Data'!$M$3:$M$722,0)),""))</f>
        <v/>
      </c>
      <c r="G176" s="24">
        <f>IF($A176="","",IFERROR(INDEX('03 Raw Data'!$Q$3:$Q$722,MATCH($A176,'03 Raw Data'!$P$3:$P$722,0)),""))</f>
        <v/>
      </c>
      <c r="H176" s="24">
        <f>IF($A176="","",IFERROR(INDEX('03 Raw Data'!$T$3:$T$722,MATCH($A176,'03 Raw Data'!$S$3:$S$722,0)),""))</f>
        <v/>
      </c>
    </row>
    <row r="177">
      <c r="A177" s="23">
        <f>IFERROR(IF(OR('03 Raw Data'!A175="",'03 Raw Data'!A175=0),"",'03 Raw Data'!A175),"")</f>
        <v/>
      </c>
      <c r="B177" s="24">
        <f>IF($A177="","",IFERROR(INDEX('03 Raw Data'!$B$3:$B$722,MATCH($A177,'03 Raw Data'!$A$3:$A$722,0)),""))</f>
        <v/>
      </c>
      <c r="C177" s="24">
        <f>IF($A177="","",IFERROR(INDEX('03 Raw Data'!$E$3:$E$722,MATCH($A177,'03 Raw Data'!$D$3:$D$722,0)),""))</f>
        <v/>
      </c>
      <c r="D177" s="24">
        <f>IF($A177="","",IFERROR(INDEX('03 Raw Data'!$H$3:$H$722,MATCH($A177,'03 Raw Data'!$G$3:$G$722,0)),""))</f>
        <v/>
      </c>
      <c r="E177" s="24">
        <f>IF($A177="","",IFERROR(INDEX('03 Raw Data'!$K$3:$K$722,MATCH($A177,'03 Raw Data'!$J$3:$J$722,0)),""))</f>
        <v/>
      </c>
      <c r="F177" s="24">
        <f>IF($A177="","",IFERROR(INDEX('03 Raw Data'!$N$3:$N$722,MATCH($A177,'03 Raw Data'!$M$3:$M$722,0)),""))</f>
        <v/>
      </c>
      <c r="G177" s="24">
        <f>IF($A177="","",IFERROR(INDEX('03 Raw Data'!$Q$3:$Q$722,MATCH($A177,'03 Raw Data'!$P$3:$P$722,0)),""))</f>
        <v/>
      </c>
      <c r="H177" s="24">
        <f>IF($A177="","",IFERROR(INDEX('03 Raw Data'!$T$3:$T$722,MATCH($A177,'03 Raw Data'!$S$3:$S$722,0)),""))</f>
        <v/>
      </c>
    </row>
    <row r="178">
      <c r="A178" s="23">
        <f>IFERROR(IF(OR('03 Raw Data'!A176="",'03 Raw Data'!A176=0),"",'03 Raw Data'!A176),"")</f>
        <v/>
      </c>
      <c r="B178" s="24">
        <f>IF($A178="","",IFERROR(INDEX('03 Raw Data'!$B$3:$B$722,MATCH($A178,'03 Raw Data'!$A$3:$A$722,0)),""))</f>
        <v/>
      </c>
      <c r="C178" s="24">
        <f>IF($A178="","",IFERROR(INDEX('03 Raw Data'!$E$3:$E$722,MATCH($A178,'03 Raw Data'!$D$3:$D$722,0)),""))</f>
        <v/>
      </c>
      <c r="D178" s="24">
        <f>IF($A178="","",IFERROR(INDEX('03 Raw Data'!$H$3:$H$722,MATCH($A178,'03 Raw Data'!$G$3:$G$722,0)),""))</f>
        <v/>
      </c>
      <c r="E178" s="24">
        <f>IF($A178="","",IFERROR(INDEX('03 Raw Data'!$K$3:$K$722,MATCH($A178,'03 Raw Data'!$J$3:$J$722,0)),""))</f>
        <v/>
      </c>
      <c r="F178" s="24">
        <f>IF($A178="","",IFERROR(INDEX('03 Raw Data'!$N$3:$N$722,MATCH($A178,'03 Raw Data'!$M$3:$M$722,0)),""))</f>
        <v/>
      </c>
      <c r="G178" s="24">
        <f>IF($A178="","",IFERROR(INDEX('03 Raw Data'!$Q$3:$Q$722,MATCH($A178,'03 Raw Data'!$P$3:$P$722,0)),""))</f>
        <v/>
      </c>
      <c r="H178" s="24">
        <f>IF($A178="","",IFERROR(INDEX('03 Raw Data'!$T$3:$T$722,MATCH($A178,'03 Raw Data'!$S$3:$S$722,0)),""))</f>
        <v/>
      </c>
    </row>
    <row r="179">
      <c r="A179" s="23">
        <f>IFERROR(IF(OR('03 Raw Data'!A177="",'03 Raw Data'!A177=0),"",'03 Raw Data'!A177),"")</f>
        <v/>
      </c>
      <c r="B179" s="24">
        <f>IF($A179="","",IFERROR(INDEX('03 Raw Data'!$B$3:$B$722,MATCH($A179,'03 Raw Data'!$A$3:$A$722,0)),""))</f>
        <v/>
      </c>
      <c r="C179" s="24">
        <f>IF($A179="","",IFERROR(INDEX('03 Raw Data'!$E$3:$E$722,MATCH($A179,'03 Raw Data'!$D$3:$D$722,0)),""))</f>
        <v/>
      </c>
      <c r="D179" s="24">
        <f>IF($A179="","",IFERROR(INDEX('03 Raw Data'!$H$3:$H$722,MATCH($A179,'03 Raw Data'!$G$3:$G$722,0)),""))</f>
        <v/>
      </c>
      <c r="E179" s="24">
        <f>IF($A179="","",IFERROR(INDEX('03 Raw Data'!$K$3:$K$722,MATCH($A179,'03 Raw Data'!$J$3:$J$722,0)),""))</f>
        <v/>
      </c>
      <c r="F179" s="24">
        <f>IF($A179="","",IFERROR(INDEX('03 Raw Data'!$N$3:$N$722,MATCH($A179,'03 Raw Data'!$M$3:$M$722,0)),""))</f>
        <v/>
      </c>
      <c r="G179" s="24">
        <f>IF($A179="","",IFERROR(INDEX('03 Raw Data'!$Q$3:$Q$722,MATCH($A179,'03 Raw Data'!$P$3:$P$722,0)),""))</f>
        <v/>
      </c>
      <c r="H179" s="24">
        <f>IF($A179="","",IFERROR(INDEX('03 Raw Data'!$T$3:$T$722,MATCH($A179,'03 Raw Data'!$S$3:$S$722,0)),""))</f>
        <v/>
      </c>
    </row>
    <row r="180">
      <c r="A180" s="23">
        <f>IFERROR(IF(OR('03 Raw Data'!A178="",'03 Raw Data'!A178=0),"",'03 Raw Data'!A178),"")</f>
        <v/>
      </c>
      <c r="B180" s="24">
        <f>IF($A180="","",IFERROR(INDEX('03 Raw Data'!$B$3:$B$722,MATCH($A180,'03 Raw Data'!$A$3:$A$722,0)),""))</f>
        <v/>
      </c>
      <c r="C180" s="24">
        <f>IF($A180="","",IFERROR(INDEX('03 Raw Data'!$E$3:$E$722,MATCH($A180,'03 Raw Data'!$D$3:$D$722,0)),""))</f>
        <v/>
      </c>
      <c r="D180" s="24">
        <f>IF($A180="","",IFERROR(INDEX('03 Raw Data'!$H$3:$H$722,MATCH($A180,'03 Raw Data'!$G$3:$G$722,0)),""))</f>
        <v/>
      </c>
      <c r="E180" s="24">
        <f>IF($A180="","",IFERROR(INDEX('03 Raw Data'!$K$3:$K$722,MATCH($A180,'03 Raw Data'!$J$3:$J$722,0)),""))</f>
        <v/>
      </c>
      <c r="F180" s="24">
        <f>IF($A180="","",IFERROR(INDEX('03 Raw Data'!$N$3:$N$722,MATCH($A180,'03 Raw Data'!$M$3:$M$722,0)),""))</f>
        <v/>
      </c>
      <c r="G180" s="24">
        <f>IF($A180="","",IFERROR(INDEX('03 Raw Data'!$Q$3:$Q$722,MATCH($A180,'03 Raw Data'!$P$3:$P$722,0)),""))</f>
        <v/>
      </c>
      <c r="H180" s="24">
        <f>IF($A180="","",IFERROR(INDEX('03 Raw Data'!$T$3:$T$722,MATCH($A180,'03 Raw Data'!$S$3:$S$722,0)),""))</f>
        <v/>
      </c>
    </row>
    <row r="181">
      <c r="A181" s="23">
        <f>IFERROR(IF(OR('03 Raw Data'!A179="",'03 Raw Data'!A179=0),"",'03 Raw Data'!A179),"")</f>
        <v/>
      </c>
      <c r="B181" s="24">
        <f>IF($A181="","",IFERROR(INDEX('03 Raw Data'!$B$3:$B$722,MATCH($A181,'03 Raw Data'!$A$3:$A$722,0)),""))</f>
        <v/>
      </c>
      <c r="C181" s="24">
        <f>IF($A181="","",IFERROR(INDEX('03 Raw Data'!$E$3:$E$722,MATCH($A181,'03 Raw Data'!$D$3:$D$722,0)),""))</f>
        <v/>
      </c>
      <c r="D181" s="24">
        <f>IF($A181="","",IFERROR(INDEX('03 Raw Data'!$H$3:$H$722,MATCH($A181,'03 Raw Data'!$G$3:$G$722,0)),""))</f>
        <v/>
      </c>
      <c r="E181" s="24">
        <f>IF($A181="","",IFERROR(INDEX('03 Raw Data'!$K$3:$K$722,MATCH($A181,'03 Raw Data'!$J$3:$J$722,0)),""))</f>
        <v/>
      </c>
      <c r="F181" s="24">
        <f>IF($A181="","",IFERROR(INDEX('03 Raw Data'!$N$3:$N$722,MATCH($A181,'03 Raw Data'!$M$3:$M$722,0)),""))</f>
        <v/>
      </c>
      <c r="G181" s="24">
        <f>IF($A181="","",IFERROR(INDEX('03 Raw Data'!$Q$3:$Q$722,MATCH($A181,'03 Raw Data'!$P$3:$P$722,0)),""))</f>
        <v/>
      </c>
      <c r="H181" s="24">
        <f>IF($A181="","",IFERROR(INDEX('03 Raw Data'!$T$3:$T$722,MATCH($A181,'03 Raw Data'!$S$3:$S$722,0)),""))</f>
        <v/>
      </c>
    </row>
    <row r="182">
      <c r="A182" s="23">
        <f>IFERROR(IF(OR('03 Raw Data'!A180="",'03 Raw Data'!A180=0),"",'03 Raw Data'!A180),"")</f>
        <v/>
      </c>
      <c r="B182" s="24">
        <f>IF($A182="","",IFERROR(INDEX('03 Raw Data'!$B$3:$B$722,MATCH($A182,'03 Raw Data'!$A$3:$A$722,0)),""))</f>
        <v/>
      </c>
      <c r="C182" s="24">
        <f>IF($A182="","",IFERROR(INDEX('03 Raw Data'!$E$3:$E$722,MATCH($A182,'03 Raw Data'!$D$3:$D$722,0)),""))</f>
        <v/>
      </c>
      <c r="D182" s="24">
        <f>IF($A182="","",IFERROR(INDEX('03 Raw Data'!$H$3:$H$722,MATCH($A182,'03 Raw Data'!$G$3:$G$722,0)),""))</f>
        <v/>
      </c>
      <c r="E182" s="24">
        <f>IF($A182="","",IFERROR(INDEX('03 Raw Data'!$K$3:$K$722,MATCH($A182,'03 Raw Data'!$J$3:$J$722,0)),""))</f>
        <v/>
      </c>
      <c r="F182" s="24">
        <f>IF($A182="","",IFERROR(INDEX('03 Raw Data'!$N$3:$N$722,MATCH($A182,'03 Raw Data'!$M$3:$M$722,0)),""))</f>
        <v/>
      </c>
      <c r="G182" s="24">
        <f>IF($A182="","",IFERROR(INDEX('03 Raw Data'!$Q$3:$Q$722,MATCH($A182,'03 Raw Data'!$P$3:$P$722,0)),""))</f>
        <v/>
      </c>
      <c r="H182" s="24">
        <f>IF($A182="","",IFERROR(INDEX('03 Raw Data'!$T$3:$T$722,MATCH($A182,'03 Raw Data'!$S$3:$S$722,0)),""))</f>
        <v/>
      </c>
    </row>
    <row r="183">
      <c r="A183" s="23">
        <f>IFERROR(IF(OR('03 Raw Data'!A181="",'03 Raw Data'!A181=0),"",'03 Raw Data'!A181),"")</f>
        <v/>
      </c>
      <c r="B183" s="24">
        <f>IF($A183="","",IFERROR(INDEX('03 Raw Data'!$B$3:$B$722,MATCH($A183,'03 Raw Data'!$A$3:$A$722,0)),""))</f>
        <v/>
      </c>
      <c r="C183" s="24">
        <f>IF($A183="","",IFERROR(INDEX('03 Raw Data'!$E$3:$E$722,MATCH($A183,'03 Raw Data'!$D$3:$D$722,0)),""))</f>
        <v/>
      </c>
      <c r="D183" s="24">
        <f>IF($A183="","",IFERROR(INDEX('03 Raw Data'!$H$3:$H$722,MATCH($A183,'03 Raw Data'!$G$3:$G$722,0)),""))</f>
        <v/>
      </c>
      <c r="E183" s="24">
        <f>IF($A183="","",IFERROR(INDEX('03 Raw Data'!$K$3:$K$722,MATCH($A183,'03 Raw Data'!$J$3:$J$722,0)),""))</f>
        <v/>
      </c>
      <c r="F183" s="24">
        <f>IF($A183="","",IFERROR(INDEX('03 Raw Data'!$N$3:$N$722,MATCH($A183,'03 Raw Data'!$M$3:$M$722,0)),""))</f>
        <v/>
      </c>
      <c r="G183" s="24">
        <f>IF($A183="","",IFERROR(INDEX('03 Raw Data'!$Q$3:$Q$722,MATCH($A183,'03 Raw Data'!$P$3:$P$722,0)),""))</f>
        <v/>
      </c>
      <c r="H183" s="24">
        <f>IF($A183="","",IFERROR(INDEX('03 Raw Data'!$T$3:$T$722,MATCH($A183,'03 Raw Data'!$S$3:$S$722,0)),""))</f>
        <v/>
      </c>
    </row>
    <row r="184">
      <c r="A184" s="23">
        <f>IFERROR(IF(OR('03 Raw Data'!A182="",'03 Raw Data'!A182=0),"",'03 Raw Data'!A182),"")</f>
        <v/>
      </c>
      <c r="B184" s="24">
        <f>IF($A184="","",IFERROR(INDEX('03 Raw Data'!$B$3:$B$722,MATCH($A184,'03 Raw Data'!$A$3:$A$722,0)),""))</f>
        <v/>
      </c>
      <c r="C184" s="24">
        <f>IF($A184="","",IFERROR(INDEX('03 Raw Data'!$E$3:$E$722,MATCH($A184,'03 Raw Data'!$D$3:$D$722,0)),""))</f>
        <v/>
      </c>
      <c r="D184" s="24">
        <f>IF($A184="","",IFERROR(INDEX('03 Raw Data'!$H$3:$H$722,MATCH($A184,'03 Raw Data'!$G$3:$G$722,0)),""))</f>
        <v/>
      </c>
      <c r="E184" s="24">
        <f>IF($A184="","",IFERROR(INDEX('03 Raw Data'!$K$3:$K$722,MATCH($A184,'03 Raw Data'!$J$3:$J$722,0)),""))</f>
        <v/>
      </c>
      <c r="F184" s="24">
        <f>IF($A184="","",IFERROR(INDEX('03 Raw Data'!$N$3:$N$722,MATCH($A184,'03 Raw Data'!$M$3:$M$722,0)),""))</f>
        <v/>
      </c>
      <c r="G184" s="24">
        <f>IF($A184="","",IFERROR(INDEX('03 Raw Data'!$Q$3:$Q$722,MATCH($A184,'03 Raw Data'!$P$3:$P$722,0)),""))</f>
        <v/>
      </c>
      <c r="H184" s="24">
        <f>IF($A184="","",IFERROR(INDEX('03 Raw Data'!$T$3:$T$722,MATCH($A184,'03 Raw Data'!$S$3:$S$722,0)),""))</f>
        <v/>
      </c>
    </row>
    <row r="185">
      <c r="A185" s="23">
        <f>IFERROR(IF(OR('03 Raw Data'!A183="",'03 Raw Data'!A183=0),"",'03 Raw Data'!A183),"")</f>
        <v/>
      </c>
      <c r="B185" s="24">
        <f>IF($A185="","",IFERROR(INDEX('03 Raw Data'!$B$3:$B$722,MATCH($A185,'03 Raw Data'!$A$3:$A$722,0)),""))</f>
        <v/>
      </c>
      <c r="C185" s="24">
        <f>IF($A185="","",IFERROR(INDEX('03 Raw Data'!$E$3:$E$722,MATCH($A185,'03 Raw Data'!$D$3:$D$722,0)),""))</f>
        <v/>
      </c>
      <c r="D185" s="24">
        <f>IF($A185="","",IFERROR(INDEX('03 Raw Data'!$H$3:$H$722,MATCH($A185,'03 Raw Data'!$G$3:$G$722,0)),""))</f>
        <v/>
      </c>
      <c r="E185" s="24">
        <f>IF($A185="","",IFERROR(INDEX('03 Raw Data'!$K$3:$K$722,MATCH($A185,'03 Raw Data'!$J$3:$J$722,0)),""))</f>
        <v/>
      </c>
      <c r="F185" s="24">
        <f>IF($A185="","",IFERROR(INDEX('03 Raw Data'!$N$3:$N$722,MATCH($A185,'03 Raw Data'!$M$3:$M$722,0)),""))</f>
        <v/>
      </c>
      <c r="G185" s="24">
        <f>IF($A185="","",IFERROR(INDEX('03 Raw Data'!$Q$3:$Q$722,MATCH($A185,'03 Raw Data'!$P$3:$P$722,0)),""))</f>
        <v/>
      </c>
      <c r="H185" s="24">
        <f>IF($A185="","",IFERROR(INDEX('03 Raw Data'!$T$3:$T$722,MATCH($A185,'03 Raw Data'!$S$3:$S$722,0)),""))</f>
        <v/>
      </c>
    </row>
    <row r="186">
      <c r="A186" s="23">
        <f>IFERROR(IF(OR('03 Raw Data'!A184="",'03 Raw Data'!A184=0),"",'03 Raw Data'!A184),"")</f>
        <v/>
      </c>
      <c r="B186" s="24">
        <f>IF($A186="","",IFERROR(INDEX('03 Raw Data'!$B$3:$B$722,MATCH($A186,'03 Raw Data'!$A$3:$A$722,0)),""))</f>
        <v/>
      </c>
      <c r="C186" s="24">
        <f>IF($A186="","",IFERROR(INDEX('03 Raw Data'!$E$3:$E$722,MATCH($A186,'03 Raw Data'!$D$3:$D$722,0)),""))</f>
        <v/>
      </c>
      <c r="D186" s="24">
        <f>IF($A186="","",IFERROR(INDEX('03 Raw Data'!$H$3:$H$722,MATCH($A186,'03 Raw Data'!$G$3:$G$722,0)),""))</f>
        <v/>
      </c>
      <c r="E186" s="24">
        <f>IF($A186="","",IFERROR(INDEX('03 Raw Data'!$K$3:$K$722,MATCH($A186,'03 Raw Data'!$J$3:$J$722,0)),""))</f>
        <v/>
      </c>
      <c r="F186" s="24">
        <f>IF($A186="","",IFERROR(INDEX('03 Raw Data'!$N$3:$N$722,MATCH($A186,'03 Raw Data'!$M$3:$M$722,0)),""))</f>
        <v/>
      </c>
      <c r="G186" s="24">
        <f>IF($A186="","",IFERROR(INDEX('03 Raw Data'!$Q$3:$Q$722,MATCH($A186,'03 Raw Data'!$P$3:$P$722,0)),""))</f>
        <v/>
      </c>
      <c r="H186" s="24">
        <f>IF($A186="","",IFERROR(INDEX('03 Raw Data'!$T$3:$T$722,MATCH($A186,'03 Raw Data'!$S$3:$S$722,0)),""))</f>
        <v/>
      </c>
    </row>
    <row r="187">
      <c r="A187" s="23">
        <f>IFERROR(IF(OR('03 Raw Data'!A185="",'03 Raw Data'!A185=0),"",'03 Raw Data'!A185),"")</f>
        <v/>
      </c>
      <c r="B187" s="24">
        <f>IF($A187="","",IFERROR(INDEX('03 Raw Data'!$B$3:$B$722,MATCH($A187,'03 Raw Data'!$A$3:$A$722,0)),""))</f>
        <v/>
      </c>
      <c r="C187" s="24">
        <f>IF($A187="","",IFERROR(INDEX('03 Raw Data'!$E$3:$E$722,MATCH($A187,'03 Raw Data'!$D$3:$D$722,0)),""))</f>
        <v/>
      </c>
      <c r="D187" s="24">
        <f>IF($A187="","",IFERROR(INDEX('03 Raw Data'!$H$3:$H$722,MATCH($A187,'03 Raw Data'!$G$3:$G$722,0)),""))</f>
        <v/>
      </c>
      <c r="E187" s="24">
        <f>IF($A187="","",IFERROR(INDEX('03 Raw Data'!$K$3:$K$722,MATCH($A187,'03 Raw Data'!$J$3:$J$722,0)),""))</f>
        <v/>
      </c>
      <c r="F187" s="24">
        <f>IF($A187="","",IFERROR(INDEX('03 Raw Data'!$N$3:$N$722,MATCH($A187,'03 Raw Data'!$M$3:$M$722,0)),""))</f>
        <v/>
      </c>
      <c r="G187" s="24">
        <f>IF($A187="","",IFERROR(INDEX('03 Raw Data'!$Q$3:$Q$722,MATCH($A187,'03 Raw Data'!$P$3:$P$722,0)),""))</f>
        <v/>
      </c>
      <c r="H187" s="24">
        <f>IF($A187="","",IFERROR(INDEX('03 Raw Data'!$T$3:$T$722,MATCH($A187,'03 Raw Data'!$S$3:$S$722,0)),""))</f>
        <v/>
      </c>
    </row>
    <row r="188">
      <c r="A188" s="23">
        <f>IFERROR(IF(OR('03 Raw Data'!A186="",'03 Raw Data'!A186=0),"",'03 Raw Data'!A186),"")</f>
        <v/>
      </c>
      <c r="B188" s="24">
        <f>IF($A188="","",IFERROR(INDEX('03 Raw Data'!$B$3:$B$722,MATCH($A188,'03 Raw Data'!$A$3:$A$722,0)),""))</f>
        <v/>
      </c>
      <c r="C188" s="24">
        <f>IF($A188="","",IFERROR(INDEX('03 Raw Data'!$E$3:$E$722,MATCH($A188,'03 Raw Data'!$D$3:$D$722,0)),""))</f>
        <v/>
      </c>
      <c r="D188" s="24">
        <f>IF($A188="","",IFERROR(INDEX('03 Raw Data'!$H$3:$H$722,MATCH($A188,'03 Raw Data'!$G$3:$G$722,0)),""))</f>
        <v/>
      </c>
      <c r="E188" s="24">
        <f>IF($A188="","",IFERROR(INDEX('03 Raw Data'!$K$3:$K$722,MATCH($A188,'03 Raw Data'!$J$3:$J$722,0)),""))</f>
        <v/>
      </c>
      <c r="F188" s="24">
        <f>IF($A188="","",IFERROR(INDEX('03 Raw Data'!$N$3:$N$722,MATCH($A188,'03 Raw Data'!$M$3:$M$722,0)),""))</f>
        <v/>
      </c>
      <c r="G188" s="24">
        <f>IF($A188="","",IFERROR(INDEX('03 Raw Data'!$Q$3:$Q$722,MATCH($A188,'03 Raw Data'!$P$3:$P$722,0)),""))</f>
        <v/>
      </c>
      <c r="H188" s="24">
        <f>IF($A188="","",IFERROR(INDEX('03 Raw Data'!$T$3:$T$722,MATCH($A188,'03 Raw Data'!$S$3:$S$722,0)),""))</f>
        <v/>
      </c>
    </row>
    <row r="189">
      <c r="A189" s="23">
        <f>IFERROR(IF(OR('03 Raw Data'!A187="",'03 Raw Data'!A187=0),"",'03 Raw Data'!A187),"")</f>
        <v/>
      </c>
      <c r="B189" s="24">
        <f>IF($A189="","",IFERROR(INDEX('03 Raw Data'!$B$3:$B$722,MATCH($A189,'03 Raw Data'!$A$3:$A$722,0)),""))</f>
        <v/>
      </c>
      <c r="C189" s="24">
        <f>IF($A189="","",IFERROR(INDEX('03 Raw Data'!$E$3:$E$722,MATCH($A189,'03 Raw Data'!$D$3:$D$722,0)),""))</f>
        <v/>
      </c>
      <c r="D189" s="24">
        <f>IF($A189="","",IFERROR(INDEX('03 Raw Data'!$H$3:$H$722,MATCH($A189,'03 Raw Data'!$G$3:$G$722,0)),""))</f>
        <v/>
      </c>
      <c r="E189" s="24">
        <f>IF($A189="","",IFERROR(INDEX('03 Raw Data'!$K$3:$K$722,MATCH($A189,'03 Raw Data'!$J$3:$J$722,0)),""))</f>
        <v/>
      </c>
      <c r="F189" s="24">
        <f>IF($A189="","",IFERROR(INDEX('03 Raw Data'!$N$3:$N$722,MATCH($A189,'03 Raw Data'!$M$3:$M$722,0)),""))</f>
        <v/>
      </c>
      <c r="G189" s="24">
        <f>IF($A189="","",IFERROR(INDEX('03 Raw Data'!$Q$3:$Q$722,MATCH($A189,'03 Raw Data'!$P$3:$P$722,0)),""))</f>
        <v/>
      </c>
      <c r="H189" s="24">
        <f>IF($A189="","",IFERROR(INDEX('03 Raw Data'!$T$3:$T$722,MATCH($A189,'03 Raw Data'!$S$3:$S$722,0)),""))</f>
        <v/>
      </c>
    </row>
    <row r="190">
      <c r="A190" s="23">
        <f>IFERROR(IF(OR('03 Raw Data'!A188="",'03 Raw Data'!A188=0),"",'03 Raw Data'!A188),"")</f>
        <v/>
      </c>
      <c r="B190" s="24">
        <f>IF($A190="","",IFERROR(INDEX('03 Raw Data'!$B$3:$B$722,MATCH($A190,'03 Raw Data'!$A$3:$A$722,0)),""))</f>
        <v/>
      </c>
      <c r="C190" s="24">
        <f>IF($A190="","",IFERROR(INDEX('03 Raw Data'!$E$3:$E$722,MATCH($A190,'03 Raw Data'!$D$3:$D$722,0)),""))</f>
        <v/>
      </c>
      <c r="D190" s="24">
        <f>IF($A190="","",IFERROR(INDEX('03 Raw Data'!$H$3:$H$722,MATCH($A190,'03 Raw Data'!$G$3:$G$722,0)),""))</f>
        <v/>
      </c>
      <c r="E190" s="24">
        <f>IF($A190="","",IFERROR(INDEX('03 Raw Data'!$K$3:$K$722,MATCH($A190,'03 Raw Data'!$J$3:$J$722,0)),""))</f>
        <v/>
      </c>
      <c r="F190" s="24">
        <f>IF($A190="","",IFERROR(INDEX('03 Raw Data'!$N$3:$N$722,MATCH($A190,'03 Raw Data'!$M$3:$M$722,0)),""))</f>
        <v/>
      </c>
      <c r="G190" s="24">
        <f>IF($A190="","",IFERROR(INDEX('03 Raw Data'!$Q$3:$Q$722,MATCH($A190,'03 Raw Data'!$P$3:$P$722,0)),""))</f>
        <v/>
      </c>
      <c r="H190" s="24">
        <f>IF($A190="","",IFERROR(INDEX('03 Raw Data'!$T$3:$T$722,MATCH($A190,'03 Raw Data'!$S$3:$S$722,0)),""))</f>
        <v/>
      </c>
    </row>
    <row r="191">
      <c r="A191" s="23">
        <f>IFERROR(IF(OR('03 Raw Data'!A189="",'03 Raw Data'!A189=0),"",'03 Raw Data'!A189),"")</f>
        <v/>
      </c>
      <c r="B191" s="24">
        <f>IF($A191="","",IFERROR(INDEX('03 Raw Data'!$B$3:$B$722,MATCH($A191,'03 Raw Data'!$A$3:$A$722,0)),""))</f>
        <v/>
      </c>
      <c r="C191" s="24">
        <f>IF($A191="","",IFERROR(INDEX('03 Raw Data'!$E$3:$E$722,MATCH($A191,'03 Raw Data'!$D$3:$D$722,0)),""))</f>
        <v/>
      </c>
      <c r="D191" s="24">
        <f>IF($A191="","",IFERROR(INDEX('03 Raw Data'!$H$3:$H$722,MATCH($A191,'03 Raw Data'!$G$3:$G$722,0)),""))</f>
        <v/>
      </c>
      <c r="E191" s="24">
        <f>IF($A191="","",IFERROR(INDEX('03 Raw Data'!$K$3:$K$722,MATCH($A191,'03 Raw Data'!$J$3:$J$722,0)),""))</f>
        <v/>
      </c>
      <c r="F191" s="24">
        <f>IF($A191="","",IFERROR(INDEX('03 Raw Data'!$N$3:$N$722,MATCH($A191,'03 Raw Data'!$M$3:$M$722,0)),""))</f>
        <v/>
      </c>
      <c r="G191" s="24">
        <f>IF($A191="","",IFERROR(INDEX('03 Raw Data'!$Q$3:$Q$722,MATCH($A191,'03 Raw Data'!$P$3:$P$722,0)),""))</f>
        <v/>
      </c>
      <c r="H191" s="24">
        <f>IF($A191="","",IFERROR(INDEX('03 Raw Data'!$T$3:$T$722,MATCH($A191,'03 Raw Data'!$S$3:$S$722,0)),""))</f>
        <v/>
      </c>
    </row>
    <row r="192">
      <c r="A192" s="23">
        <f>IFERROR(IF(OR('03 Raw Data'!A190="",'03 Raw Data'!A190=0),"",'03 Raw Data'!A190),"")</f>
        <v/>
      </c>
      <c r="B192" s="24">
        <f>IF($A192="","",IFERROR(INDEX('03 Raw Data'!$B$3:$B$722,MATCH($A192,'03 Raw Data'!$A$3:$A$722,0)),""))</f>
        <v/>
      </c>
      <c r="C192" s="24">
        <f>IF($A192="","",IFERROR(INDEX('03 Raw Data'!$E$3:$E$722,MATCH($A192,'03 Raw Data'!$D$3:$D$722,0)),""))</f>
        <v/>
      </c>
      <c r="D192" s="24">
        <f>IF($A192="","",IFERROR(INDEX('03 Raw Data'!$H$3:$H$722,MATCH($A192,'03 Raw Data'!$G$3:$G$722,0)),""))</f>
        <v/>
      </c>
      <c r="E192" s="24">
        <f>IF($A192="","",IFERROR(INDEX('03 Raw Data'!$K$3:$K$722,MATCH($A192,'03 Raw Data'!$J$3:$J$722,0)),""))</f>
        <v/>
      </c>
      <c r="F192" s="24">
        <f>IF($A192="","",IFERROR(INDEX('03 Raw Data'!$N$3:$N$722,MATCH($A192,'03 Raw Data'!$M$3:$M$722,0)),""))</f>
        <v/>
      </c>
      <c r="G192" s="24">
        <f>IF($A192="","",IFERROR(INDEX('03 Raw Data'!$Q$3:$Q$722,MATCH($A192,'03 Raw Data'!$P$3:$P$722,0)),""))</f>
        <v/>
      </c>
      <c r="H192" s="24">
        <f>IF($A192="","",IFERROR(INDEX('03 Raw Data'!$T$3:$T$722,MATCH($A192,'03 Raw Data'!$S$3:$S$722,0)),""))</f>
        <v/>
      </c>
    </row>
    <row r="193">
      <c r="A193" s="23">
        <f>IFERROR(IF(OR('03 Raw Data'!A191="",'03 Raw Data'!A191=0),"",'03 Raw Data'!A191),"")</f>
        <v/>
      </c>
      <c r="B193" s="24">
        <f>IF($A193="","",IFERROR(INDEX('03 Raw Data'!$B$3:$B$722,MATCH($A193,'03 Raw Data'!$A$3:$A$722,0)),""))</f>
        <v/>
      </c>
      <c r="C193" s="24">
        <f>IF($A193="","",IFERROR(INDEX('03 Raw Data'!$E$3:$E$722,MATCH($A193,'03 Raw Data'!$D$3:$D$722,0)),""))</f>
        <v/>
      </c>
      <c r="D193" s="24">
        <f>IF($A193="","",IFERROR(INDEX('03 Raw Data'!$H$3:$H$722,MATCH($A193,'03 Raw Data'!$G$3:$G$722,0)),""))</f>
        <v/>
      </c>
      <c r="E193" s="24">
        <f>IF($A193="","",IFERROR(INDEX('03 Raw Data'!$K$3:$K$722,MATCH($A193,'03 Raw Data'!$J$3:$J$722,0)),""))</f>
        <v/>
      </c>
      <c r="F193" s="24">
        <f>IF($A193="","",IFERROR(INDEX('03 Raw Data'!$N$3:$N$722,MATCH($A193,'03 Raw Data'!$M$3:$M$722,0)),""))</f>
        <v/>
      </c>
      <c r="G193" s="24">
        <f>IF($A193="","",IFERROR(INDEX('03 Raw Data'!$Q$3:$Q$722,MATCH($A193,'03 Raw Data'!$P$3:$P$722,0)),""))</f>
        <v/>
      </c>
      <c r="H193" s="24">
        <f>IF($A193="","",IFERROR(INDEX('03 Raw Data'!$T$3:$T$722,MATCH($A193,'03 Raw Data'!$S$3:$S$722,0)),""))</f>
        <v/>
      </c>
    </row>
    <row r="194">
      <c r="A194" s="23">
        <f>IFERROR(IF(OR('03 Raw Data'!A192="",'03 Raw Data'!A192=0),"",'03 Raw Data'!A192),"")</f>
        <v/>
      </c>
      <c r="B194" s="24">
        <f>IF($A194="","",IFERROR(INDEX('03 Raw Data'!$B$3:$B$722,MATCH($A194,'03 Raw Data'!$A$3:$A$722,0)),""))</f>
        <v/>
      </c>
      <c r="C194" s="24">
        <f>IF($A194="","",IFERROR(INDEX('03 Raw Data'!$E$3:$E$722,MATCH($A194,'03 Raw Data'!$D$3:$D$722,0)),""))</f>
        <v/>
      </c>
      <c r="D194" s="24">
        <f>IF($A194="","",IFERROR(INDEX('03 Raw Data'!$H$3:$H$722,MATCH($A194,'03 Raw Data'!$G$3:$G$722,0)),""))</f>
        <v/>
      </c>
      <c r="E194" s="24">
        <f>IF($A194="","",IFERROR(INDEX('03 Raw Data'!$K$3:$K$722,MATCH($A194,'03 Raw Data'!$J$3:$J$722,0)),""))</f>
        <v/>
      </c>
      <c r="F194" s="24">
        <f>IF($A194="","",IFERROR(INDEX('03 Raw Data'!$N$3:$N$722,MATCH($A194,'03 Raw Data'!$M$3:$M$722,0)),""))</f>
        <v/>
      </c>
      <c r="G194" s="24">
        <f>IF($A194="","",IFERROR(INDEX('03 Raw Data'!$Q$3:$Q$722,MATCH($A194,'03 Raw Data'!$P$3:$P$722,0)),""))</f>
        <v/>
      </c>
      <c r="H194" s="24">
        <f>IF($A194="","",IFERROR(INDEX('03 Raw Data'!$T$3:$T$722,MATCH($A194,'03 Raw Data'!$S$3:$S$722,0)),""))</f>
        <v/>
      </c>
    </row>
    <row r="195">
      <c r="A195" s="23">
        <f>IFERROR(IF(OR('03 Raw Data'!A193="",'03 Raw Data'!A193=0),"",'03 Raw Data'!A193),"")</f>
        <v/>
      </c>
      <c r="B195" s="24">
        <f>IF($A195="","",IFERROR(INDEX('03 Raw Data'!$B$3:$B$722,MATCH($A195,'03 Raw Data'!$A$3:$A$722,0)),""))</f>
        <v/>
      </c>
      <c r="C195" s="24">
        <f>IF($A195="","",IFERROR(INDEX('03 Raw Data'!$E$3:$E$722,MATCH($A195,'03 Raw Data'!$D$3:$D$722,0)),""))</f>
        <v/>
      </c>
      <c r="D195" s="24">
        <f>IF($A195="","",IFERROR(INDEX('03 Raw Data'!$H$3:$H$722,MATCH($A195,'03 Raw Data'!$G$3:$G$722,0)),""))</f>
        <v/>
      </c>
      <c r="E195" s="24">
        <f>IF($A195="","",IFERROR(INDEX('03 Raw Data'!$K$3:$K$722,MATCH($A195,'03 Raw Data'!$J$3:$J$722,0)),""))</f>
        <v/>
      </c>
      <c r="F195" s="24">
        <f>IF($A195="","",IFERROR(INDEX('03 Raw Data'!$N$3:$N$722,MATCH($A195,'03 Raw Data'!$M$3:$M$722,0)),""))</f>
        <v/>
      </c>
      <c r="G195" s="24">
        <f>IF($A195="","",IFERROR(INDEX('03 Raw Data'!$Q$3:$Q$722,MATCH($A195,'03 Raw Data'!$P$3:$P$722,0)),""))</f>
        <v/>
      </c>
      <c r="H195" s="24">
        <f>IF($A195="","",IFERROR(INDEX('03 Raw Data'!$T$3:$T$722,MATCH($A195,'03 Raw Data'!$S$3:$S$722,0)),""))</f>
        <v/>
      </c>
    </row>
    <row r="196">
      <c r="A196" s="23">
        <f>IFERROR(IF(OR('03 Raw Data'!A194="",'03 Raw Data'!A194=0),"",'03 Raw Data'!A194),"")</f>
        <v/>
      </c>
      <c r="B196" s="24">
        <f>IF($A196="","",IFERROR(INDEX('03 Raw Data'!$B$3:$B$722,MATCH($A196,'03 Raw Data'!$A$3:$A$722,0)),""))</f>
        <v/>
      </c>
      <c r="C196" s="24">
        <f>IF($A196="","",IFERROR(INDEX('03 Raw Data'!$E$3:$E$722,MATCH($A196,'03 Raw Data'!$D$3:$D$722,0)),""))</f>
        <v/>
      </c>
      <c r="D196" s="24">
        <f>IF($A196="","",IFERROR(INDEX('03 Raw Data'!$H$3:$H$722,MATCH($A196,'03 Raw Data'!$G$3:$G$722,0)),""))</f>
        <v/>
      </c>
      <c r="E196" s="24">
        <f>IF($A196="","",IFERROR(INDEX('03 Raw Data'!$K$3:$K$722,MATCH($A196,'03 Raw Data'!$J$3:$J$722,0)),""))</f>
        <v/>
      </c>
      <c r="F196" s="24">
        <f>IF($A196="","",IFERROR(INDEX('03 Raw Data'!$N$3:$N$722,MATCH($A196,'03 Raw Data'!$M$3:$M$722,0)),""))</f>
        <v/>
      </c>
      <c r="G196" s="24">
        <f>IF($A196="","",IFERROR(INDEX('03 Raw Data'!$Q$3:$Q$722,MATCH($A196,'03 Raw Data'!$P$3:$P$722,0)),""))</f>
        <v/>
      </c>
      <c r="H196" s="24">
        <f>IF($A196="","",IFERROR(INDEX('03 Raw Data'!$T$3:$T$722,MATCH($A196,'03 Raw Data'!$S$3:$S$722,0)),""))</f>
        <v/>
      </c>
    </row>
    <row r="197">
      <c r="A197" s="23">
        <f>IFERROR(IF(OR('03 Raw Data'!A195="",'03 Raw Data'!A195=0),"",'03 Raw Data'!A195),"")</f>
        <v/>
      </c>
      <c r="B197" s="24">
        <f>IF($A197="","",IFERROR(INDEX('03 Raw Data'!$B$3:$B$722,MATCH($A197,'03 Raw Data'!$A$3:$A$722,0)),""))</f>
        <v/>
      </c>
      <c r="C197" s="24">
        <f>IF($A197="","",IFERROR(INDEX('03 Raw Data'!$E$3:$E$722,MATCH($A197,'03 Raw Data'!$D$3:$D$722,0)),""))</f>
        <v/>
      </c>
      <c r="D197" s="24">
        <f>IF($A197="","",IFERROR(INDEX('03 Raw Data'!$H$3:$H$722,MATCH($A197,'03 Raw Data'!$G$3:$G$722,0)),""))</f>
        <v/>
      </c>
      <c r="E197" s="24">
        <f>IF($A197="","",IFERROR(INDEX('03 Raw Data'!$K$3:$K$722,MATCH($A197,'03 Raw Data'!$J$3:$J$722,0)),""))</f>
        <v/>
      </c>
      <c r="F197" s="24">
        <f>IF($A197="","",IFERROR(INDEX('03 Raw Data'!$N$3:$N$722,MATCH($A197,'03 Raw Data'!$M$3:$M$722,0)),""))</f>
        <v/>
      </c>
      <c r="G197" s="24">
        <f>IF($A197="","",IFERROR(INDEX('03 Raw Data'!$Q$3:$Q$722,MATCH($A197,'03 Raw Data'!$P$3:$P$722,0)),""))</f>
        <v/>
      </c>
      <c r="H197" s="24">
        <f>IF($A197="","",IFERROR(INDEX('03 Raw Data'!$T$3:$T$722,MATCH($A197,'03 Raw Data'!$S$3:$S$722,0)),""))</f>
        <v/>
      </c>
    </row>
    <row r="198">
      <c r="A198" s="23">
        <f>IFERROR(IF(OR('03 Raw Data'!A196="",'03 Raw Data'!A196=0),"",'03 Raw Data'!A196),"")</f>
        <v/>
      </c>
      <c r="B198" s="24">
        <f>IF($A198="","",IFERROR(INDEX('03 Raw Data'!$B$3:$B$722,MATCH($A198,'03 Raw Data'!$A$3:$A$722,0)),""))</f>
        <v/>
      </c>
      <c r="C198" s="24">
        <f>IF($A198="","",IFERROR(INDEX('03 Raw Data'!$E$3:$E$722,MATCH($A198,'03 Raw Data'!$D$3:$D$722,0)),""))</f>
        <v/>
      </c>
      <c r="D198" s="24">
        <f>IF($A198="","",IFERROR(INDEX('03 Raw Data'!$H$3:$H$722,MATCH($A198,'03 Raw Data'!$G$3:$G$722,0)),""))</f>
        <v/>
      </c>
      <c r="E198" s="24">
        <f>IF($A198="","",IFERROR(INDEX('03 Raw Data'!$K$3:$K$722,MATCH($A198,'03 Raw Data'!$J$3:$J$722,0)),""))</f>
        <v/>
      </c>
      <c r="F198" s="24">
        <f>IF($A198="","",IFERROR(INDEX('03 Raw Data'!$N$3:$N$722,MATCH($A198,'03 Raw Data'!$M$3:$M$722,0)),""))</f>
        <v/>
      </c>
      <c r="G198" s="24">
        <f>IF($A198="","",IFERROR(INDEX('03 Raw Data'!$Q$3:$Q$722,MATCH($A198,'03 Raw Data'!$P$3:$P$722,0)),""))</f>
        <v/>
      </c>
      <c r="H198" s="24">
        <f>IF($A198="","",IFERROR(INDEX('03 Raw Data'!$T$3:$T$722,MATCH($A198,'03 Raw Data'!$S$3:$S$722,0)),""))</f>
        <v/>
      </c>
    </row>
    <row r="199">
      <c r="A199" s="23">
        <f>IFERROR(IF(OR('03 Raw Data'!A197="",'03 Raw Data'!A197=0),"",'03 Raw Data'!A197),"")</f>
        <v/>
      </c>
      <c r="B199" s="24">
        <f>IF($A199="","",IFERROR(INDEX('03 Raw Data'!$B$3:$B$722,MATCH($A199,'03 Raw Data'!$A$3:$A$722,0)),""))</f>
        <v/>
      </c>
      <c r="C199" s="24">
        <f>IF($A199="","",IFERROR(INDEX('03 Raw Data'!$E$3:$E$722,MATCH($A199,'03 Raw Data'!$D$3:$D$722,0)),""))</f>
        <v/>
      </c>
      <c r="D199" s="24">
        <f>IF($A199="","",IFERROR(INDEX('03 Raw Data'!$H$3:$H$722,MATCH($A199,'03 Raw Data'!$G$3:$G$722,0)),""))</f>
        <v/>
      </c>
      <c r="E199" s="24">
        <f>IF($A199="","",IFERROR(INDEX('03 Raw Data'!$K$3:$K$722,MATCH($A199,'03 Raw Data'!$J$3:$J$722,0)),""))</f>
        <v/>
      </c>
      <c r="F199" s="24">
        <f>IF($A199="","",IFERROR(INDEX('03 Raw Data'!$N$3:$N$722,MATCH($A199,'03 Raw Data'!$M$3:$M$722,0)),""))</f>
        <v/>
      </c>
      <c r="G199" s="24">
        <f>IF($A199="","",IFERROR(INDEX('03 Raw Data'!$Q$3:$Q$722,MATCH($A199,'03 Raw Data'!$P$3:$P$722,0)),""))</f>
        <v/>
      </c>
      <c r="H199" s="24">
        <f>IF($A199="","",IFERROR(INDEX('03 Raw Data'!$T$3:$T$722,MATCH($A199,'03 Raw Data'!$S$3:$S$722,0)),""))</f>
        <v/>
      </c>
    </row>
    <row r="200">
      <c r="A200" s="23">
        <f>IFERROR(IF(OR('03 Raw Data'!A198="",'03 Raw Data'!A198=0),"",'03 Raw Data'!A198),"")</f>
        <v/>
      </c>
      <c r="B200" s="24">
        <f>IF($A200="","",IFERROR(INDEX('03 Raw Data'!$B$3:$B$722,MATCH($A200,'03 Raw Data'!$A$3:$A$722,0)),""))</f>
        <v/>
      </c>
      <c r="C200" s="24">
        <f>IF($A200="","",IFERROR(INDEX('03 Raw Data'!$E$3:$E$722,MATCH($A200,'03 Raw Data'!$D$3:$D$722,0)),""))</f>
        <v/>
      </c>
      <c r="D200" s="24">
        <f>IF($A200="","",IFERROR(INDEX('03 Raw Data'!$H$3:$H$722,MATCH($A200,'03 Raw Data'!$G$3:$G$722,0)),""))</f>
        <v/>
      </c>
      <c r="E200" s="24">
        <f>IF($A200="","",IFERROR(INDEX('03 Raw Data'!$K$3:$K$722,MATCH($A200,'03 Raw Data'!$J$3:$J$722,0)),""))</f>
        <v/>
      </c>
      <c r="F200" s="24">
        <f>IF($A200="","",IFERROR(INDEX('03 Raw Data'!$N$3:$N$722,MATCH($A200,'03 Raw Data'!$M$3:$M$722,0)),""))</f>
        <v/>
      </c>
      <c r="G200" s="24">
        <f>IF($A200="","",IFERROR(INDEX('03 Raw Data'!$Q$3:$Q$722,MATCH($A200,'03 Raw Data'!$P$3:$P$722,0)),""))</f>
        <v/>
      </c>
      <c r="H200" s="24">
        <f>IF($A200="","",IFERROR(INDEX('03 Raw Data'!$T$3:$T$722,MATCH($A200,'03 Raw Data'!$S$3:$S$722,0)),""))</f>
        <v/>
      </c>
    </row>
    <row r="201">
      <c r="A201" s="23">
        <f>IFERROR(IF(OR('03 Raw Data'!A199="",'03 Raw Data'!A199=0),"",'03 Raw Data'!A199),"")</f>
        <v/>
      </c>
      <c r="B201" s="24">
        <f>IF($A201="","",IFERROR(INDEX('03 Raw Data'!$B$3:$B$722,MATCH($A201,'03 Raw Data'!$A$3:$A$722,0)),""))</f>
        <v/>
      </c>
      <c r="C201" s="24">
        <f>IF($A201="","",IFERROR(INDEX('03 Raw Data'!$E$3:$E$722,MATCH($A201,'03 Raw Data'!$D$3:$D$722,0)),""))</f>
        <v/>
      </c>
      <c r="D201" s="24">
        <f>IF($A201="","",IFERROR(INDEX('03 Raw Data'!$H$3:$H$722,MATCH($A201,'03 Raw Data'!$G$3:$G$722,0)),""))</f>
        <v/>
      </c>
      <c r="E201" s="24">
        <f>IF($A201="","",IFERROR(INDEX('03 Raw Data'!$K$3:$K$722,MATCH($A201,'03 Raw Data'!$J$3:$J$722,0)),""))</f>
        <v/>
      </c>
      <c r="F201" s="24">
        <f>IF($A201="","",IFERROR(INDEX('03 Raw Data'!$N$3:$N$722,MATCH($A201,'03 Raw Data'!$M$3:$M$722,0)),""))</f>
        <v/>
      </c>
      <c r="G201" s="24">
        <f>IF($A201="","",IFERROR(INDEX('03 Raw Data'!$Q$3:$Q$722,MATCH($A201,'03 Raw Data'!$P$3:$P$722,0)),""))</f>
        <v/>
      </c>
      <c r="H201" s="24">
        <f>IF($A201="","",IFERROR(INDEX('03 Raw Data'!$T$3:$T$722,MATCH($A201,'03 Raw Data'!$S$3:$S$722,0)),""))</f>
        <v/>
      </c>
    </row>
    <row r="202">
      <c r="A202" s="23">
        <f>IFERROR(IF(OR('03 Raw Data'!A200="",'03 Raw Data'!A200=0),"",'03 Raw Data'!A200),"")</f>
        <v/>
      </c>
      <c r="B202" s="24">
        <f>IF($A202="","",IFERROR(INDEX('03 Raw Data'!$B$3:$B$722,MATCH($A202,'03 Raw Data'!$A$3:$A$722,0)),""))</f>
        <v/>
      </c>
      <c r="C202" s="24">
        <f>IF($A202="","",IFERROR(INDEX('03 Raw Data'!$E$3:$E$722,MATCH($A202,'03 Raw Data'!$D$3:$D$722,0)),""))</f>
        <v/>
      </c>
      <c r="D202" s="24">
        <f>IF($A202="","",IFERROR(INDEX('03 Raw Data'!$H$3:$H$722,MATCH($A202,'03 Raw Data'!$G$3:$G$722,0)),""))</f>
        <v/>
      </c>
      <c r="E202" s="24">
        <f>IF($A202="","",IFERROR(INDEX('03 Raw Data'!$K$3:$K$722,MATCH($A202,'03 Raw Data'!$J$3:$J$722,0)),""))</f>
        <v/>
      </c>
      <c r="F202" s="24">
        <f>IF($A202="","",IFERROR(INDEX('03 Raw Data'!$N$3:$N$722,MATCH($A202,'03 Raw Data'!$M$3:$M$722,0)),""))</f>
        <v/>
      </c>
      <c r="G202" s="24">
        <f>IF($A202="","",IFERROR(INDEX('03 Raw Data'!$Q$3:$Q$722,MATCH($A202,'03 Raw Data'!$P$3:$P$722,0)),""))</f>
        <v/>
      </c>
      <c r="H202" s="24">
        <f>IF($A202="","",IFERROR(INDEX('03 Raw Data'!$T$3:$T$722,MATCH($A202,'03 Raw Data'!$S$3:$S$722,0)),""))</f>
        <v/>
      </c>
    </row>
    <row r="203">
      <c r="A203" s="23">
        <f>IFERROR(IF(OR('03 Raw Data'!A201="",'03 Raw Data'!A201=0),"",'03 Raw Data'!A201),"")</f>
        <v/>
      </c>
      <c r="B203" s="24">
        <f>IF($A203="","",IFERROR(INDEX('03 Raw Data'!$B$3:$B$722,MATCH($A203,'03 Raw Data'!$A$3:$A$722,0)),""))</f>
        <v/>
      </c>
      <c r="C203" s="24">
        <f>IF($A203="","",IFERROR(INDEX('03 Raw Data'!$E$3:$E$722,MATCH($A203,'03 Raw Data'!$D$3:$D$722,0)),""))</f>
        <v/>
      </c>
      <c r="D203" s="24">
        <f>IF($A203="","",IFERROR(INDEX('03 Raw Data'!$H$3:$H$722,MATCH($A203,'03 Raw Data'!$G$3:$G$722,0)),""))</f>
        <v/>
      </c>
      <c r="E203" s="24">
        <f>IF($A203="","",IFERROR(INDEX('03 Raw Data'!$K$3:$K$722,MATCH($A203,'03 Raw Data'!$J$3:$J$722,0)),""))</f>
        <v/>
      </c>
      <c r="F203" s="24">
        <f>IF($A203="","",IFERROR(INDEX('03 Raw Data'!$N$3:$N$722,MATCH($A203,'03 Raw Data'!$M$3:$M$722,0)),""))</f>
        <v/>
      </c>
      <c r="G203" s="24">
        <f>IF($A203="","",IFERROR(INDEX('03 Raw Data'!$Q$3:$Q$722,MATCH($A203,'03 Raw Data'!$P$3:$P$722,0)),""))</f>
        <v/>
      </c>
      <c r="H203" s="24">
        <f>IF($A203="","",IFERROR(INDEX('03 Raw Data'!$T$3:$T$722,MATCH($A203,'03 Raw Data'!$S$3:$S$722,0)),""))</f>
        <v/>
      </c>
    </row>
    <row r="204">
      <c r="A204" s="23">
        <f>IFERROR(IF(OR('03 Raw Data'!A202="",'03 Raw Data'!A202=0),"",'03 Raw Data'!A202),"")</f>
        <v/>
      </c>
      <c r="B204" s="24">
        <f>IF($A204="","",IFERROR(INDEX('03 Raw Data'!$B$3:$B$722,MATCH($A204,'03 Raw Data'!$A$3:$A$722,0)),""))</f>
        <v/>
      </c>
      <c r="C204" s="24">
        <f>IF($A204="","",IFERROR(INDEX('03 Raw Data'!$E$3:$E$722,MATCH($A204,'03 Raw Data'!$D$3:$D$722,0)),""))</f>
        <v/>
      </c>
      <c r="D204" s="24">
        <f>IF($A204="","",IFERROR(INDEX('03 Raw Data'!$H$3:$H$722,MATCH($A204,'03 Raw Data'!$G$3:$G$722,0)),""))</f>
        <v/>
      </c>
      <c r="E204" s="24">
        <f>IF($A204="","",IFERROR(INDEX('03 Raw Data'!$K$3:$K$722,MATCH($A204,'03 Raw Data'!$J$3:$J$722,0)),""))</f>
        <v/>
      </c>
      <c r="F204" s="24">
        <f>IF($A204="","",IFERROR(INDEX('03 Raw Data'!$N$3:$N$722,MATCH($A204,'03 Raw Data'!$M$3:$M$722,0)),""))</f>
        <v/>
      </c>
      <c r="G204" s="24">
        <f>IF($A204="","",IFERROR(INDEX('03 Raw Data'!$Q$3:$Q$722,MATCH($A204,'03 Raw Data'!$P$3:$P$722,0)),""))</f>
        <v/>
      </c>
      <c r="H204" s="24">
        <f>IF($A204="","",IFERROR(INDEX('03 Raw Data'!$T$3:$T$722,MATCH($A204,'03 Raw Data'!$S$3:$S$722,0)),""))</f>
        <v/>
      </c>
    </row>
    <row r="205">
      <c r="A205" s="23">
        <f>IFERROR(IF(OR('03 Raw Data'!A203="",'03 Raw Data'!A203=0),"",'03 Raw Data'!A203),"")</f>
        <v/>
      </c>
      <c r="B205" s="24">
        <f>IF($A205="","",IFERROR(INDEX('03 Raw Data'!$B$3:$B$722,MATCH($A205,'03 Raw Data'!$A$3:$A$722,0)),""))</f>
        <v/>
      </c>
      <c r="C205" s="24">
        <f>IF($A205="","",IFERROR(INDEX('03 Raw Data'!$E$3:$E$722,MATCH($A205,'03 Raw Data'!$D$3:$D$722,0)),""))</f>
        <v/>
      </c>
      <c r="D205" s="24">
        <f>IF($A205="","",IFERROR(INDEX('03 Raw Data'!$H$3:$H$722,MATCH($A205,'03 Raw Data'!$G$3:$G$722,0)),""))</f>
        <v/>
      </c>
      <c r="E205" s="24">
        <f>IF($A205="","",IFERROR(INDEX('03 Raw Data'!$K$3:$K$722,MATCH($A205,'03 Raw Data'!$J$3:$J$722,0)),""))</f>
        <v/>
      </c>
      <c r="F205" s="24">
        <f>IF($A205="","",IFERROR(INDEX('03 Raw Data'!$N$3:$N$722,MATCH($A205,'03 Raw Data'!$M$3:$M$722,0)),""))</f>
        <v/>
      </c>
      <c r="G205" s="24">
        <f>IF($A205="","",IFERROR(INDEX('03 Raw Data'!$Q$3:$Q$722,MATCH($A205,'03 Raw Data'!$P$3:$P$722,0)),""))</f>
        <v/>
      </c>
      <c r="H205" s="24">
        <f>IF($A205="","",IFERROR(INDEX('03 Raw Data'!$T$3:$T$722,MATCH($A205,'03 Raw Data'!$S$3:$S$722,0)),""))</f>
        <v/>
      </c>
    </row>
    <row r="206">
      <c r="A206" s="23">
        <f>IFERROR(IF(OR('03 Raw Data'!A204="",'03 Raw Data'!A204=0),"",'03 Raw Data'!A204),"")</f>
        <v/>
      </c>
      <c r="B206" s="24">
        <f>IF($A206="","",IFERROR(INDEX('03 Raw Data'!$B$3:$B$722,MATCH($A206,'03 Raw Data'!$A$3:$A$722,0)),""))</f>
        <v/>
      </c>
      <c r="C206" s="24">
        <f>IF($A206="","",IFERROR(INDEX('03 Raw Data'!$E$3:$E$722,MATCH($A206,'03 Raw Data'!$D$3:$D$722,0)),""))</f>
        <v/>
      </c>
      <c r="D206" s="24">
        <f>IF($A206="","",IFERROR(INDEX('03 Raw Data'!$H$3:$H$722,MATCH($A206,'03 Raw Data'!$G$3:$G$722,0)),""))</f>
        <v/>
      </c>
      <c r="E206" s="24">
        <f>IF($A206="","",IFERROR(INDEX('03 Raw Data'!$K$3:$K$722,MATCH($A206,'03 Raw Data'!$J$3:$J$722,0)),""))</f>
        <v/>
      </c>
      <c r="F206" s="24">
        <f>IF($A206="","",IFERROR(INDEX('03 Raw Data'!$N$3:$N$722,MATCH($A206,'03 Raw Data'!$M$3:$M$722,0)),""))</f>
        <v/>
      </c>
      <c r="G206" s="24">
        <f>IF($A206="","",IFERROR(INDEX('03 Raw Data'!$Q$3:$Q$722,MATCH($A206,'03 Raw Data'!$P$3:$P$722,0)),""))</f>
        <v/>
      </c>
      <c r="H206" s="24">
        <f>IF($A206="","",IFERROR(INDEX('03 Raw Data'!$T$3:$T$722,MATCH($A206,'03 Raw Data'!$S$3:$S$722,0)),""))</f>
        <v/>
      </c>
    </row>
    <row r="207">
      <c r="A207" s="23">
        <f>IFERROR(IF(OR('03 Raw Data'!A205="",'03 Raw Data'!A205=0),"",'03 Raw Data'!A205),"")</f>
        <v/>
      </c>
      <c r="B207" s="24">
        <f>IF($A207="","",IFERROR(INDEX('03 Raw Data'!$B$3:$B$722,MATCH($A207,'03 Raw Data'!$A$3:$A$722,0)),""))</f>
        <v/>
      </c>
      <c r="C207" s="24">
        <f>IF($A207="","",IFERROR(INDEX('03 Raw Data'!$E$3:$E$722,MATCH($A207,'03 Raw Data'!$D$3:$D$722,0)),""))</f>
        <v/>
      </c>
      <c r="D207" s="24">
        <f>IF($A207="","",IFERROR(INDEX('03 Raw Data'!$H$3:$H$722,MATCH($A207,'03 Raw Data'!$G$3:$G$722,0)),""))</f>
        <v/>
      </c>
      <c r="E207" s="24">
        <f>IF($A207="","",IFERROR(INDEX('03 Raw Data'!$K$3:$K$722,MATCH($A207,'03 Raw Data'!$J$3:$J$722,0)),""))</f>
        <v/>
      </c>
      <c r="F207" s="24">
        <f>IF($A207="","",IFERROR(INDEX('03 Raw Data'!$N$3:$N$722,MATCH($A207,'03 Raw Data'!$M$3:$M$722,0)),""))</f>
        <v/>
      </c>
      <c r="G207" s="24">
        <f>IF($A207="","",IFERROR(INDEX('03 Raw Data'!$Q$3:$Q$722,MATCH($A207,'03 Raw Data'!$P$3:$P$722,0)),""))</f>
        <v/>
      </c>
      <c r="H207" s="24">
        <f>IF($A207="","",IFERROR(INDEX('03 Raw Data'!$T$3:$T$722,MATCH($A207,'03 Raw Data'!$S$3:$S$722,0)),""))</f>
        <v/>
      </c>
    </row>
    <row r="208">
      <c r="A208" s="23">
        <f>IFERROR(IF(OR('03 Raw Data'!A206="",'03 Raw Data'!A206=0),"",'03 Raw Data'!A206),"")</f>
        <v/>
      </c>
      <c r="B208" s="24">
        <f>IF($A208="","",IFERROR(INDEX('03 Raw Data'!$B$3:$B$722,MATCH($A208,'03 Raw Data'!$A$3:$A$722,0)),""))</f>
        <v/>
      </c>
      <c r="C208" s="24">
        <f>IF($A208="","",IFERROR(INDEX('03 Raw Data'!$E$3:$E$722,MATCH($A208,'03 Raw Data'!$D$3:$D$722,0)),""))</f>
        <v/>
      </c>
      <c r="D208" s="24">
        <f>IF($A208="","",IFERROR(INDEX('03 Raw Data'!$H$3:$H$722,MATCH($A208,'03 Raw Data'!$G$3:$G$722,0)),""))</f>
        <v/>
      </c>
      <c r="E208" s="24">
        <f>IF($A208="","",IFERROR(INDEX('03 Raw Data'!$K$3:$K$722,MATCH($A208,'03 Raw Data'!$J$3:$J$722,0)),""))</f>
        <v/>
      </c>
      <c r="F208" s="24">
        <f>IF($A208="","",IFERROR(INDEX('03 Raw Data'!$N$3:$N$722,MATCH($A208,'03 Raw Data'!$M$3:$M$722,0)),""))</f>
        <v/>
      </c>
      <c r="G208" s="24">
        <f>IF($A208="","",IFERROR(INDEX('03 Raw Data'!$Q$3:$Q$722,MATCH($A208,'03 Raw Data'!$P$3:$P$722,0)),""))</f>
        <v/>
      </c>
      <c r="H208" s="24">
        <f>IF($A208="","",IFERROR(INDEX('03 Raw Data'!$T$3:$T$722,MATCH($A208,'03 Raw Data'!$S$3:$S$722,0)),""))</f>
        <v/>
      </c>
    </row>
    <row r="209">
      <c r="A209" s="23">
        <f>IFERROR(IF(OR('03 Raw Data'!A207="",'03 Raw Data'!A207=0),"",'03 Raw Data'!A207),"")</f>
        <v/>
      </c>
      <c r="B209" s="24">
        <f>IF($A209="","",IFERROR(INDEX('03 Raw Data'!$B$3:$B$722,MATCH($A209,'03 Raw Data'!$A$3:$A$722,0)),""))</f>
        <v/>
      </c>
      <c r="C209" s="24">
        <f>IF($A209="","",IFERROR(INDEX('03 Raw Data'!$E$3:$E$722,MATCH($A209,'03 Raw Data'!$D$3:$D$722,0)),""))</f>
        <v/>
      </c>
      <c r="D209" s="24">
        <f>IF($A209="","",IFERROR(INDEX('03 Raw Data'!$H$3:$H$722,MATCH($A209,'03 Raw Data'!$G$3:$G$722,0)),""))</f>
        <v/>
      </c>
      <c r="E209" s="24">
        <f>IF($A209="","",IFERROR(INDEX('03 Raw Data'!$K$3:$K$722,MATCH($A209,'03 Raw Data'!$J$3:$J$722,0)),""))</f>
        <v/>
      </c>
      <c r="F209" s="24">
        <f>IF($A209="","",IFERROR(INDEX('03 Raw Data'!$N$3:$N$722,MATCH($A209,'03 Raw Data'!$M$3:$M$722,0)),""))</f>
        <v/>
      </c>
      <c r="G209" s="24">
        <f>IF($A209="","",IFERROR(INDEX('03 Raw Data'!$Q$3:$Q$722,MATCH($A209,'03 Raw Data'!$P$3:$P$722,0)),""))</f>
        <v/>
      </c>
      <c r="H209" s="24">
        <f>IF($A209="","",IFERROR(INDEX('03 Raw Data'!$T$3:$T$722,MATCH($A209,'03 Raw Data'!$S$3:$S$722,0)),""))</f>
        <v/>
      </c>
    </row>
    <row r="210">
      <c r="A210" s="23">
        <f>IFERROR(IF(OR('03 Raw Data'!A208="",'03 Raw Data'!A208=0),"",'03 Raw Data'!A208),"")</f>
        <v/>
      </c>
      <c r="B210" s="24">
        <f>IF($A210="","",IFERROR(INDEX('03 Raw Data'!$B$3:$B$722,MATCH($A210,'03 Raw Data'!$A$3:$A$722,0)),""))</f>
        <v/>
      </c>
      <c r="C210" s="24">
        <f>IF($A210="","",IFERROR(INDEX('03 Raw Data'!$E$3:$E$722,MATCH($A210,'03 Raw Data'!$D$3:$D$722,0)),""))</f>
        <v/>
      </c>
      <c r="D210" s="24">
        <f>IF($A210="","",IFERROR(INDEX('03 Raw Data'!$H$3:$H$722,MATCH($A210,'03 Raw Data'!$G$3:$G$722,0)),""))</f>
        <v/>
      </c>
      <c r="E210" s="24">
        <f>IF($A210="","",IFERROR(INDEX('03 Raw Data'!$K$3:$K$722,MATCH($A210,'03 Raw Data'!$J$3:$J$722,0)),""))</f>
        <v/>
      </c>
      <c r="F210" s="24">
        <f>IF($A210="","",IFERROR(INDEX('03 Raw Data'!$N$3:$N$722,MATCH($A210,'03 Raw Data'!$M$3:$M$722,0)),""))</f>
        <v/>
      </c>
      <c r="G210" s="24">
        <f>IF($A210="","",IFERROR(INDEX('03 Raw Data'!$Q$3:$Q$722,MATCH($A210,'03 Raw Data'!$P$3:$P$722,0)),""))</f>
        <v/>
      </c>
      <c r="H210" s="24">
        <f>IF($A210="","",IFERROR(INDEX('03 Raw Data'!$T$3:$T$722,MATCH($A210,'03 Raw Data'!$S$3:$S$722,0)),""))</f>
        <v/>
      </c>
    </row>
    <row r="211">
      <c r="A211" s="23">
        <f>IFERROR(IF(OR('03 Raw Data'!A209="",'03 Raw Data'!A209=0),"",'03 Raw Data'!A209),"")</f>
        <v/>
      </c>
      <c r="B211" s="24">
        <f>IF($A211="","",IFERROR(INDEX('03 Raw Data'!$B$3:$B$722,MATCH($A211,'03 Raw Data'!$A$3:$A$722,0)),""))</f>
        <v/>
      </c>
      <c r="C211" s="24">
        <f>IF($A211="","",IFERROR(INDEX('03 Raw Data'!$E$3:$E$722,MATCH($A211,'03 Raw Data'!$D$3:$D$722,0)),""))</f>
        <v/>
      </c>
      <c r="D211" s="24">
        <f>IF($A211="","",IFERROR(INDEX('03 Raw Data'!$H$3:$H$722,MATCH($A211,'03 Raw Data'!$G$3:$G$722,0)),""))</f>
        <v/>
      </c>
      <c r="E211" s="24">
        <f>IF($A211="","",IFERROR(INDEX('03 Raw Data'!$K$3:$K$722,MATCH($A211,'03 Raw Data'!$J$3:$J$722,0)),""))</f>
        <v/>
      </c>
      <c r="F211" s="24">
        <f>IF($A211="","",IFERROR(INDEX('03 Raw Data'!$N$3:$N$722,MATCH($A211,'03 Raw Data'!$M$3:$M$722,0)),""))</f>
        <v/>
      </c>
      <c r="G211" s="24">
        <f>IF($A211="","",IFERROR(INDEX('03 Raw Data'!$Q$3:$Q$722,MATCH($A211,'03 Raw Data'!$P$3:$P$722,0)),""))</f>
        <v/>
      </c>
      <c r="H211" s="24">
        <f>IF($A211="","",IFERROR(INDEX('03 Raw Data'!$T$3:$T$722,MATCH($A211,'03 Raw Data'!$S$3:$S$722,0)),""))</f>
        <v/>
      </c>
    </row>
    <row r="212">
      <c r="A212" s="23">
        <f>IFERROR(IF(OR('03 Raw Data'!A210="",'03 Raw Data'!A210=0),"",'03 Raw Data'!A210),"")</f>
        <v/>
      </c>
      <c r="B212" s="24">
        <f>IF($A212="","",IFERROR(INDEX('03 Raw Data'!$B$3:$B$722,MATCH($A212,'03 Raw Data'!$A$3:$A$722,0)),""))</f>
        <v/>
      </c>
      <c r="C212" s="24">
        <f>IF($A212="","",IFERROR(INDEX('03 Raw Data'!$E$3:$E$722,MATCH($A212,'03 Raw Data'!$D$3:$D$722,0)),""))</f>
        <v/>
      </c>
      <c r="D212" s="24">
        <f>IF($A212="","",IFERROR(INDEX('03 Raw Data'!$H$3:$H$722,MATCH($A212,'03 Raw Data'!$G$3:$G$722,0)),""))</f>
        <v/>
      </c>
      <c r="E212" s="24">
        <f>IF($A212="","",IFERROR(INDEX('03 Raw Data'!$K$3:$K$722,MATCH($A212,'03 Raw Data'!$J$3:$J$722,0)),""))</f>
        <v/>
      </c>
      <c r="F212" s="24">
        <f>IF($A212="","",IFERROR(INDEX('03 Raw Data'!$N$3:$N$722,MATCH($A212,'03 Raw Data'!$M$3:$M$722,0)),""))</f>
        <v/>
      </c>
      <c r="G212" s="24">
        <f>IF($A212="","",IFERROR(INDEX('03 Raw Data'!$Q$3:$Q$722,MATCH($A212,'03 Raw Data'!$P$3:$P$722,0)),""))</f>
        <v/>
      </c>
      <c r="H212" s="24">
        <f>IF($A212="","",IFERROR(INDEX('03 Raw Data'!$T$3:$T$722,MATCH($A212,'03 Raw Data'!$S$3:$S$722,0)),""))</f>
        <v/>
      </c>
    </row>
    <row r="213">
      <c r="A213" s="23">
        <f>IFERROR(IF(OR('03 Raw Data'!A211="",'03 Raw Data'!A211=0),"",'03 Raw Data'!A211),"")</f>
        <v/>
      </c>
      <c r="B213" s="24">
        <f>IF($A213="","",IFERROR(INDEX('03 Raw Data'!$B$3:$B$722,MATCH($A213,'03 Raw Data'!$A$3:$A$722,0)),""))</f>
        <v/>
      </c>
      <c r="C213" s="24">
        <f>IF($A213="","",IFERROR(INDEX('03 Raw Data'!$E$3:$E$722,MATCH($A213,'03 Raw Data'!$D$3:$D$722,0)),""))</f>
        <v/>
      </c>
      <c r="D213" s="24">
        <f>IF($A213="","",IFERROR(INDEX('03 Raw Data'!$H$3:$H$722,MATCH($A213,'03 Raw Data'!$G$3:$G$722,0)),""))</f>
        <v/>
      </c>
      <c r="E213" s="24">
        <f>IF($A213="","",IFERROR(INDEX('03 Raw Data'!$K$3:$K$722,MATCH($A213,'03 Raw Data'!$J$3:$J$722,0)),""))</f>
        <v/>
      </c>
      <c r="F213" s="24">
        <f>IF($A213="","",IFERROR(INDEX('03 Raw Data'!$N$3:$N$722,MATCH($A213,'03 Raw Data'!$M$3:$M$722,0)),""))</f>
        <v/>
      </c>
      <c r="G213" s="24">
        <f>IF($A213="","",IFERROR(INDEX('03 Raw Data'!$Q$3:$Q$722,MATCH($A213,'03 Raw Data'!$P$3:$P$722,0)),""))</f>
        <v/>
      </c>
      <c r="H213" s="24">
        <f>IF($A213="","",IFERROR(INDEX('03 Raw Data'!$T$3:$T$722,MATCH($A213,'03 Raw Data'!$S$3:$S$722,0)),""))</f>
        <v/>
      </c>
    </row>
    <row r="214">
      <c r="A214" s="23">
        <f>IFERROR(IF(OR('03 Raw Data'!A212="",'03 Raw Data'!A212=0),"",'03 Raw Data'!A212),"")</f>
        <v/>
      </c>
      <c r="B214" s="24">
        <f>IF($A214="","",IFERROR(INDEX('03 Raw Data'!$B$3:$B$722,MATCH($A214,'03 Raw Data'!$A$3:$A$722,0)),""))</f>
        <v/>
      </c>
      <c r="C214" s="24">
        <f>IF($A214="","",IFERROR(INDEX('03 Raw Data'!$E$3:$E$722,MATCH($A214,'03 Raw Data'!$D$3:$D$722,0)),""))</f>
        <v/>
      </c>
      <c r="D214" s="24">
        <f>IF($A214="","",IFERROR(INDEX('03 Raw Data'!$H$3:$H$722,MATCH($A214,'03 Raw Data'!$G$3:$G$722,0)),""))</f>
        <v/>
      </c>
      <c r="E214" s="24">
        <f>IF($A214="","",IFERROR(INDEX('03 Raw Data'!$K$3:$K$722,MATCH($A214,'03 Raw Data'!$J$3:$J$722,0)),""))</f>
        <v/>
      </c>
      <c r="F214" s="24">
        <f>IF($A214="","",IFERROR(INDEX('03 Raw Data'!$N$3:$N$722,MATCH($A214,'03 Raw Data'!$M$3:$M$722,0)),""))</f>
        <v/>
      </c>
      <c r="G214" s="24">
        <f>IF($A214="","",IFERROR(INDEX('03 Raw Data'!$Q$3:$Q$722,MATCH($A214,'03 Raw Data'!$P$3:$P$722,0)),""))</f>
        <v/>
      </c>
      <c r="H214" s="24">
        <f>IF($A214="","",IFERROR(INDEX('03 Raw Data'!$T$3:$T$722,MATCH($A214,'03 Raw Data'!$S$3:$S$722,0)),""))</f>
        <v/>
      </c>
    </row>
    <row r="215">
      <c r="A215" s="23">
        <f>IFERROR(IF(OR('03 Raw Data'!A213="",'03 Raw Data'!A213=0),"",'03 Raw Data'!A213),"")</f>
        <v/>
      </c>
      <c r="B215" s="24">
        <f>IF($A215="","",IFERROR(INDEX('03 Raw Data'!$B$3:$B$722,MATCH($A215,'03 Raw Data'!$A$3:$A$722,0)),""))</f>
        <v/>
      </c>
      <c r="C215" s="24">
        <f>IF($A215="","",IFERROR(INDEX('03 Raw Data'!$E$3:$E$722,MATCH($A215,'03 Raw Data'!$D$3:$D$722,0)),""))</f>
        <v/>
      </c>
      <c r="D215" s="24">
        <f>IF($A215="","",IFERROR(INDEX('03 Raw Data'!$H$3:$H$722,MATCH($A215,'03 Raw Data'!$G$3:$G$722,0)),""))</f>
        <v/>
      </c>
      <c r="E215" s="24">
        <f>IF($A215="","",IFERROR(INDEX('03 Raw Data'!$K$3:$K$722,MATCH($A215,'03 Raw Data'!$J$3:$J$722,0)),""))</f>
        <v/>
      </c>
      <c r="F215" s="24">
        <f>IF($A215="","",IFERROR(INDEX('03 Raw Data'!$N$3:$N$722,MATCH($A215,'03 Raw Data'!$M$3:$M$722,0)),""))</f>
        <v/>
      </c>
      <c r="G215" s="24">
        <f>IF($A215="","",IFERROR(INDEX('03 Raw Data'!$Q$3:$Q$722,MATCH($A215,'03 Raw Data'!$P$3:$P$722,0)),""))</f>
        <v/>
      </c>
      <c r="H215" s="24">
        <f>IF($A215="","",IFERROR(INDEX('03 Raw Data'!$T$3:$T$722,MATCH($A215,'03 Raw Data'!$S$3:$S$722,0)),""))</f>
        <v/>
      </c>
    </row>
    <row r="216">
      <c r="A216" s="23">
        <f>IFERROR(IF(OR('03 Raw Data'!A214="",'03 Raw Data'!A214=0),"",'03 Raw Data'!A214),"")</f>
        <v/>
      </c>
      <c r="B216" s="24">
        <f>IF($A216="","",IFERROR(INDEX('03 Raw Data'!$B$3:$B$722,MATCH($A216,'03 Raw Data'!$A$3:$A$722,0)),""))</f>
        <v/>
      </c>
      <c r="C216" s="24">
        <f>IF($A216="","",IFERROR(INDEX('03 Raw Data'!$E$3:$E$722,MATCH($A216,'03 Raw Data'!$D$3:$D$722,0)),""))</f>
        <v/>
      </c>
      <c r="D216" s="24">
        <f>IF($A216="","",IFERROR(INDEX('03 Raw Data'!$H$3:$H$722,MATCH($A216,'03 Raw Data'!$G$3:$G$722,0)),""))</f>
        <v/>
      </c>
      <c r="E216" s="24">
        <f>IF($A216="","",IFERROR(INDEX('03 Raw Data'!$K$3:$K$722,MATCH($A216,'03 Raw Data'!$J$3:$J$722,0)),""))</f>
        <v/>
      </c>
      <c r="F216" s="24">
        <f>IF($A216="","",IFERROR(INDEX('03 Raw Data'!$N$3:$N$722,MATCH($A216,'03 Raw Data'!$M$3:$M$722,0)),""))</f>
        <v/>
      </c>
      <c r="G216" s="24">
        <f>IF($A216="","",IFERROR(INDEX('03 Raw Data'!$Q$3:$Q$722,MATCH($A216,'03 Raw Data'!$P$3:$P$722,0)),""))</f>
        <v/>
      </c>
      <c r="H216" s="24">
        <f>IF($A216="","",IFERROR(INDEX('03 Raw Data'!$T$3:$T$722,MATCH($A216,'03 Raw Data'!$S$3:$S$722,0)),""))</f>
        <v/>
      </c>
    </row>
    <row r="217">
      <c r="A217" s="23">
        <f>IFERROR(IF(OR('03 Raw Data'!A215="",'03 Raw Data'!A215=0),"",'03 Raw Data'!A215),"")</f>
        <v/>
      </c>
      <c r="B217" s="24">
        <f>IF($A217="","",IFERROR(INDEX('03 Raw Data'!$B$3:$B$722,MATCH($A217,'03 Raw Data'!$A$3:$A$722,0)),""))</f>
        <v/>
      </c>
      <c r="C217" s="24">
        <f>IF($A217="","",IFERROR(INDEX('03 Raw Data'!$E$3:$E$722,MATCH($A217,'03 Raw Data'!$D$3:$D$722,0)),""))</f>
        <v/>
      </c>
      <c r="D217" s="24">
        <f>IF($A217="","",IFERROR(INDEX('03 Raw Data'!$H$3:$H$722,MATCH($A217,'03 Raw Data'!$G$3:$G$722,0)),""))</f>
        <v/>
      </c>
      <c r="E217" s="24">
        <f>IF($A217="","",IFERROR(INDEX('03 Raw Data'!$K$3:$K$722,MATCH($A217,'03 Raw Data'!$J$3:$J$722,0)),""))</f>
        <v/>
      </c>
      <c r="F217" s="24">
        <f>IF($A217="","",IFERROR(INDEX('03 Raw Data'!$N$3:$N$722,MATCH($A217,'03 Raw Data'!$M$3:$M$722,0)),""))</f>
        <v/>
      </c>
      <c r="G217" s="24">
        <f>IF($A217="","",IFERROR(INDEX('03 Raw Data'!$Q$3:$Q$722,MATCH($A217,'03 Raw Data'!$P$3:$P$722,0)),""))</f>
        <v/>
      </c>
      <c r="H217" s="24">
        <f>IF($A217="","",IFERROR(INDEX('03 Raw Data'!$T$3:$T$722,MATCH($A217,'03 Raw Data'!$S$3:$S$722,0)),""))</f>
        <v/>
      </c>
    </row>
    <row r="218">
      <c r="A218" s="23">
        <f>IFERROR(IF(OR('03 Raw Data'!A216="",'03 Raw Data'!A216=0),"",'03 Raw Data'!A216),"")</f>
        <v/>
      </c>
      <c r="B218" s="24">
        <f>IF($A218="","",IFERROR(INDEX('03 Raw Data'!$B$3:$B$722,MATCH($A218,'03 Raw Data'!$A$3:$A$722,0)),""))</f>
        <v/>
      </c>
      <c r="C218" s="24">
        <f>IF($A218="","",IFERROR(INDEX('03 Raw Data'!$E$3:$E$722,MATCH($A218,'03 Raw Data'!$D$3:$D$722,0)),""))</f>
        <v/>
      </c>
      <c r="D218" s="24">
        <f>IF($A218="","",IFERROR(INDEX('03 Raw Data'!$H$3:$H$722,MATCH($A218,'03 Raw Data'!$G$3:$G$722,0)),""))</f>
        <v/>
      </c>
      <c r="E218" s="24">
        <f>IF($A218="","",IFERROR(INDEX('03 Raw Data'!$K$3:$K$722,MATCH($A218,'03 Raw Data'!$J$3:$J$722,0)),""))</f>
        <v/>
      </c>
      <c r="F218" s="24">
        <f>IF($A218="","",IFERROR(INDEX('03 Raw Data'!$N$3:$N$722,MATCH($A218,'03 Raw Data'!$M$3:$M$722,0)),""))</f>
        <v/>
      </c>
      <c r="G218" s="24">
        <f>IF($A218="","",IFERROR(INDEX('03 Raw Data'!$Q$3:$Q$722,MATCH($A218,'03 Raw Data'!$P$3:$P$722,0)),""))</f>
        <v/>
      </c>
      <c r="H218" s="24">
        <f>IF($A218="","",IFERROR(INDEX('03 Raw Data'!$T$3:$T$722,MATCH($A218,'03 Raw Data'!$S$3:$S$722,0)),""))</f>
        <v/>
      </c>
    </row>
    <row r="219">
      <c r="A219" s="23">
        <f>IFERROR(IF(OR('03 Raw Data'!A217="",'03 Raw Data'!A217=0),"",'03 Raw Data'!A217),"")</f>
        <v/>
      </c>
      <c r="B219" s="24">
        <f>IF($A219="","",IFERROR(INDEX('03 Raw Data'!$B$3:$B$722,MATCH($A219,'03 Raw Data'!$A$3:$A$722,0)),""))</f>
        <v/>
      </c>
      <c r="C219" s="24">
        <f>IF($A219="","",IFERROR(INDEX('03 Raw Data'!$E$3:$E$722,MATCH($A219,'03 Raw Data'!$D$3:$D$722,0)),""))</f>
        <v/>
      </c>
      <c r="D219" s="24">
        <f>IF($A219="","",IFERROR(INDEX('03 Raw Data'!$H$3:$H$722,MATCH($A219,'03 Raw Data'!$G$3:$G$722,0)),""))</f>
        <v/>
      </c>
      <c r="E219" s="24">
        <f>IF($A219="","",IFERROR(INDEX('03 Raw Data'!$K$3:$K$722,MATCH($A219,'03 Raw Data'!$J$3:$J$722,0)),""))</f>
        <v/>
      </c>
      <c r="F219" s="24">
        <f>IF($A219="","",IFERROR(INDEX('03 Raw Data'!$N$3:$N$722,MATCH($A219,'03 Raw Data'!$M$3:$M$722,0)),""))</f>
        <v/>
      </c>
      <c r="G219" s="24">
        <f>IF($A219="","",IFERROR(INDEX('03 Raw Data'!$Q$3:$Q$722,MATCH($A219,'03 Raw Data'!$P$3:$P$722,0)),""))</f>
        <v/>
      </c>
      <c r="H219" s="24">
        <f>IF($A219="","",IFERROR(INDEX('03 Raw Data'!$T$3:$T$722,MATCH($A219,'03 Raw Data'!$S$3:$S$722,0)),""))</f>
        <v/>
      </c>
    </row>
    <row r="220">
      <c r="A220" s="23">
        <f>IFERROR(IF(OR('03 Raw Data'!A218="",'03 Raw Data'!A218=0),"",'03 Raw Data'!A218),"")</f>
        <v/>
      </c>
      <c r="B220" s="24">
        <f>IF($A220="","",IFERROR(INDEX('03 Raw Data'!$B$3:$B$722,MATCH($A220,'03 Raw Data'!$A$3:$A$722,0)),""))</f>
        <v/>
      </c>
      <c r="C220" s="24">
        <f>IF($A220="","",IFERROR(INDEX('03 Raw Data'!$E$3:$E$722,MATCH($A220,'03 Raw Data'!$D$3:$D$722,0)),""))</f>
        <v/>
      </c>
      <c r="D220" s="24">
        <f>IF($A220="","",IFERROR(INDEX('03 Raw Data'!$H$3:$H$722,MATCH($A220,'03 Raw Data'!$G$3:$G$722,0)),""))</f>
        <v/>
      </c>
      <c r="E220" s="24">
        <f>IF($A220="","",IFERROR(INDEX('03 Raw Data'!$K$3:$K$722,MATCH($A220,'03 Raw Data'!$J$3:$J$722,0)),""))</f>
        <v/>
      </c>
      <c r="F220" s="24">
        <f>IF($A220="","",IFERROR(INDEX('03 Raw Data'!$N$3:$N$722,MATCH($A220,'03 Raw Data'!$M$3:$M$722,0)),""))</f>
        <v/>
      </c>
      <c r="G220" s="24">
        <f>IF($A220="","",IFERROR(INDEX('03 Raw Data'!$Q$3:$Q$722,MATCH($A220,'03 Raw Data'!$P$3:$P$722,0)),""))</f>
        <v/>
      </c>
      <c r="H220" s="24">
        <f>IF($A220="","",IFERROR(INDEX('03 Raw Data'!$T$3:$T$722,MATCH($A220,'03 Raw Data'!$S$3:$S$722,0)),""))</f>
        <v/>
      </c>
    </row>
    <row r="221">
      <c r="A221" s="23">
        <f>IFERROR(IF(OR('03 Raw Data'!A219="",'03 Raw Data'!A219=0),"",'03 Raw Data'!A219),"")</f>
        <v/>
      </c>
      <c r="B221" s="24">
        <f>IF($A221="","",IFERROR(INDEX('03 Raw Data'!$B$3:$B$722,MATCH($A221,'03 Raw Data'!$A$3:$A$722,0)),""))</f>
        <v/>
      </c>
      <c r="C221" s="24">
        <f>IF($A221="","",IFERROR(INDEX('03 Raw Data'!$E$3:$E$722,MATCH($A221,'03 Raw Data'!$D$3:$D$722,0)),""))</f>
        <v/>
      </c>
      <c r="D221" s="24">
        <f>IF($A221="","",IFERROR(INDEX('03 Raw Data'!$H$3:$H$722,MATCH($A221,'03 Raw Data'!$G$3:$G$722,0)),""))</f>
        <v/>
      </c>
      <c r="E221" s="24">
        <f>IF($A221="","",IFERROR(INDEX('03 Raw Data'!$K$3:$K$722,MATCH($A221,'03 Raw Data'!$J$3:$J$722,0)),""))</f>
        <v/>
      </c>
      <c r="F221" s="24">
        <f>IF($A221="","",IFERROR(INDEX('03 Raw Data'!$N$3:$N$722,MATCH($A221,'03 Raw Data'!$M$3:$M$722,0)),""))</f>
        <v/>
      </c>
      <c r="G221" s="24">
        <f>IF($A221="","",IFERROR(INDEX('03 Raw Data'!$Q$3:$Q$722,MATCH($A221,'03 Raw Data'!$P$3:$P$722,0)),""))</f>
        <v/>
      </c>
      <c r="H221" s="24">
        <f>IF($A221="","",IFERROR(INDEX('03 Raw Data'!$T$3:$T$722,MATCH($A221,'03 Raw Data'!$S$3:$S$722,0)),""))</f>
        <v/>
      </c>
    </row>
    <row r="222">
      <c r="A222" s="23">
        <f>IFERROR(IF(OR('03 Raw Data'!A220="",'03 Raw Data'!A220=0),"",'03 Raw Data'!A220),"")</f>
        <v/>
      </c>
      <c r="B222" s="24">
        <f>IF($A222="","",IFERROR(INDEX('03 Raw Data'!$B$3:$B$722,MATCH($A222,'03 Raw Data'!$A$3:$A$722,0)),""))</f>
        <v/>
      </c>
      <c r="C222" s="24">
        <f>IF($A222="","",IFERROR(INDEX('03 Raw Data'!$E$3:$E$722,MATCH($A222,'03 Raw Data'!$D$3:$D$722,0)),""))</f>
        <v/>
      </c>
      <c r="D222" s="24">
        <f>IF($A222="","",IFERROR(INDEX('03 Raw Data'!$H$3:$H$722,MATCH($A222,'03 Raw Data'!$G$3:$G$722,0)),""))</f>
        <v/>
      </c>
      <c r="E222" s="24">
        <f>IF($A222="","",IFERROR(INDEX('03 Raw Data'!$K$3:$K$722,MATCH($A222,'03 Raw Data'!$J$3:$J$722,0)),""))</f>
        <v/>
      </c>
      <c r="F222" s="24">
        <f>IF($A222="","",IFERROR(INDEX('03 Raw Data'!$N$3:$N$722,MATCH($A222,'03 Raw Data'!$M$3:$M$722,0)),""))</f>
        <v/>
      </c>
      <c r="G222" s="24">
        <f>IF($A222="","",IFERROR(INDEX('03 Raw Data'!$Q$3:$Q$722,MATCH($A222,'03 Raw Data'!$P$3:$P$722,0)),""))</f>
        <v/>
      </c>
      <c r="H222" s="24">
        <f>IF($A222="","",IFERROR(INDEX('03 Raw Data'!$T$3:$T$722,MATCH($A222,'03 Raw Data'!$S$3:$S$722,0)),""))</f>
        <v/>
      </c>
    </row>
    <row r="223">
      <c r="A223" s="23">
        <f>IFERROR(IF(OR('03 Raw Data'!A221="",'03 Raw Data'!A221=0),"",'03 Raw Data'!A221),"")</f>
        <v/>
      </c>
      <c r="B223" s="24">
        <f>IF($A223="","",IFERROR(INDEX('03 Raw Data'!$B$3:$B$722,MATCH($A223,'03 Raw Data'!$A$3:$A$722,0)),""))</f>
        <v/>
      </c>
      <c r="C223" s="24">
        <f>IF($A223="","",IFERROR(INDEX('03 Raw Data'!$E$3:$E$722,MATCH($A223,'03 Raw Data'!$D$3:$D$722,0)),""))</f>
        <v/>
      </c>
      <c r="D223" s="24">
        <f>IF($A223="","",IFERROR(INDEX('03 Raw Data'!$H$3:$H$722,MATCH($A223,'03 Raw Data'!$G$3:$G$722,0)),""))</f>
        <v/>
      </c>
      <c r="E223" s="24">
        <f>IF($A223="","",IFERROR(INDEX('03 Raw Data'!$K$3:$K$722,MATCH($A223,'03 Raw Data'!$J$3:$J$722,0)),""))</f>
        <v/>
      </c>
      <c r="F223" s="24">
        <f>IF($A223="","",IFERROR(INDEX('03 Raw Data'!$N$3:$N$722,MATCH($A223,'03 Raw Data'!$M$3:$M$722,0)),""))</f>
        <v/>
      </c>
      <c r="G223" s="24">
        <f>IF($A223="","",IFERROR(INDEX('03 Raw Data'!$Q$3:$Q$722,MATCH($A223,'03 Raw Data'!$P$3:$P$722,0)),""))</f>
        <v/>
      </c>
      <c r="H223" s="24">
        <f>IF($A223="","",IFERROR(INDEX('03 Raw Data'!$T$3:$T$722,MATCH($A223,'03 Raw Data'!$S$3:$S$722,0)),""))</f>
        <v/>
      </c>
    </row>
    <row r="224">
      <c r="A224" s="23">
        <f>IFERROR(IF(OR('03 Raw Data'!A222="",'03 Raw Data'!A222=0),"",'03 Raw Data'!A222),"")</f>
        <v/>
      </c>
      <c r="B224" s="24">
        <f>IF($A224="","",IFERROR(INDEX('03 Raw Data'!$B$3:$B$722,MATCH($A224,'03 Raw Data'!$A$3:$A$722,0)),""))</f>
        <v/>
      </c>
      <c r="C224" s="24">
        <f>IF($A224="","",IFERROR(INDEX('03 Raw Data'!$E$3:$E$722,MATCH($A224,'03 Raw Data'!$D$3:$D$722,0)),""))</f>
        <v/>
      </c>
      <c r="D224" s="24">
        <f>IF($A224="","",IFERROR(INDEX('03 Raw Data'!$H$3:$H$722,MATCH($A224,'03 Raw Data'!$G$3:$G$722,0)),""))</f>
        <v/>
      </c>
      <c r="E224" s="24">
        <f>IF($A224="","",IFERROR(INDEX('03 Raw Data'!$K$3:$K$722,MATCH($A224,'03 Raw Data'!$J$3:$J$722,0)),""))</f>
        <v/>
      </c>
      <c r="F224" s="24">
        <f>IF($A224="","",IFERROR(INDEX('03 Raw Data'!$N$3:$N$722,MATCH($A224,'03 Raw Data'!$M$3:$M$722,0)),""))</f>
        <v/>
      </c>
      <c r="G224" s="24">
        <f>IF($A224="","",IFERROR(INDEX('03 Raw Data'!$Q$3:$Q$722,MATCH($A224,'03 Raw Data'!$P$3:$P$722,0)),""))</f>
        <v/>
      </c>
      <c r="H224" s="24">
        <f>IF($A224="","",IFERROR(INDEX('03 Raw Data'!$T$3:$T$722,MATCH($A224,'03 Raw Data'!$S$3:$S$722,0)),""))</f>
        <v/>
      </c>
    </row>
    <row r="225">
      <c r="A225" s="23">
        <f>IFERROR(IF(OR('03 Raw Data'!A223="",'03 Raw Data'!A223=0),"",'03 Raw Data'!A223),"")</f>
        <v/>
      </c>
      <c r="B225" s="24">
        <f>IF($A225="","",IFERROR(INDEX('03 Raw Data'!$B$3:$B$722,MATCH($A225,'03 Raw Data'!$A$3:$A$722,0)),""))</f>
        <v/>
      </c>
      <c r="C225" s="24">
        <f>IF($A225="","",IFERROR(INDEX('03 Raw Data'!$E$3:$E$722,MATCH($A225,'03 Raw Data'!$D$3:$D$722,0)),""))</f>
        <v/>
      </c>
      <c r="D225" s="24">
        <f>IF($A225="","",IFERROR(INDEX('03 Raw Data'!$H$3:$H$722,MATCH($A225,'03 Raw Data'!$G$3:$G$722,0)),""))</f>
        <v/>
      </c>
      <c r="E225" s="24">
        <f>IF($A225="","",IFERROR(INDEX('03 Raw Data'!$K$3:$K$722,MATCH($A225,'03 Raw Data'!$J$3:$J$722,0)),""))</f>
        <v/>
      </c>
      <c r="F225" s="24">
        <f>IF($A225="","",IFERROR(INDEX('03 Raw Data'!$N$3:$N$722,MATCH($A225,'03 Raw Data'!$M$3:$M$722,0)),""))</f>
        <v/>
      </c>
      <c r="G225" s="24">
        <f>IF($A225="","",IFERROR(INDEX('03 Raw Data'!$Q$3:$Q$722,MATCH($A225,'03 Raw Data'!$P$3:$P$722,0)),""))</f>
        <v/>
      </c>
      <c r="H225" s="24">
        <f>IF($A225="","",IFERROR(INDEX('03 Raw Data'!$T$3:$T$722,MATCH($A225,'03 Raw Data'!$S$3:$S$722,0)),""))</f>
        <v/>
      </c>
    </row>
    <row r="226">
      <c r="A226" s="23">
        <f>IFERROR(IF(OR('03 Raw Data'!A224="",'03 Raw Data'!A224=0),"",'03 Raw Data'!A224),"")</f>
        <v/>
      </c>
      <c r="B226" s="24">
        <f>IF($A226="","",IFERROR(INDEX('03 Raw Data'!$B$3:$B$722,MATCH($A226,'03 Raw Data'!$A$3:$A$722,0)),""))</f>
        <v/>
      </c>
      <c r="C226" s="24">
        <f>IF($A226="","",IFERROR(INDEX('03 Raw Data'!$E$3:$E$722,MATCH($A226,'03 Raw Data'!$D$3:$D$722,0)),""))</f>
        <v/>
      </c>
      <c r="D226" s="24">
        <f>IF($A226="","",IFERROR(INDEX('03 Raw Data'!$H$3:$H$722,MATCH($A226,'03 Raw Data'!$G$3:$G$722,0)),""))</f>
        <v/>
      </c>
      <c r="E226" s="24">
        <f>IF($A226="","",IFERROR(INDEX('03 Raw Data'!$K$3:$K$722,MATCH($A226,'03 Raw Data'!$J$3:$J$722,0)),""))</f>
        <v/>
      </c>
      <c r="F226" s="24">
        <f>IF($A226="","",IFERROR(INDEX('03 Raw Data'!$N$3:$N$722,MATCH($A226,'03 Raw Data'!$M$3:$M$722,0)),""))</f>
        <v/>
      </c>
      <c r="G226" s="24">
        <f>IF($A226="","",IFERROR(INDEX('03 Raw Data'!$Q$3:$Q$722,MATCH($A226,'03 Raw Data'!$P$3:$P$722,0)),""))</f>
        <v/>
      </c>
      <c r="H226" s="24">
        <f>IF($A226="","",IFERROR(INDEX('03 Raw Data'!$T$3:$T$722,MATCH($A226,'03 Raw Data'!$S$3:$S$722,0)),""))</f>
        <v/>
      </c>
    </row>
    <row r="227">
      <c r="A227" s="23">
        <f>IFERROR(IF(OR('03 Raw Data'!A225="",'03 Raw Data'!A225=0),"",'03 Raw Data'!A225),"")</f>
        <v/>
      </c>
      <c r="B227" s="24">
        <f>IF($A227="","",IFERROR(INDEX('03 Raw Data'!$B$3:$B$722,MATCH($A227,'03 Raw Data'!$A$3:$A$722,0)),""))</f>
        <v/>
      </c>
      <c r="C227" s="24">
        <f>IF($A227="","",IFERROR(INDEX('03 Raw Data'!$E$3:$E$722,MATCH($A227,'03 Raw Data'!$D$3:$D$722,0)),""))</f>
        <v/>
      </c>
      <c r="D227" s="24">
        <f>IF($A227="","",IFERROR(INDEX('03 Raw Data'!$H$3:$H$722,MATCH($A227,'03 Raw Data'!$G$3:$G$722,0)),""))</f>
        <v/>
      </c>
      <c r="E227" s="24">
        <f>IF($A227="","",IFERROR(INDEX('03 Raw Data'!$K$3:$K$722,MATCH($A227,'03 Raw Data'!$J$3:$J$722,0)),""))</f>
        <v/>
      </c>
      <c r="F227" s="24">
        <f>IF($A227="","",IFERROR(INDEX('03 Raw Data'!$N$3:$N$722,MATCH($A227,'03 Raw Data'!$M$3:$M$722,0)),""))</f>
        <v/>
      </c>
      <c r="G227" s="24">
        <f>IF($A227="","",IFERROR(INDEX('03 Raw Data'!$Q$3:$Q$722,MATCH($A227,'03 Raw Data'!$P$3:$P$722,0)),""))</f>
        <v/>
      </c>
      <c r="H227" s="24">
        <f>IF($A227="","",IFERROR(INDEX('03 Raw Data'!$T$3:$T$722,MATCH($A227,'03 Raw Data'!$S$3:$S$722,0)),""))</f>
        <v/>
      </c>
    </row>
    <row r="228">
      <c r="A228" s="23">
        <f>IFERROR(IF(OR('03 Raw Data'!A226="",'03 Raw Data'!A226=0),"",'03 Raw Data'!A226),"")</f>
        <v/>
      </c>
      <c r="B228" s="24">
        <f>IF($A228="","",IFERROR(INDEX('03 Raw Data'!$B$3:$B$722,MATCH($A228,'03 Raw Data'!$A$3:$A$722,0)),""))</f>
        <v/>
      </c>
      <c r="C228" s="24">
        <f>IF($A228="","",IFERROR(INDEX('03 Raw Data'!$E$3:$E$722,MATCH($A228,'03 Raw Data'!$D$3:$D$722,0)),""))</f>
        <v/>
      </c>
      <c r="D228" s="24">
        <f>IF($A228="","",IFERROR(INDEX('03 Raw Data'!$H$3:$H$722,MATCH($A228,'03 Raw Data'!$G$3:$G$722,0)),""))</f>
        <v/>
      </c>
      <c r="E228" s="24">
        <f>IF($A228="","",IFERROR(INDEX('03 Raw Data'!$K$3:$K$722,MATCH($A228,'03 Raw Data'!$J$3:$J$722,0)),""))</f>
        <v/>
      </c>
      <c r="F228" s="24">
        <f>IF($A228="","",IFERROR(INDEX('03 Raw Data'!$N$3:$N$722,MATCH($A228,'03 Raw Data'!$M$3:$M$722,0)),""))</f>
        <v/>
      </c>
      <c r="G228" s="24">
        <f>IF($A228="","",IFERROR(INDEX('03 Raw Data'!$Q$3:$Q$722,MATCH($A228,'03 Raw Data'!$P$3:$P$722,0)),""))</f>
        <v/>
      </c>
      <c r="H228" s="24">
        <f>IF($A228="","",IFERROR(INDEX('03 Raw Data'!$T$3:$T$722,MATCH($A228,'03 Raw Data'!$S$3:$S$722,0)),""))</f>
        <v/>
      </c>
    </row>
    <row r="229">
      <c r="A229" s="23">
        <f>IFERROR(IF(OR('03 Raw Data'!A227="",'03 Raw Data'!A227=0),"",'03 Raw Data'!A227),"")</f>
        <v/>
      </c>
      <c r="B229" s="24">
        <f>IF($A229="","",IFERROR(INDEX('03 Raw Data'!$B$3:$B$722,MATCH($A229,'03 Raw Data'!$A$3:$A$722,0)),""))</f>
        <v/>
      </c>
      <c r="C229" s="24">
        <f>IF($A229="","",IFERROR(INDEX('03 Raw Data'!$E$3:$E$722,MATCH($A229,'03 Raw Data'!$D$3:$D$722,0)),""))</f>
        <v/>
      </c>
      <c r="D229" s="24">
        <f>IF($A229="","",IFERROR(INDEX('03 Raw Data'!$H$3:$H$722,MATCH($A229,'03 Raw Data'!$G$3:$G$722,0)),""))</f>
        <v/>
      </c>
      <c r="E229" s="24">
        <f>IF($A229="","",IFERROR(INDEX('03 Raw Data'!$K$3:$K$722,MATCH($A229,'03 Raw Data'!$J$3:$J$722,0)),""))</f>
        <v/>
      </c>
      <c r="F229" s="24">
        <f>IF($A229="","",IFERROR(INDEX('03 Raw Data'!$N$3:$N$722,MATCH($A229,'03 Raw Data'!$M$3:$M$722,0)),""))</f>
        <v/>
      </c>
      <c r="G229" s="24">
        <f>IF($A229="","",IFERROR(INDEX('03 Raw Data'!$Q$3:$Q$722,MATCH($A229,'03 Raw Data'!$P$3:$P$722,0)),""))</f>
        <v/>
      </c>
      <c r="H229" s="24">
        <f>IF($A229="","",IFERROR(INDEX('03 Raw Data'!$T$3:$T$722,MATCH($A229,'03 Raw Data'!$S$3:$S$722,0)),""))</f>
        <v/>
      </c>
    </row>
    <row r="230">
      <c r="A230" s="23">
        <f>IFERROR(IF(OR('03 Raw Data'!A228="",'03 Raw Data'!A228=0),"",'03 Raw Data'!A228),"")</f>
        <v/>
      </c>
      <c r="B230" s="24">
        <f>IF($A230="","",IFERROR(INDEX('03 Raw Data'!$B$3:$B$722,MATCH($A230,'03 Raw Data'!$A$3:$A$722,0)),""))</f>
        <v/>
      </c>
      <c r="C230" s="24">
        <f>IF($A230="","",IFERROR(INDEX('03 Raw Data'!$E$3:$E$722,MATCH($A230,'03 Raw Data'!$D$3:$D$722,0)),""))</f>
        <v/>
      </c>
      <c r="D230" s="24">
        <f>IF($A230="","",IFERROR(INDEX('03 Raw Data'!$H$3:$H$722,MATCH($A230,'03 Raw Data'!$G$3:$G$722,0)),""))</f>
        <v/>
      </c>
      <c r="E230" s="24">
        <f>IF($A230="","",IFERROR(INDEX('03 Raw Data'!$K$3:$K$722,MATCH($A230,'03 Raw Data'!$J$3:$J$722,0)),""))</f>
        <v/>
      </c>
      <c r="F230" s="24">
        <f>IF($A230="","",IFERROR(INDEX('03 Raw Data'!$N$3:$N$722,MATCH($A230,'03 Raw Data'!$M$3:$M$722,0)),""))</f>
        <v/>
      </c>
      <c r="G230" s="24">
        <f>IF($A230="","",IFERROR(INDEX('03 Raw Data'!$Q$3:$Q$722,MATCH($A230,'03 Raw Data'!$P$3:$P$722,0)),""))</f>
        <v/>
      </c>
      <c r="H230" s="24">
        <f>IF($A230="","",IFERROR(INDEX('03 Raw Data'!$T$3:$T$722,MATCH($A230,'03 Raw Data'!$S$3:$S$722,0)),""))</f>
        <v/>
      </c>
    </row>
    <row r="231">
      <c r="A231" s="23">
        <f>IFERROR(IF(OR('03 Raw Data'!A229="",'03 Raw Data'!A229=0),"",'03 Raw Data'!A229),"")</f>
        <v/>
      </c>
      <c r="B231" s="24">
        <f>IF($A231="","",IFERROR(INDEX('03 Raw Data'!$B$3:$B$722,MATCH($A231,'03 Raw Data'!$A$3:$A$722,0)),""))</f>
        <v/>
      </c>
      <c r="C231" s="24">
        <f>IF($A231="","",IFERROR(INDEX('03 Raw Data'!$E$3:$E$722,MATCH($A231,'03 Raw Data'!$D$3:$D$722,0)),""))</f>
        <v/>
      </c>
      <c r="D231" s="24">
        <f>IF($A231="","",IFERROR(INDEX('03 Raw Data'!$H$3:$H$722,MATCH($A231,'03 Raw Data'!$G$3:$G$722,0)),""))</f>
        <v/>
      </c>
      <c r="E231" s="24">
        <f>IF($A231="","",IFERROR(INDEX('03 Raw Data'!$K$3:$K$722,MATCH($A231,'03 Raw Data'!$J$3:$J$722,0)),""))</f>
        <v/>
      </c>
      <c r="F231" s="24">
        <f>IF($A231="","",IFERROR(INDEX('03 Raw Data'!$N$3:$N$722,MATCH($A231,'03 Raw Data'!$M$3:$M$722,0)),""))</f>
        <v/>
      </c>
      <c r="G231" s="24">
        <f>IF($A231="","",IFERROR(INDEX('03 Raw Data'!$Q$3:$Q$722,MATCH($A231,'03 Raw Data'!$P$3:$P$722,0)),""))</f>
        <v/>
      </c>
      <c r="H231" s="24">
        <f>IF($A231="","",IFERROR(INDEX('03 Raw Data'!$T$3:$T$722,MATCH($A231,'03 Raw Data'!$S$3:$S$722,0)),""))</f>
        <v/>
      </c>
    </row>
    <row r="232">
      <c r="A232" s="23">
        <f>IFERROR(IF(OR('03 Raw Data'!A230="",'03 Raw Data'!A230=0),"",'03 Raw Data'!A230),"")</f>
        <v/>
      </c>
      <c r="B232" s="24">
        <f>IF($A232="","",IFERROR(INDEX('03 Raw Data'!$B$3:$B$722,MATCH($A232,'03 Raw Data'!$A$3:$A$722,0)),""))</f>
        <v/>
      </c>
      <c r="C232" s="24">
        <f>IF($A232="","",IFERROR(INDEX('03 Raw Data'!$E$3:$E$722,MATCH($A232,'03 Raw Data'!$D$3:$D$722,0)),""))</f>
        <v/>
      </c>
      <c r="D232" s="24">
        <f>IF($A232="","",IFERROR(INDEX('03 Raw Data'!$H$3:$H$722,MATCH($A232,'03 Raw Data'!$G$3:$G$722,0)),""))</f>
        <v/>
      </c>
      <c r="E232" s="24">
        <f>IF($A232="","",IFERROR(INDEX('03 Raw Data'!$K$3:$K$722,MATCH($A232,'03 Raw Data'!$J$3:$J$722,0)),""))</f>
        <v/>
      </c>
      <c r="F232" s="24">
        <f>IF($A232="","",IFERROR(INDEX('03 Raw Data'!$N$3:$N$722,MATCH($A232,'03 Raw Data'!$M$3:$M$722,0)),""))</f>
        <v/>
      </c>
      <c r="G232" s="24">
        <f>IF($A232="","",IFERROR(INDEX('03 Raw Data'!$Q$3:$Q$722,MATCH($A232,'03 Raw Data'!$P$3:$P$722,0)),""))</f>
        <v/>
      </c>
      <c r="H232" s="24">
        <f>IF($A232="","",IFERROR(INDEX('03 Raw Data'!$T$3:$T$722,MATCH($A232,'03 Raw Data'!$S$3:$S$722,0)),""))</f>
        <v/>
      </c>
    </row>
    <row r="233">
      <c r="A233" s="23">
        <f>IFERROR(IF(OR('03 Raw Data'!A231="",'03 Raw Data'!A231=0),"",'03 Raw Data'!A231),"")</f>
        <v/>
      </c>
      <c r="B233" s="24">
        <f>IF($A233="","",IFERROR(INDEX('03 Raw Data'!$B$3:$B$722,MATCH($A233,'03 Raw Data'!$A$3:$A$722,0)),""))</f>
        <v/>
      </c>
      <c r="C233" s="24">
        <f>IF($A233="","",IFERROR(INDEX('03 Raw Data'!$E$3:$E$722,MATCH($A233,'03 Raw Data'!$D$3:$D$722,0)),""))</f>
        <v/>
      </c>
      <c r="D233" s="24">
        <f>IF($A233="","",IFERROR(INDEX('03 Raw Data'!$H$3:$H$722,MATCH($A233,'03 Raw Data'!$G$3:$G$722,0)),""))</f>
        <v/>
      </c>
      <c r="E233" s="24">
        <f>IF($A233="","",IFERROR(INDEX('03 Raw Data'!$K$3:$K$722,MATCH($A233,'03 Raw Data'!$J$3:$J$722,0)),""))</f>
        <v/>
      </c>
      <c r="F233" s="24">
        <f>IF($A233="","",IFERROR(INDEX('03 Raw Data'!$N$3:$N$722,MATCH($A233,'03 Raw Data'!$M$3:$M$722,0)),""))</f>
        <v/>
      </c>
      <c r="G233" s="24">
        <f>IF($A233="","",IFERROR(INDEX('03 Raw Data'!$Q$3:$Q$722,MATCH($A233,'03 Raw Data'!$P$3:$P$722,0)),""))</f>
        <v/>
      </c>
      <c r="H233" s="24">
        <f>IF($A233="","",IFERROR(INDEX('03 Raw Data'!$T$3:$T$722,MATCH($A233,'03 Raw Data'!$S$3:$S$722,0)),""))</f>
        <v/>
      </c>
    </row>
    <row r="234">
      <c r="A234" s="23">
        <f>IFERROR(IF(OR('03 Raw Data'!A232="",'03 Raw Data'!A232=0),"",'03 Raw Data'!A232),"")</f>
        <v/>
      </c>
      <c r="B234" s="24">
        <f>IF($A234="","",IFERROR(INDEX('03 Raw Data'!$B$3:$B$722,MATCH($A234,'03 Raw Data'!$A$3:$A$722,0)),""))</f>
        <v/>
      </c>
      <c r="C234" s="24">
        <f>IF($A234="","",IFERROR(INDEX('03 Raw Data'!$E$3:$E$722,MATCH($A234,'03 Raw Data'!$D$3:$D$722,0)),""))</f>
        <v/>
      </c>
      <c r="D234" s="24">
        <f>IF($A234="","",IFERROR(INDEX('03 Raw Data'!$H$3:$H$722,MATCH($A234,'03 Raw Data'!$G$3:$G$722,0)),""))</f>
        <v/>
      </c>
      <c r="E234" s="24">
        <f>IF($A234="","",IFERROR(INDEX('03 Raw Data'!$K$3:$K$722,MATCH($A234,'03 Raw Data'!$J$3:$J$722,0)),""))</f>
        <v/>
      </c>
      <c r="F234" s="24">
        <f>IF($A234="","",IFERROR(INDEX('03 Raw Data'!$N$3:$N$722,MATCH($A234,'03 Raw Data'!$M$3:$M$722,0)),""))</f>
        <v/>
      </c>
      <c r="G234" s="24">
        <f>IF($A234="","",IFERROR(INDEX('03 Raw Data'!$Q$3:$Q$722,MATCH($A234,'03 Raw Data'!$P$3:$P$722,0)),""))</f>
        <v/>
      </c>
      <c r="H234" s="24">
        <f>IF($A234="","",IFERROR(INDEX('03 Raw Data'!$T$3:$T$722,MATCH($A234,'03 Raw Data'!$S$3:$S$722,0)),""))</f>
        <v/>
      </c>
    </row>
    <row r="235">
      <c r="A235" s="23">
        <f>IFERROR(IF(OR('03 Raw Data'!A233="",'03 Raw Data'!A233=0),"",'03 Raw Data'!A233),"")</f>
        <v/>
      </c>
      <c r="B235" s="24">
        <f>IF($A235="","",IFERROR(INDEX('03 Raw Data'!$B$3:$B$722,MATCH($A235,'03 Raw Data'!$A$3:$A$722,0)),""))</f>
        <v/>
      </c>
      <c r="C235" s="24">
        <f>IF($A235="","",IFERROR(INDEX('03 Raw Data'!$E$3:$E$722,MATCH($A235,'03 Raw Data'!$D$3:$D$722,0)),""))</f>
        <v/>
      </c>
      <c r="D235" s="24">
        <f>IF($A235="","",IFERROR(INDEX('03 Raw Data'!$H$3:$H$722,MATCH($A235,'03 Raw Data'!$G$3:$G$722,0)),""))</f>
        <v/>
      </c>
      <c r="E235" s="24">
        <f>IF($A235="","",IFERROR(INDEX('03 Raw Data'!$K$3:$K$722,MATCH($A235,'03 Raw Data'!$J$3:$J$722,0)),""))</f>
        <v/>
      </c>
      <c r="F235" s="24">
        <f>IF($A235="","",IFERROR(INDEX('03 Raw Data'!$N$3:$N$722,MATCH($A235,'03 Raw Data'!$M$3:$M$722,0)),""))</f>
        <v/>
      </c>
      <c r="G235" s="24">
        <f>IF($A235="","",IFERROR(INDEX('03 Raw Data'!$Q$3:$Q$722,MATCH($A235,'03 Raw Data'!$P$3:$P$722,0)),""))</f>
        <v/>
      </c>
      <c r="H235" s="24">
        <f>IF($A235="","",IFERROR(INDEX('03 Raw Data'!$T$3:$T$722,MATCH($A235,'03 Raw Data'!$S$3:$S$722,0)),""))</f>
        <v/>
      </c>
    </row>
    <row r="236">
      <c r="A236" s="23">
        <f>IFERROR(IF(OR('03 Raw Data'!A234="",'03 Raw Data'!A234=0),"",'03 Raw Data'!A234),"")</f>
        <v/>
      </c>
      <c r="B236" s="24">
        <f>IF($A236="","",IFERROR(INDEX('03 Raw Data'!$B$3:$B$722,MATCH($A236,'03 Raw Data'!$A$3:$A$722,0)),""))</f>
        <v/>
      </c>
      <c r="C236" s="24">
        <f>IF($A236="","",IFERROR(INDEX('03 Raw Data'!$E$3:$E$722,MATCH($A236,'03 Raw Data'!$D$3:$D$722,0)),""))</f>
        <v/>
      </c>
      <c r="D236" s="24">
        <f>IF($A236="","",IFERROR(INDEX('03 Raw Data'!$H$3:$H$722,MATCH($A236,'03 Raw Data'!$G$3:$G$722,0)),""))</f>
        <v/>
      </c>
      <c r="E236" s="24">
        <f>IF($A236="","",IFERROR(INDEX('03 Raw Data'!$K$3:$K$722,MATCH($A236,'03 Raw Data'!$J$3:$J$722,0)),""))</f>
        <v/>
      </c>
      <c r="F236" s="24">
        <f>IF($A236="","",IFERROR(INDEX('03 Raw Data'!$N$3:$N$722,MATCH($A236,'03 Raw Data'!$M$3:$M$722,0)),""))</f>
        <v/>
      </c>
      <c r="G236" s="24">
        <f>IF($A236="","",IFERROR(INDEX('03 Raw Data'!$Q$3:$Q$722,MATCH($A236,'03 Raw Data'!$P$3:$P$722,0)),""))</f>
        <v/>
      </c>
      <c r="H236" s="24">
        <f>IF($A236="","",IFERROR(INDEX('03 Raw Data'!$T$3:$T$722,MATCH($A236,'03 Raw Data'!$S$3:$S$722,0)),""))</f>
        <v/>
      </c>
    </row>
    <row r="237">
      <c r="A237" s="23">
        <f>IFERROR(IF(OR('03 Raw Data'!A235="",'03 Raw Data'!A235=0),"",'03 Raw Data'!A235),"")</f>
        <v/>
      </c>
      <c r="B237" s="24">
        <f>IF($A237="","",IFERROR(INDEX('03 Raw Data'!$B$3:$B$722,MATCH($A237,'03 Raw Data'!$A$3:$A$722,0)),""))</f>
        <v/>
      </c>
      <c r="C237" s="24">
        <f>IF($A237="","",IFERROR(INDEX('03 Raw Data'!$E$3:$E$722,MATCH($A237,'03 Raw Data'!$D$3:$D$722,0)),""))</f>
        <v/>
      </c>
      <c r="D237" s="24">
        <f>IF($A237="","",IFERROR(INDEX('03 Raw Data'!$H$3:$H$722,MATCH($A237,'03 Raw Data'!$G$3:$G$722,0)),""))</f>
        <v/>
      </c>
      <c r="E237" s="24">
        <f>IF($A237="","",IFERROR(INDEX('03 Raw Data'!$K$3:$K$722,MATCH($A237,'03 Raw Data'!$J$3:$J$722,0)),""))</f>
        <v/>
      </c>
      <c r="F237" s="24">
        <f>IF($A237="","",IFERROR(INDEX('03 Raw Data'!$N$3:$N$722,MATCH($A237,'03 Raw Data'!$M$3:$M$722,0)),""))</f>
        <v/>
      </c>
      <c r="G237" s="24">
        <f>IF($A237="","",IFERROR(INDEX('03 Raw Data'!$Q$3:$Q$722,MATCH($A237,'03 Raw Data'!$P$3:$P$722,0)),""))</f>
        <v/>
      </c>
      <c r="H237" s="24">
        <f>IF($A237="","",IFERROR(INDEX('03 Raw Data'!$T$3:$T$722,MATCH($A237,'03 Raw Data'!$S$3:$S$722,0)),""))</f>
        <v/>
      </c>
    </row>
    <row r="238">
      <c r="A238" s="23">
        <f>IFERROR(IF(OR('03 Raw Data'!A236="",'03 Raw Data'!A236=0),"",'03 Raw Data'!A236),"")</f>
        <v/>
      </c>
      <c r="B238" s="24">
        <f>IF($A238="","",IFERROR(INDEX('03 Raw Data'!$B$3:$B$722,MATCH($A238,'03 Raw Data'!$A$3:$A$722,0)),""))</f>
        <v/>
      </c>
      <c r="C238" s="24">
        <f>IF($A238="","",IFERROR(INDEX('03 Raw Data'!$E$3:$E$722,MATCH($A238,'03 Raw Data'!$D$3:$D$722,0)),""))</f>
        <v/>
      </c>
      <c r="D238" s="24">
        <f>IF($A238="","",IFERROR(INDEX('03 Raw Data'!$H$3:$H$722,MATCH($A238,'03 Raw Data'!$G$3:$G$722,0)),""))</f>
        <v/>
      </c>
      <c r="E238" s="24">
        <f>IF($A238="","",IFERROR(INDEX('03 Raw Data'!$K$3:$K$722,MATCH($A238,'03 Raw Data'!$J$3:$J$722,0)),""))</f>
        <v/>
      </c>
      <c r="F238" s="24">
        <f>IF($A238="","",IFERROR(INDEX('03 Raw Data'!$N$3:$N$722,MATCH($A238,'03 Raw Data'!$M$3:$M$722,0)),""))</f>
        <v/>
      </c>
      <c r="G238" s="24">
        <f>IF($A238="","",IFERROR(INDEX('03 Raw Data'!$Q$3:$Q$722,MATCH($A238,'03 Raw Data'!$P$3:$P$722,0)),""))</f>
        <v/>
      </c>
      <c r="H238" s="24">
        <f>IF($A238="","",IFERROR(INDEX('03 Raw Data'!$T$3:$T$722,MATCH($A238,'03 Raw Data'!$S$3:$S$722,0)),""))</f>
        <v/>
      </c>
    </row>
    <row r="239">
      <c r="A239" s="23">
        <f>IFERROR(IF(OR('03 Raw Data'!A237="",'03 Raw Data'!A237=0),"",'03 Raw Data'!A237),"")</f>
        <v/>
      </c>
      <c r="B239" s="24">
        <f>IF($A239="","",IFERROR(INDEX('03 Raw Data'!$B$3:$B$722,MATCH($A239,'03 Raw Data'!$A$3:$A$722,0)),""))</f>
        <v/>
      </c>
      <c r="C239" s="24">
        <f>IF($A239="","",IFERROR(INDEX('03 Raw Data'!$E$3:$E$722,MATCH($A239,'03 Raw Data'!$D$3:$D$722,0)),""))</f>
        <v/>
      </c>
      <c r="D239" s="24">
        <f>IF($A239="","",IFERROR(INDEX('03 Raw Data'!$H$3:$H$722,MATCH($A239,'03 Raw Data'!$G$3:$G$722,0)),""))</f>
        <v/>
      </c>
      <c r="E239" s="24">
        <f>IF($A239="","",IFERROR(INDEX('03 Raw Data'!$K$3:$K$722,MATCH($A239,'03 Raw Data'!$J$3:$J$722,0)),""))</f>
        <v/>
      </c>
      <c r="F239" s="24">
        <f>IF($A239="","",IFERROR(INDEX('03 Raw Data'!$N$3:$N$722,MATCH($A239,'03 Raw Data'!$M$3:$M$722,0)),""))</f>
        <v/>
      </c>
      <c r="G239" s="24">
        <f>IF($A239="","",IFERROR(INDEX('03 Raw Data'!$Q$3:$Q$722,MATCH($A239,'03 Raw Data'!$P$3:$P$722,0)),""))</f>
        <v/>
      </c>
      <c r="H239" s="24">
        <f>IF($A239="","",IFERROR(INDEX('03 Raw Data'!$T$3:$T$722,MATCH($A239,'03 Raw Data'!$S$3:$S$722,0)),""))</f>
        <v/>
      </c>
    </row>
    <row r="240">
      <c r="A240" s="23">
        <f>IFERROR(IF(OR('03 Raw Data'!A238="",'03 Raw Data'!A238=0),"",'03 Raw Data'!A238),"")</f>
        <v/>
      </c>
      <c r="B240" s="24">
        <f>IF($A240="","",IFERROR(INDEX('03 Raw Data'!$B$3:$B$722,MATCH($A240,'03 Raw Data'!$A$3:$A$722,0)),""))</f>
        <v/>
      </c>
      <c r="C240" s="24">
        <f>IF($A240="","",IFERROR(INDEX('03 Raw Data'!$E$3:$E$722,MATCH($A240,'03 Raw Data'!$D$3:$D$722,0)),""))</f>
        <v/>
      </c>
      <c r="D240" s="24">
        <f>IF($A240="","",IFERROR(INDEX('03 Raw Data'!$H$3:$H$722,MATCH($A240,'03 Raw Data'!$G$3:$G$722,0)),""))</f>
        <v/>
      </c>
      <c r="E240" s="24">
        <f>IF($A240="","",IFERROR(INDEX('03 Raw Data'!$K$3:$K$722,MATCH($A240,'03 Raw Data'!$J$3:$J$722,0)),""))</f>
        <v/>
      </c>
      <c r="F240" s="24">
        <f>IF($A240="","",IFERROR(INDEX('03 Raw Data'!$N$3:$N$722,MATCH($A240,'03 Raw Data'!$M$3:$M$722,0)),""))</f>
        <v/>
      </c>
      <c r="G240" s="24">
        <f>IF($A240="","",IFERROR(INDEX('03 Raw Data'!$Q$3:$Q$722,MATCH($A240,'03 Raw Data'!$P$3:$P$722,0)),""))</f>
        <v/>
      </c>
      <c r="H240" s="24">
        <f>IF($A240="","",IFERROR(INDEX('03 Raw Data'!$T$3:$T$722,MATCH($A240,'03 Raw Data'!$S$3:$S$722,0)),""))</f>
        <v/>
      </c>
    </row>
    <row r="241">
      <c r="A241" s="23">
        <f>IFERROR(IF(OR('03 Raw Data'!A239="",'03 Raw Data'!A239=0),"",'03 Raw Data'!A239),"")</f>
        <v/>
      </c>
      <c r="B241" s="24">
        <f>IF($A241="","",IFERROR(INDEX('03 Raw Data'!$B$3:$B$722,MATCH($A241,'03 Raw Data'!$A$3:$A$722,0)),""))</f>
        <v/>
      </c>
      <c r="C241" s="24">
        <f>IF($A241="","",IFERROR(INDEX('03 Raw Data'!$E$3:$E$722,MATCH($A241,'03 Raw Data'!$D$3:$D$722,0)),""))</f>
        <v/>
      </c>
      <c r="D241" s="24">
        <f>IF($A241="","",IFERROR(INDEX('03 Raw Data'!$H$3:$H$722,MATCH($A241,'03 Raw Data'!$G$3:$G$722,0)),""))</f>
        <v/>
      </c>
      <c r="E241" s="24">
        <f>IF($A241="","",IFERROR(INDEX('03 Raw Data'!$K$3:$K$722,MATCH($A241,'03 Raw Data'!$J$3:$J$722,0)),""))</f>
        <v/>
      </c>
      <c r="F241" s="24">
        <f>IF($A241="","",IFERROR(INDEX('03 Raw Data'!$N$3:$N$722,MATCH($A241,'03 Raw Data'!$M$3:$M$722,0)),""))</f>
        <v/>
      </c>
      <c r="G241" s="24">
        <f>IF($A241="","",IFERROR(INDEX('03 Raw Data'!$Q$3:$Q$722,MATCH($A241,'03 Raw Data'!$P$3:$P$722,0)),""))</f>
        <v/>
      </c>
      <c r="H241" s="24">
        <f>IF($A241="","",IFERROR(INDEX('03 Raw Data'!$T$3:$T$722,MATCH($A241,'03 Raw Data'!$S$3:$S$722,0)),""))</f>
        <v/>
      </c>
    </row>
    <row r="242">
      <c r="A242" s="23">
        <f>IFERROR(IF(OR('03 Raw Data'!A240="",'03 Raw Data'!A240=0),"",'03 Raw Data'!A240),"")</f>
        <v/>
      </c>
      <c r="B242" s="24">
        <f>IF($A242="","",IFERROR(INDEX('03 Raw Data'!$B$3:$B$722,MATCH($A242,'03 Raw Data'!$A$3:$A$722,0)),""))</f>
        <v/>
      </c>
      <c r="C242" s="24">
        <f>IF($A242="","",IFERROR(INDEX('03 Raw Data'!$E$3:$E$722,MATCH($A242,'03 Raw Data'!$D$3:$D$722,0)),""))</f>
        <v/>
      </c>
      <c r="D242" s="24">
        <f>IF($A242="","",IFERROR(INDEX('03 Raw Data'!$H$3:$H$722,MATCH($A242,'03 Raw Data'!$G$3:$G$722,0)),""))</f>
        <v/>
      </c>
      <c r="E242" s="24">
        <f>IF($A242="","",IFERROR(INDEX('03 Raw Data'!$K$3:$K$722,MATCH($A242,'03 Raw Data'!$J$3:$J$722,0)),""))</f>
        <v/>
      </c>
      <c r="F242" s="24">
        <f>IF($A242="","",IFERROR(INDEX('03 Raw Data'!$N$3:$N$722,MATCH($A242,'03 Raw Data'!$M$3:$M$722,0)),""))</f>
        <v/>
      </c>
      <c r="G242" s="24">
        <f>IF($A242="","",IFERROR(INDEX('03 Raw Data'!$Q$3:$Q$722,MATCH($A242,'03 Raw Data'!$P$3:$P$722,0)),""))</f>
        <v/>
      </c>
      <c r="H242" s="24">
        <f>IF($A242="","",IFERROR(INDEX('03 Raw Data'!$T$3:$T$722,MATCH($A242,'03 Raw Data'!$S$3:$S$722,0)),""))</f>
        <v/>
      </c>
    </row>
    <row r="243">
      <c r="A243" s="23">
        <f>IFERROR(IF(OR('03 Raw Data'!A241="",'03 Raw Data'!A241=0),"",'03 Raw Data'!A241),"")</f>
        <v/>
      </c>
      <c r="B243" s="24">
        <f>IF($A243="","",IFERROR(INDEX('03 Raw Data'!$B$3:$B$722,MATCH($A243,'03 Raw Data'!$A$3:$A$722,0)),""))</f>
        <v/>
      </c>
      <c r="C243" s="24">
        <f>IF($A243="","",IFERROR(INDEX('03 Raw Data'!$E$3:$E$722,MATCH($A243,'03 Raw Data'!$D$3:$D$722,0)),""))</f>
        <v/>
      </c>
      <c r="D243" s="24">
        <f>IF($A243="","",IFERROR(INDEX('03 Raw Data'!$H$3:$H$722,MATCH($A243,'03 Raw Data'!$G$3:$G$722,0)),""))</f>
        <v/>
      </c>
      <c r="E243" s="24">
        <f>IF($A243="","",IFERROR(INDEX('03 Raw Data'!$K$3:$K$722,MATCH($A243,'03 Raw Data'!$J$3:$J$722,0)),""))</f>
        <v/>
      </c>
      <c r="F243" s="24">
        <f>IF($A243="","",IFERROR(INDEX('03 Raw Data'!$N$3:$N$722,MATCH($A243,'03 Raw Data'!$M$3:$M$722,0)),""))</f>
        <v/>
      </c>
      <c r="G243" s="24">
        <f>IF($A243="","",IFERROR(INDEX('03 Raw Data'!$Q$3:$Q$722,MATCH($A243,'03 Raw Data'!$P$3:$P$722,0)),""))</f>
        <v/>
      </c>
      <c r="H243" s="24">
        <f>IF($A243="","",IFERROR(INDEX('03 Raw Data'!$T$3:$T$722,MATCH($A243,'03 Raw Data'!$S$3:$S$722,0)),""))</f>
        <v/>
      </c>
    </row>
    <row r="244">
      <c r="A244" s="23">
        <f>IFERROR(IF(OR('03 Raw Data'!A242="",'03 Raw Data'!A242=0),"",'03 Raw Data'!A242),"")</f>
        <v/>
      </c>
      <c r="B244" s="24">
        <f>IF($A244="","",IFERROR(INDEX('03 Raw Data'!$B$3:$B$722,MATCH($A244,'03 Raw Data'!$A$3:$A$722,0)),""))</f>
        <v/>
      </c>
      <c r="C244" s="24">
        <f>IF($A244="","",IFERROR(INDEX('03 Raw Data'!$E$3:$E$722,MATCH($A244,'03 Raw Data'!$D$3:$D$722,0)),""))</f>
        <v/>
      </c>
      <c r="D244" s="24">
        <f>IF($A244="","",IFERROR(INDEX('03 Raw Data'!$H$3:$H$722,MATCH($A244,'03 Raw Data'!$G$3:$G$722,0)),""))</f>
        <v/>
      </c>
      <c r="E244" s="24">
        <f>IF($A244="","",IFERROR(INDEX('03 Raw Data'!$K$3:$K$722,MATCH($A244,'03 Raw Data'!$J$3:$J$722,0)),""))</f>
        <v/>
      </c>
      <c r="F244" s="24">
        <f>IF($A244="","",IFERROR(INDEX('03 Raw Data'!$N$3:$N$722,MATCH($A244,'03 Raw Data'!$M$3:$M$722,0)),""))</f>
        <v/>
      </c>
      <c r="G244" s="24">
        <f>IF($A244="","",IFERROR(INDEX('03 Raw Data'!$Q$3:$Q$722,MATCH($A244,'03 Raw Data'!$P$3:$P$722,0)),""))</f>
        <v/>
      </c>
      <c r="H244" s="24">
        <f>IF($A244="","",IFERROR(INDEX('03 Raw Data'!$T$3:$T$722,MATCH($A244,'03 Raw Data'!$S$3:$S$722,0)),""))</f>
        <v/>
      </c>
    </row>
    <row r="245">
      <c r="A245" s="23">
        <f>IFERROR(IF(OR('03 Raw Data'!A243="",'03 Raw Data'!A243=0),"",'03 Raw Data'!A243),"")</f>
        <v/>
      </c>
      <c r="B245" s="24">
        <f>IF($A245="","",IFERROR(INDEX('03 Raw Data'!$B$3:$B$722,MATCH($A245,'03 Raw Data'!$A$3:$A$722,0)),""))</f>
        <v/>
      </c>
      <c r="C245" s="24">
        <f>IF($A245="","",IFERROR(INDEX('03 Raw Data'!$E$3:$E$722,MATCH($A245,'03 Raw Data'!$D$3:$D$722,0)),""))</f>
        <v/>
      </c>
      <c r="D245" s="24">
        <f>IF($A245="","",IFERROR(INDEX('03 Raw Data'!$H$3:$H$722,MATCH($A245,'03 Raw Data'!$G$3:$G$722,0)),""))</f>
        <v/>
      </c>
      <c r="E245" s="24">
        <f>IF($A245="","",IFERROR(INDEX('03 Raw Data'!$K$3:$K$722,MATCH($A245,'03 Raw Data'!$J$3:$J$722,0)),""))</f>
        <v/>
      </c>
      <c r="F245" s="24">
        <f>IF($A245="","",IFERROR(INDEX('03 Raw Data'!$N$3:$N$722,MATCH($A245,'03 Raw Data'!$M$3:$M$722,0)),""))</f>
        <v/>
      </c>
      <c r="G245" s="24">
        <f>IF($A245="","",IFERROR(INDEX('03 Raw Data'!$Q$3:$Q$722,MATCH($A245,'03 Raw Data'!$P$3:$P$722,0)),""))</f>
        <v/>
      </c>
      <c r="H245" s="24">
        <f>IF($A245="","",IFERROR(INDEX('03 Raw Data'!$T$3:$T$722,MATCH($A245,'03 Raw Data'!$S$3:$S$722,0)),""))</f>
        <v/>
      </c>
    </row>
    <row r="246">
      <c r="A246" s="23">
        <f>IFERROR(IF(OR('03 Raw Data'!A244="",'03 Raw Data'!A244=0),"",'03 Raw Data'!A244),"")</f>
        <v/>
      </c>
      <c r="B246" s="24">
        <f>IF($A246="","",IFERROR(INDEX('03 Raw Data'!$B$3:$B$722,MATCH($A246,'03 Raw Data'!$A$3:$A$722,0)),""))</f>
        <v/>
      </c>
      <c r="C246" s="24">
        <f>IF($A246="","",IFERROR(INDEX('03 Raw Data'!$E$3:$E$722,MATCH($A246,'03 Raw Data'!$D$3:$D$722,0)),""))</f>
        <v/>
      </c>
      <c r="D246" s="24">
        <f>IF($A246="","",IFERROR(INDEX('03 Raw Data'!$H$3:$H$722,MATCH($A246,'03 Raw Data'!$G$3:$G$722,0)),""))</f>
        <v/>
      </c>
      <c r="E246" s="24">
        <f>IF($A246="","",IFERROR(INDEX('03 Raw Data'!$K$3:$K$722,MATCH($A246,'03 Raw Data'!$J$3:$J$722,0)),""))</f>
        <v/>
      </c>
      <c r="F246" s="24">
        <f>IF($A246="","",IFERROR(INDEX('03 Raw Data'!$N$3:$N$722,MATCH($A246,'03 Raw Data'!$M$3:$M$722,0)),""))</f>
        <v/>
      </c>
      <c r="G246" s="24">
        <f>IF($A246="","",IFERROR(INDEX('03 Raw Data'!$Q$3:$Q$722,MATCH($A246,'03 Raw Data'!$P$3:$P$722,0)),""))</f>
        <v/>
      </c>
      <c r="H246" s="24">
        <f>IF($A246="","",IFERROR(INDEX('03 Raw Data'!$T$3:$T$722,MATCH($A246,'03 Raw Data'!$S$3:$S$722,0)),""))</f>
        <v/>
      </c>
    </row>
    <row r="247">
      <c r="A247" s="23">
        <f>IFERROR(IF(OR('03 Raw Data'!A245="",'03 Raw Data'!A245=0),"",'03 Raw Data'!A245),"")</f>
        <v/>
      </c>
      <c r="B247" s="24">
        <f>IF($A247="","",IFERROR(INDEX('03 Raw Data'!$B$3:$B$722,MATCH($A247,'03 Raw Data'!$A$3:$A$722,0)),""))</f>
        <v/>
      </c>
      <c r="C247" s="24">
        <f>IF($A247="","",IFERROR(INDEX('03 Raw Data'!$E$3:$E$722,MATCH($A247,'03 Raw Data'!$D$3:$D$722,0)),""))</f>
        <v/>
      </c>
      <c r="D247" s="24">
        <f>IF($A247="","",IFERROR(INDEX('03 Raw Data'!$H$3:$H$722,MATCH($A247,'03 Raw Data'!$G$3:$G$722,0)),""))</f>
        <v/>
      </c>
      <c r="E247" s="24">
        <f>IF($A247="","",IFERROR(INDEX('03 Raw Data'!$K$3:$K$722,MATCH($A247,'03 Raw Data'!$J$3:$J$722,0)),""))</f>
        <v/>
      </c>
      <c r="F247" s="24">
        <f>IF($A247="","",IFERROR(INDEX('03 Raw Data'!$N$3:$N$722,MATCH($A247,'03 Raw Data'!$M$3:$M$722,0)),""))</f>
        <v/>
      </c>
      <c r="G247" s="24">
        <f>IF($A247="","",IFERROR(INDEX('03 Raw Data'!$Q$3:$Q$722,MATCH($A247,'03 Raw Data'!$P$3:$P$722,0)),""))</f>
        <v/>
      </c>
      <c r="H247" s="24">
        <f>IF($A247="","",IFERROR(INDEX('03 Raw Data'!$T$3:$T$722,MATCH($A247,'03 Raw Data'!$S$3:$S$722,0)),""))</f>
        <v/>
      </c>
    </row>
    <row r="248">
      <c r="A248" s="23">
        <f>IFERROR(IF(OR('03 Raw Data'!A246="",'03 Raw Data'!A246=0),"",'03 Raw Data'!A246),"")</f>
        <v/>
      </c>
      <c r="B248" s="24">
        <f>IF($A248="","",IFERROR(INDEX('03 Raw Data'!$B$3:$B$722,MATCH($A248,'03 Raw Data'!$A$3:$A$722,0)),""))</f>
        <v/>
      </c>
      <c r="C248" s="24">
        <f>IF($A248="","",IFERROR(INDEX('03 Raw Data'!$E$3:$E$722,MATCH($A248,'03 Raw Data'!$D$3:$D$722,0)),""))</f>
        <v/>
      </c>
      <c r="D248" s="24">
        <f>IF($A248="","",IFERROR(INDEX('03 Raw Data'!$H$3:$H$722,MATCH($A248,'03 Raw Data'!$G$3:$G$722,0)),""))</f>
        <v/>
      </c>
      <c r="E248" s="24">
        <f>IF($A248="","",IFERROR(INDEX('03 Raw Data'!$K$3:$K$722,MATCH($A248,'03 Raw Data'!$J$3:$J$722,0)),""))</f>
        <v/>
      </c>
      <c r="F248" s="24">
        <f>IF($A248="","",IFERROR(INDEX('03 Raw Data'!$N$3:$N$722,MATCH($A248,'03 Raw Data'!$M$3:$M$722,0)),""))</f>
        <v/>
      </c>
      <c r="G248" s="24">
        <f>IF($A248="","",IFERROR(INDEX('03 Raw Data'!$Q$3:$Q$722,MATCH($A248,'03 Raw Data'!$P$3:$P$722,0)),""))</f>
        <v/>
      </c>
      <c r="H248" s="24">
        <f>IF($A248="","",IFERROR(INDEX('03 Raw Data'!$T$3:$T$722,MATCH($A248,'03 Raw Data'!$S$3:$S$722,0)),""))</f>
        <v/>
      </c>
    </row>
    <row r="249">
      <c r="A249" s="23">
        <f>IFERROR(IF(OR('03 Raw Data'!A247="",'03 Raw Data'!A247=0),"",'03 Raw Data'!A247),"")</f>
        <v/>
      </c>
      <c r="B249" s="24">
        <f>IF($A249="","",IFERROR(INDEX('03 Raw Data'!$B$3:$B$722,MATCH($A249,'03 Raw Data'!$A$3:$A$722,0)),""))</f>
        <v/>
      </c>
      <c r="C249" s="24">
        <f>IF($A249="","",IFERROR(INDEX('03 Raw Data'!$E$3:$E$722,MATCH($A249,'03 Raw Data'!$D$3:$D$722,0)),""))</f>
        <v/>
      </c>
      <c r="D249" s="24">
        <f>IF($A249="","",IFERROR(INDEX('03 Raw Data'!$H$3:$H$722,MATCH($A249,'03 Raw Data'!$G$3:$G$722,0)),""))</f>
        <v/>
      </c>
      <c r="E249" s="24">
        <f>IF($A249="","",IFERROR(INDEX('03 Raw Data'!$K$3:$K$722,MATCH($A249,'03 Raw Data'!$J$3:$J$722,0)),""))</f>
        <v/>
      </c>
      <c r="F249" s="24">
        <f>IF($A249="","",IFERROR(INDEX('03 Raw Data'!$N$3:$N$722,MATCH($A249,'03 Raw Data'!$M$3:$M$722,0)),""))</f>
        <v/>
      </c>
      <c r="G249" s="24">
        <f>IF($A249="","",IFERROR(INDEX('03 Raw Data'!$Q$3:$Q$722,MATCH($A249,'03 Raw Data'!$P$3:$P$722,0)),""))</f>
        <v/>
      </c>
      <c r="H249" s="24">
        <f>IF($A249="","",IFERROR(INDEX('03 Raw Data'!$T$3:$T$722,MATCH($A249,'03 Raw Data'!$S$3:$S$722,0)),""))</f>
        <v/>
      </c>
    </row>
    <row r="250">
      <c r="A250" s="23">
        <f>IFERROR(IF(OR('03 Raw Data'!A248="",'03 Raw Data'!A248=0),"",'03 Raw Data'!A248),"")</f>
        <v/>
      </c>
      <c r="B250" s="24">
        <f>IF($A250="","",IFERROR(INDEX('03 Raw Data'!$B$3:$B$722,MATCH($A250,'03 Raw Data'!$A$3:$A$722,0)),""))</f>
        <v/>
      </c>
      <c r="C250" s="24">
        <f>IF($A250="","",IFERROR(INDEX('03 Raw Data'!$E$3:$E$722,MATCH($A250,'03 Raw Data'!$D$3:$D$722,0)),""))</f>
        <v/>
      </c>
      <c r="D250" s="24">
        <f>IF($A250="","",IFERROR(INDEX('03 Raw Data'!$H$3:$H$722,MATCH($A250,'03 Raw Data'!$G$3:$G$722,0)),""))</f>
        <v/>
      </c>
      <c r="E250" s="24">
        <f>IF($A250="","",IFERROR(INDEX('03 Raw Data'!$K$3:$K$722,MATCH($A250,'03 Raw Data'!$J$3:$J$722,0)),""))</f>
        <v/>
      </c>
      <c r="F250" s="24">
        <f>IF($A250="","",IFERROR(INDEX('03 Raw Data'!$N$3:$N$722,MATCH($A250,'03 Raw Data'!$M$3:$M$722,0)),""))</f>
        <v/>
      </c>
      <c r="G250" s="24">
        <f>IF($A250="","",IFERROR(INDEX('03 Raw Data'!$Q$3:$Q$722,MATCH($A250,'03 Raw Data'!$P$3:$P$722,0)),""))</f>
        <v/>
      </c>
      <c r="H250" s="24">
        <f>IF($A250="","",IFERROR(INDEX('03 Raw Data'!$T$3:$T$722,MATCH($A250,'03 Raw Data'!$S$3:$S$722,0)),""))</f>
        <v/>
      </c>
    </row>
    <row r="251">
      <c r="A251" s="23">
        <f>IFERROR(IF(OR('03 Raw Data'!A249="",'03 Raw Data'!A249=0),"",'03 Raw Data'!A249),"")</f>
        <v/>
      </c>
      <c r="B251" s="24">
        <f>IF($A251="","",IFERROR(INDEX('03 Raw Data'!$B$3:$B$722,MATCH($A251,'03 Raw Data'!$A$3:$A$722,0)),""))</f>
        <v/>
      </c>
      <c r="C251" s="24">
        <f>IF($A251="","",IFERROR(INDEX('03 Raw Data'!$E$3:$E$722,MATCH($A251,'03 Raw Data'!$D$3:$D$722,0)),""))</f>
        <v/>
      </c>
      <c r="D251" s="24">
        <f>IF($A251="","",IFERROR(INDEX('03 Raw Data'!$H$3:$H$722,MATCH($A251,'03 Raw Data'!$G$3:$G$722,0)),""))</f>
        <v/>
      </c>
      <c r="E251" s="24">
        <f>IF($A251="","",IFERROR(INDEX('03 Raw Data'!$K$3:$K$722,MATCH($A251,'03 Raw Data'!$J$3:$J$722,0)),""))</f>
        <v/>
      </c>
      <c r="F251" s="24">
        <f>IF($A251="","",IFERROR(INDEX('03 Raw Data'!$N$3:$N$722,MATCH($A251,'03 Raw Data'!$M$3:$M$722,0)),""))</f>
        <v/>
      </c>
      <c r="G251" s="24">
        <f>IF($A251="","",IFERROR(INDEX('03 Raw Data'!$Q$3:$Q$722,MATCH($A251,'03 Raw Data'!$P$3:$P$722,0)),""))</f>
        <v/>
      </c>
      <c r="H251" s="24">
        <f>IF($A251="","",IFERROR(INDEX('03 Raw Data'!$T$3:$T$722,MATCH($A251,'03 Raw Data'!$S$3:$S$722,0)),""))</f>
        <v/>
      </c>
    </row>
    <row r="252">
      <c r="A252" s="23">
        <f>IFERROR(IF(OR('03 Raw Data'!A250="",'03 Raw Data'!A250=0),"",'03 Raw Data'!A250),"")</f>
        <v/>
      </c>
      <c r="B252" s="24">
        <f>IF($A252="","",IFERROR(INDEX('03 Raw Data'!$B$3:$B$722,MATCH($A252,'03 Raw Data'!$A$3:$A$722,0)),""))</f>
        <v/>
      </c>
      <c r="C252" s="24">
        <f>IF($A252="","",IFERROR(INDEX('03 Raw Data'!$E$3:$E$722,MATCH($A252,'03 Raw Data'!$D$3:$D$722,0)),""))</f>
        <v/>
      </c>
      <c r="D252" s="24">
        <f>IF($A252="","",IFERROR(INDEX('03 Raw Data'!$H$3:$H$722,MATCH($A252,'03 Raw Data'!$G$3:$G$722,0)),""))</f>
        <v/>
      </c>
      <c r="E252" s="24">
        <f>IF($A252="","",IFERROR(INDEX('03 Raw Data'!$K$3:$K$722,MATCH($A252,'03 Raw Data'!$J$3:$J$722,0)),""))</f>
        <v/>
      </c>
      <c r="F252" s="24">
        <f>IF($A252="","",IFERROR(INDEX('03 Raw Data'!$N$3:$N$722,MATCH($A252,'03 Raw Data'!$M$3:$M$722,0)),""))</f>
        <v/>
      </c>
      <c r="G252" s="24">
        <f>IF($A252="","",IFERROR(INDEX('03 Raw Data'!$Q$3:$Q$722,MATCH($A252,'03 Raw Data'!$P$3:$P$722,0)),""))</f>
        <v/>
      </c>
      <c r="H252" s="24">
        <f>IF($A252="","",IFERROR(INDEX('03 Raw Data'!$T$3:$T$722,MATCH($A252,'03 Raw Data'!$S$3:$S$722,0)),""))</f>
        <v/>
      </c>
    </row>
    <row r="253">
      <c r="A253" s="23">
        <f>IFERROR(IF(OR('03 Raw Data'!A251="",'03 Raw Data'!A251=0),"",'03 Raw Data'!A251),"")</f>
        <v/>
      </c>
      <c r="B253" s="24">
        <f>IF($A253="","",IFERROR(INDEX('03 Raw Data'!$B$3:$B$722,MATCH($A253,'03 Raw Data'!$A$3:$A$722,0)),""))</f>
        <v/>
      </c>
      <c r="C253" s="24">
        <f>IF($A253="","",IFERROR(INDEX('03 Raw Data'!$E$3:$E$722,MATCH($A253,'03 Raw Data'!$D$3:$D$722,0)),""))</f>
        <v/>
      </c>
      <c r="D253" s="24">
        <f>IF($A253="","",IFERROR(INDEX('03 Raw Data'!$H$3:$H$722,MATCH($A253,'03 Raw Data'!$G$3:$G$722,0)),""))</f>
        <v/>
      </c>
      <c r="E253" s="24">
        <f>IF($A253="","",IFERROR(INDEX('03 Raw Data'!$K$3:$K$722,MATCH($A253,'03 Raw Data'!$J$3:$J$722,0)),""))</f>
        <v/>
      </c>
      <c r="F253" s="24">
        <f>IF($A253="","",IFERROR(INDEX('03 Raw Data'!$N$3:$N$722,MATCH($A253,'03 Raw Data'!$M$3:$M$722,0)),""))</f>
        <v/>
      </c>
      <c r="G253" s="24">
        <f>IF($A253="","",IFERROR(INDEX('03 Raw Data'!$Q$3:$Q$722,MATCH($A253,'03 Raw Data'!$P$3:$P$722,0)),""))</f>
        <v/>
      </c>
      <c r="H253" s="24">
        <f>IF($A253="","",IFERROR(INDEX('03 Raw Data'!$T$3:$T$722,MATCH($A253,'03 Raw Data'!$S$3:$S$722,0)),""))</f>
        <v/>
      </c>
    </row>
    <row r="254">
      <c r="A254" s="23">
        <f>IFERROR(IF(OR('03 Raw Data'!A252="",'03 Raw Data'!A252=0),"",'03 Raw Data'!A252),"")</f>
        <v/>
      </c>
      <c r="B254" s="24">
        <f>IF($A254="","",IFERROR(INDEX('03 Raw Data'!$B$3:$B$722,MATCH($A254,'03 Raw Data'!$A$3:$A$722,0)),""))</f>
        <v/>
      </c>
      <c r="C254" s="24">
        <f>IF($A254="","",IFERROR(INDEX('03 Raw Data'!$E$3:$E$722,MATCH($A254,'03 Raw Data'!$D$3:$D$722,0)),""))</f>
        <v/>
      </c>
      <c r="D254" s="24">
        <f>IF($A254="","",IFERROR(INDEX('03 Raw Data'!$H$3:$H$722,MATCH($A254,'03 Raw Data'!$G$3:$G$722,0)),""))</f>
        <v/>
      </c>
      <c r="E254" s="24">
        <f>IF($A254="","",IFERROR(INDEX('03 Raw Data'!$K$3:$K$722,MATCH($A254,'03 Raw Data'!$J$3:$J$722,0)),""))</f>
        <v/>
      </c>
      <c r="F254" s="24">
        <f>IF($A254="","",IFERROR(INDEX('03 Raw Data'!$N$3:$N$722,MATCH($A254,'03 Raw Data'!$M$3:$M$722,0)),""))</f>
        <v/>
      </c>
      <c r="G254" s="24">
        <f>IF($A254="","",IFERROR(INDEX('03 Raw Data'!$Q$3:$Q$722,MATCH($A254,'03 Raw Data'!$P$3:$P$722,0)),""))</f>
        <v/>
      </c>
      <c r="H254" s="24">
        <f>IF($A254="","",IFERROR(INDEX('03 Raw Data'!$T$3:$T$722,MATCH($A254,'03 Raw Data'!$S$3:$S$722,0)),""))</f>
        <v/>
      </c>
    </row>
    <row r="255">
      <c r="A255" s="23">
        <f>IFERROR(IF(OR('03 Raw Data'!A253="",'03 Raw Data'!A253=0),"",'03 Raw Data'!A253),"")</f>
        <v/>
      </c>
      <c r="B255" s="24">
        <f>IF($A255="","",IFERROR(INDEX('03 Raw Data'!$B$3:$B$722,MATCH($A255,'03 Raw Data'!$A$3:$A$722,0)),""))</f>
        <v/>
      </c>
      <c r="C255" s="24">
        <f>IF($A255="","",IFERROR(INDEX('03 Raw Data'!$E$3:$E$722,MATCH($A255,'03 Raw Data'!$D$3:$D$722,0)),""))</f>
        <v/>
      </c>
      <c r="D255" s="24">
        <f>IF($A255="","",IFERROR(INDEX('03 Raw Data'!$H$3:$H$722,MATCH($A255,'03 Raw Data'!$G$3:$G$722,0)),""))</f>
        <v/>
      </c>
      <c r="E255" s="24">
        <f>IF($A255="","",IFERROR(INDEX('03 Raw Data'!$K$3:$K$722,MATCH($A255,'03 Raw Data'!$J$3:$J$722,0)),""))</f>
        <v/>
      </c>
      <c r="F255" s="24">
        <f>IF($A255="","",IFERROR(INDEX('03 Raw Data'!$N$3:$N$722,MATCH($A255,'03 Raw Data'!$M$3:$M$722,0)),""))</f>
        <v/>
      </c>
      <c r="G255" s="24">
        <f>IF($A255="","",IFERROR(INDEX('03 Raw Data'!$Q$3:$Q$722,MATCH($A255,'03 Raw Data'!$P$3:$P$722,0)),""))</f>
        <v/>
      </c>
      <c r="H255" s="24">
        <f>IF($A255="","",IFERROR(INDEX('03 Raw Data'!$T$3:$T$722,MATCH($A255,'03 Raw Data'!$S$3:$S$722,0)),""))</f>
        <v/>
      </c>
    </row>
    <row r="256">
      <c r="A256" s="23">
        <f>IFERROR(IF(OR('03 Raw Data'!A254="",'03 Raw Data'!A254=0),"",'03 Raw Data'!A254),"")</f>
        <v/>
      </c>
      <c r="B256" s="24">
        <f>IF($A256="","",IFERROR(INDEX('03 Raw Data'!$B$3:$B$722,MATCH($A256,'03 Raw Data'!$A$3:$A$722,0)),""))</f>
        <v/>
      </c>
      <c r="C256" s="24">
        <f>IF($A256="","",IFERROR(INDEX('03 Raw Data'!$E$3:$E$722,MATCH($A256,'03 Raw Data'!$D$3:$D$722,0)),""))</f>
        <v/>
      </c>
      <c r="D256" s="24">
        <f>IF($A256="","",IFERROR(INDEX('03 Raw Data'!$H$3:$H$722,MATCH($A256,'03 Raw Data'!$G$3:$G$722,0)),""))</f>
        <v/>
      </c>
      <c r="E256" s="24">
        <f>IF($A256="","",IFERROR(INDEX('03 Raw Data'!$K$3:$K$722,MATCH($A256,'03 Raw Data'!$J$3:$J$722,0)),""))</f>
        <v/>
      </c>
      <c r="F256" s="24">
        <f>IF($A256="","",IFERROR(INDEX('03 Raw Data'!$N$3:$N$722,MATCH($A256,'03 Raw Data'!$M$3:$M$722,0)),""))</f>
        <v/>
      </c>
      <c r="G256" s="24">
        <f>IF($A256="","",IFERROR(INDEX('03 Raw Data'!$Q$3:$Q$722,MATCH($A256,'03 Raw Data'!$P$3:$P$722,0)),""))</f>
        <v/>
      </c>
      <c r="H256" s="24">
        <f>IF($A256="","",IFERROR(INDEX('03 Raw Data'!$T$3:$T$722,MATCH($A256,'03 Raw Data'!$S$3:$S$722,0)),""))</f>
        <v/>
      </c>
    </row>
    <row r="257">
      <c r="A257" s="23">
        <f>IFERROR(IF(OR('03 Raw Data'!A255="",'03 Raw Data'!A255=0),"",'03 Raw Data'!A255),"")</f>
        <v/>
      </c>
      <c r="B257" s="24">
        <f>IF($A257="","",IFERROR(INDEX('03 Raw Data'!$B$3:$B$722,MATCH($A257,'03 Raw Data'!$A$3:$A$722,0)),""))</f>
        <v/>
      </c>
      <c r="C257" s="24">
        <f>IF($A257="","",IFERROR(INDEX('03 Raw Data'!$E$3:$E$722,MATCH($A257,'03 Raw Data'!$D$3:$D$722,0)),""))</f>
        <v/>
      </c>
      <c r="D257" s="24">
        <f>IF($A257="","",IFERROR(INDEX('03 Raw Data'!$H$3:$H$722,MATCH($A257,'03 Raw Data'!$G$3:$G$722,0)),""))</f>
        <v/>
      </c>
      <c r="E257" s="24">
        <f>IF($A257="","",IFERROR(INDEX('03 Raw Data'!$K$3:$K$722,MATCH($A257,'03 Raw Data'!$J$3:$J$722,0)),""))</f>
        <v/>
      </c>
      <c r="F257" s="24">
        <f>IF($A257="","",IFERROR(INDEX('03 Raw Data'!$N$3:$N$722,MATCH($A257,'03 Raw Data'!$M$3:$M$722,0)),""))</f>
        <v/>
      </c>
      <c r="G257" s="24">
        <f>IF($A257="","",IFERROR(INDEX('03 Raw Data'!$Q$3:$Q$722,MATCH($A257,'03 Raw Data'!$P$3:$P$722,0)),""))</f>
        <v/>
      </c>
      <c r="H257" s="24">
        <f>IF($A257="","",IFERROR(INDEX('03 Raw Data'!$T$3:$T$722,MATCH($A257,'03 Raw Data'!$S$3:$S$722,0)),""))</f>
        <v/>
      </c>
    </row>
    <row r="258">
      <c r="A258" s="23">
        <f>IFERROR(IF(OR('03 Raw Data'!A256="",'03 Raw Data'!A256=0),"",'03 Raw Data'!A256),"")</f>
        <v/>
      </c>
      <c r="B258" s="24">
        <f>IF($A258="","",IFERROR(INDEX('03 Raw Data'!$B$3:$B$722,MATCH($A258,'03 Raw Data'!$A$3:$A$722,0)),""))</f>
        <v/>
      </c>
      <c r="C258" s="24">
        <f>IF($A258="","",IFERROR(INDEX('03 Raw Data'!$E$3:$E$722,MATCH($A258,'03 Raw Data'!$D$3:$D$722,0)),""))</f>
        <v/>
      </c>
      <c r="D258" s="24">
        <f>IF($A258="","",IFERROR(INDEX('03 Raw Data'!$H$3:$H$722,MATCH($A258,'03 Raw Data'!$G$3:$G$722,0)),""))</f>
        <v/>
      </c>
      <c r="E258" s="24">
        <f>IF($A258="","",IFERROR(INDEX('03 Raw Data'!$K$3:$K$722,MATCH($A258,'03 Raw Data'!$J$3:$J$722,0)),""))</f>
        <v/>
      </c>
      <c r="F258" s="24">
        <f>IF($A258="","",IFERROR(INDEX('03 Raw Data'!$N$3:$N$722,MATCH($A258,'03 Raw Data'!$M$3:$M$722,0)),""))</f>
        <v/>
      </c>
      <c r="G258" s="24">
        <f>IF($A258="","",IFERROR(INDEX('03 Raw Data'!$Q$3:$Q$722,MATCH($A258,'03 Raw Data'!$P$3:$P$722,0)),""))</f>
        <v/>
      </c>
      <c r="H258" s="24">
        <f>IF($A258="","",IFERROR(INDEX('03 Raw Data'!$T$3:$T$722,MATCH($A258,'03 Raw Data'!$S$3:$S$722,0)),""))</f>
        <v/>
      </c>
    </row>
    <row r="259">
      <c r="A259" s="23">
        <f>IFERROR(IF(OR('03 Raw Data'!A257="",'03 Raw Data'!A257=0),"",'03 Raw Data'!A257),"")</f>
        <v/>
      </c>
      <c r="B259" s="24">
        <f>IF($A259="","",IFERROR(INDEX('03 Raw Data'!$B$3:$B$722,MATCH($A259,'03 Raw Data'!$A$3:$A$722,0)),""))</f>
        <v/>
      </c>
      <c r="C259" s="24">
        <f>IF($A259="","",IFERROR(INDEX('03 Raw Data'!$E$3:$E$722,MATCH($A259,'03 Raw Data'!$D$3:$D$722,0)),""))</f>
        <v/>
      </c>
      <c r="D259" s="24">
        <f>IF($A259="","",IFERROR(INDEX('03 Raw Data'!$H$3:$H$722,MATCH($A259,'03 Raw Data'!$G$3:$G$722,0)),""))</f>
        <v/>
      </c>
      <c r="E259" s="24">
        <f>IF($A259="","",IFERROR(INDEX('03 Raw Data'!$K$3:$K$722,MATCH($A259,'03 Raw Data'!$J$3:$J$722,0)),""))</f>
        <v/>
      </c>
      <c r="F259" s="24">
        <f>IF($A259="","",IFERROR(INDEX('03 Raw Data'!$N$3:$N$722,MATCH($A259,'03 Raw Data'!$M$3:$M$722,0)),""))</f>
        <v/>
      </c>
      <c r="G259" s="24">
        <f>IF($A259="","",IFERROR(INDEX('03 Raw Data'!$Q$3:$Q$722,MATCH($A259,'03 Raw Data'!$P$3:$P$722,0)),""))</f>
        <v/>
      </c>
      <c r="H259" s="24">
        <f>IF($A259="","",IFERROR(INDEX('03 Raw Data'!$T$3:$T$722,MATCH($A259,'03 Raw Data'!$S$3:$S$722,0)),""))</f>
        <v/>
      </c>
    </row>
    <row r="260">
      <c r="A260" s="23">
        <f>IFERROR(IF(OR('03 Raw Data'!A258="",'03 Raw Data'!A258=0),"",'03 Raw Data'!A258),"")</f>
        <v/>
      </c>
      <c r="B260" s="24">
        <f>IF($A260="","",IFERROR(INDEX('03 Raw Data'!$B$3:$B$722,MATCH($A260,'03 Raw Data'!$A$3:$A$722,0)),""))</f>
        <v/>
      </c>
      <c r="C260" s="24">
        <f>IF($A260="","",IFERROR(INDEX('03 Raw Data'!$E$3:$E$722,MATCH($A260,'03 Raw Data'!$D$3:$D$722,0)),""))</f>
        <v/>
      </c>
      <c r="D260" s="24">
        <f>IF($A260="","",IFERROR(INDEX('03 Raw Data'!$H$3:$H$722,MATCH($A260,'03 Raw Data'!$G$3:$G$722,0)),""))</f>
        <v/>
      </c>
      <c r="E260" s="24">
        <f>IF($A260="","",IFERROR(INDEX('03 Raw Data'!$K$3:$K$722,MATCH($A260,'03 Raw Data'!$J$3:$J$722,0)),""))</f>
        <v/>
      </c>
      <c r="F260" s="24">
        <f>IF($A260="","",IFERROR(INDEX('03 Raw Data'!$N$3:$N$722,MATCH($A260,'03 Raw Data'!$M$3:$M$722,0)),""))</f>
        <v/>
      </c>
      <c r="G260" s="24">
        <f>IF($A260="","",IFERROR(INDEX('03 Raw Data'!$Q$3:$Q$722,MATCH($A260,'03 Raw Data'!$P$3:$P$722,0)),""))</f>
        <v/>
      </c>
      <c r="H260" s="24">
        <f>IF($A260="","",IFERROR(INDEX('03 Raw Data'!$T$3:$T$722,MATCH($A260,'03 Raw Data'!$S$3:$S$722,0)),""))</f>
        <v/>
      </c>
    </row>
    <row r="261">
      <c r="A261" s="23">
        <f>IFERROR(IF(OR('03 Raw Data'!A259="",'03 Raw Data'!A259=0),"",'03 Raw Data'!A259),"")</f>
        <v/>
      </c>
      <c r="B261" s="24">
        <f>IF($A261="","",IFERROR(INDEX('03 Raw Data'!$B$3:$B$722,MATCH($A261,'03 Raw Data'!$A$3:$A$722,0)),""))</f>
        <v/>
      </c>
      <c r="C261" s="24">
        <f>IF($A261="","",IFERROR(INDEX('03 Raw Data'!$E$3:$E$722,MATCH($A261,'03 Raw Data'!$D$3:$D$722,0)),""))</f>
        <v/>
      </c>
      <c r="D261" s="24">
        <f>IF($A261="","",IFERROR(INDEX('03 Raw Data'!$H$3:$H$722,MATCH($A261,'03 Raw Data'!$G$3:$G$722,0)),""))</f>
        <v/>
      </c>
      <c r="E261" s="24">
        <f>IF($A261="","",IFERROR(INDEX('03 Raw Data'!$K$3:$K$722,MATCH($A261,'03 Raw Data'!$J$3:$J$722,0)),""))</f>
        <v/>
      </c>
      <c r="F261" s="24">
        <f>IF($A261="","",IFERROR(INDEX('03 Raw Data'!$N$3:$N$722,MATCH($A261,'03 Raw Data'!$M$3:$M$722,0)),""))</f>
        <v/>
      </c>
      <c r="G261" s="24">
        <f>IF($A261="","",IFERROR(INDEX('03 Raw Data'!$Q$3:$Q$722,MATCH($A261,'03 Raw Data'!$P$3:$P$722,0)),""))</f>
        <v/>
      </c>
      <c r="H261" s="24">
        <f>IF($A261="","",IFERROR(INDEX('03 Raw Data'!$T$3:$T$722,MATCH($A261,'03 Raw Data'!$S$3:$S$722,0)),""))</f>
        <v/>
      </c>
    </row>
    <row r="262">
      <c r="A262" s="23">
        <f>IFERROR(IF(OR('03 Raw Data'!A260="",'03 Raw Data'!A260=0),"",'03 Raw Data'!A260),"")</f>
        <v/>
      </c>
      <c r="B262" s="24">
        <f>IF($A262="","",IFERROR(INDEX('03 Raw Data'!$B$3:$B$722,MATCH($A262,'03 Raw Data'!$A$3:$A$722,0)),""))</f>
        <v/>
      </c>
      <c r="C262" s="24">
        <f>IF($A262="","",IFERROR(INDEX('03 Raw Data'!$E$3:$E$722,MATCH($A262,'03 Raw Data'!$D$3:$D$722,0)),""))</f>
        <v/>
      </c>
      <c r="D262" s="24">
        <f>IF($A262="","",IFERROR(INDEX('03 Raw Data'!$H$3:$H$722,MATCH($A262,'03 Raw Data'!$G$3:$G$722,0)),""))</f>
        <v/>
      </c>
      <c r="E262" s="24">
        <f>IF($A262="","",IFERROR(INDEX('03 Raw Data'!$K$3:$K$722,MATCH($A262,'03 Raw Data'!$J$3:$J$722,0)),""))</f>
        <v/>
      </c>
      <c r="F262" s="24">
        <f>IF($A262="","",IFERROR(INDEX('03 Raw Data'!$N$3:$N$722,MATCH($A262,'03 Raw Data'!$M$3:$M$722,0)),""))</f>
        <v/>
      </c>
      <c r="G262" s="24">
        <f>IF($A262="","",IFERROR(INDEX('03 Raw Data'!$Q$3:$Q$722,MATCH($A262,'03 Raw Data'!$P$3:$P$722,0)),""))</f>
        <v/>
      </c>
      <c r="H262" s="24">
        <f>IF($A262="","",IFERROR(INDEX('03 Raw Data'!$T$3:$T$722,MATCH($A262,'03 Raw Data'!$S$3:$S$722,0)),""))</f>
        <v/>
      </c>
    </row>
    <row r="263">
      <c r="A263" s="23">
        <f>IFERROR(IF(OR('03 Raw Data'!A261="",'03 Raw Data'!A261=0),"",'03 Raw Data'!A261),"")</f>
        <v/>
      </c>
      <c r="B263" s="24">
        <f>IF($A263="","",IFERROR(INDEX('03 Raw Data'!$B$3:$B$722,MATCH($A263,'03 Raw Data'!$A$3:$A$722,0)),""))</f>
        <v/>
      </c>
      <c r="C263" s="24">
        <f>IF($A263="","",IFERROR(INDEX('03 Raw Data'!$E$3:$E$722,MATCH($A263,'03 Raw Data'!$D$3:$D$722,0)),""))</f>
        <v/>
      </c>
      <c r="D263" s="24">
        <f>IF($A263="","",IFERROR(INDEX('03 Raw Data'!$H$3:$H$722,MATCH($A263,'03 Raw Data'!$G$3:$G$722,0)),""))</f>
        <v/>
      </c>
      <c r="E263" s="24">
        <f>IF($A263="","",IFERROR(INDEX('03 Raw Data'!$K$3:$K$722,MATCH($A263,'03 Raw Data'!$J$3:$J$722,0)),""))</f>
        <v/>
      </c>
      <c r="F263" s="24">
        <f>IF($A263="","",IFERROR(INDEX('03 Raw Data'!$N$3:$N$722,MATCH($A263,'03 Raw Data'!$M$3:$M$722,0)),""))</f>
        <v/>
      </c>
      <c r="G263" s="24">
        <f>IF($A263="","",IFERROR(INDEX('03 Raw Data'!$Q$3:$Q$722,MATCH($A263,'03 Raw Data'!$P$3:$P$722,0)),""))</f>
        <v/>
      </c>
      <c r="H263" s="24">
        <f>IF($A263="","",IFERROR(INDEX('03 Raw Data'!$T$3:$T$722,MATCH($A263,'03 Raw Data'!$S$3:$S$722,0)),""))</f>
        <v/>
      </c>
    </row>
    <row r="264">
      <c r="A264" s="23">
        <f>IFERROR(IF(OR('03 Raw Data'!A262="",'03 Raw Data'!A262=0),"",'03 Raw Data'!A262),"")</f>
        <v/>
      </c>
      <c r="B264" s="24">
        <f>IF($A264="","",IFERROR(INDEX('03 Raw Data'!$B$3:$B$722,MATCH($A264,'03 Raw Data'!$A$3:$A$722,0)),""))</f>
        <v/>
      </c>
      <c r="C264" s="24">
        <f>IF($A264="","",IFERROR(INDEX('03 Raw Data'!$E$3:$E$722,MATCH($A264,'03 Raw Data'!$D$3:$D$722,0)),""))</f>
        <v/>
      </c>
      <c r="D264" s="24">
        <f>IF($A264="","",IFERROR(INDEX('03 Raw Data'!$H$3:$H$722,MATCH($A264,'03 Raw Data'!$G$3:$G$722,0)),""))</f>
        <v/>
      </c>
      <c r="E264" s="24">
        <f>IF($A264="","",IFERROR(INDEX('03 Raw Data'!$K$3:$K$722,MATCH($A264,'03 Raw Data'!$J$3:$J$722,0)),""))</f>
        <v/>
      </c>
      <c r="F264" s="24">
        <f>IF($A264="","",IFERROR(INDEX('03 Raw Data'!$N$3:$N$722,MATCH($A264,'03 Raw Data'!$M$3:$M$722,0)),""))</f>
        <v/>
      </c>
      <c r="G264" s="24">
        <f>IF($A264="","",IFERROR(INDEX('03 Raw Data'!$Q$3:$Q$722,MATCH($A264,'03 Raw Data'!$P$3:$P$722,0)),""))</f>
        <v/>
      </c>
      <c r="H264" s="24">
        <f>IF($A264="","",IFERROR(INDEX('03 Raw Data'!$T$3:$T$722,MATCH($A264,'03 Raw Data'!$S$3:$S$722,0)),""))</f>
        <v/>
      </c>
    </row>
    <row r="265">
      <c r="A265" s="23">
        <f>IFERROR(IF(OR('03 Raw Data'!A263="",'03 Raw Data'!A263=0),"",'03 Raw Data'!A263),"")</f>
        <v/>
      </c>
      <c r="B265" s="24">
        <f>IF($A265="","",IFERROR(INDEX('03 Raw Data'!$B$3:$B$722,MATCH($A265,'03 Raw Data'!$A$3:$A$722,0)),""))</f>
        <v/>
      </c>
      <c r="C265" s="24">
        <f>IF($A265="","",IFERROR(INDEX('03 Raw Data'!$E$3:$E$722,MATCH($A265,'03 Raw Data'!$D$3:$D$722,0)),""))</f>
        <v/>
      </c>
      <c r="D265" s="24">
        <f>IF($A265="","",IFERROR(INDEX('03 Raw Data'!$H$3:$H$722,MATCH($A265,'03 Raw Data'!$G$3:$G$722,0)),""))</f>
        <v/>
      </c>
      <c r="E265" s="24">
        <f>IF($A265="","",IFERROR(INDEX('03 Raw Data'!$K$3:$K$722,MATCH($A265,'03 Raw Data'!$J$3:$J$722,0)),""))</f>
        <v/>
      </c>
      <c r="F265" s="24">
        <f>IF($A265="","",IFERROR(INDEX('03 Raw Data'!$N$3:$N$722,MATCH($A265,'03 Raw Data'!$M$3:$M$722,0)),""))</f>
        <v/>
      </c>
      <c r="G265" s="24">
        <f>IF($A265="","",IFERROR(INDEX('03 Raw Data'!$Q$3:$Q$722,MATCH($A265,'03 Raw Data'!$P$3:$P$722,0)),""))</f>
        <v/>
      </c>
      <c r="H265" s="24">
        <f>IF($A265="","",IFERROR(INDEX('03 Raw Data'!$T$3:$T$722,MATCH($A265,'03 Raw Data'!$S$3:$S$722,0)),""))</f>
        <v/>
      </c>
    </row>
    <row r="266">
      <c r="A266" s="23">
        <f>IFERROR(IF(OR('03 Raw Data'!A264="",'03 Raw Data'!A264=0),"",'03 Raw Data'!A264),"")</f>
        <v/>
      </c>
      <c r="B266" s="24">
        <f>IF($A266="","",IFERROR(INDEX('03 Raw Data'!$B$3:$B$722,MATCH($A266,'03 Raw Data'!$A$3:$A$722,0)),""))</f>
        <v/>
      </c>
      <c r="C266" s="24">
        <f>IF($A266="","",IFERROR(INDEX('03 Raw Data'!$E$3:$E$722,MATCH($A266,'03 Raw Data'!$D$3:$D$722,0)),""))</f>
        <v/>
      </c>
      <c r="D266" s="24">
        <f>IF($A266="","",IFERROR(INDEX('03 Raw Data'!$H$3:$H$722,MATCH($A266,'03 Raw Data'!$G$3:$G$722,0)),""))</f>
        <v/>
      </c>
      <c r="E266" s="24">
        <f>IF($A266="","",IFERROR(INDEX('03 Raw Data'!$K$3:$K$722,MATCH($A266,'03 Raw Data'!$J$3:$J$722,0)),""))</f>
        <v/>
      </c>
      <c r="F266" s="24">
        <f>IF($A266="","",IFERROR(INDEX('03 Raw Data'!$N$3:$N$722,MATCH($A266,'03 Raw Data'!$M$3:$M$722,0)),""))</f>
        <v/>
      </c>
      <c r="G266" s="24">
        <f>IF($A266="","",IFERROR(INDEX('03 Raw Data'!$Q$3:$Q$722,MATCH($A266,'03 Raw Data'!$P$3:$P$722,0)),""))</f>
        <v/>
      </c>
      <c r="H266" s="24">
        <f>IF($A266="","",IFERROR(INDEX('03 Raw Data'!$T$3:$T$722,MATCH($A266,'03 Raw Data'!$S$3:$S$722,0)),""))</f>
        <v/>
      </c>
    </row>
    <row r="267">
      <c r="A267" s="23">
        <f>IFERROR(IF(OR('03 Raw Data'!A265="",'03 Raw Data'!A265=0),"",'03 Raw Data'!A265),"")</f>
        <v/>
      </c>
      <c r="B267" s="24">
        <f>IF($A267="","",IFERROR(INDEX('03 Raw Data'!$B$3:$B$722,MATCH($A267,'03 Raw Data'!$A$3:$A$722,0)),""))</f>
        <v/>
      </c>
      <c r="C267" s="24">
        <f>IF($A267="","",IFERROR(INDEX('03 Raw Data'!$E$3:$E$722,MATCH($A267,'03 Raw Data'!$D$3:$D$722,0)),""))</f>
        <v/>
      </c>
      <c r="D267" s="24">
        <f>IF($A267="","",IFERROR(INDEX('03 Raw Data'!$H$3:$H$722,MATCH($A267,'03 Raw Data'!$G$3:$G$722,0)),""))</f>
        <v/>
      </c>
      <c r="E267" s="24">
        <f>IF($A267="","",IFERROR(INDEX('03 Raw Data'!$K$3:$K$722,MATCH($A267,'03 Raw Data'!$J$3:$J$722,0)),""))</f>
        <v/>
      </c>
      <c r="F267" s="24">
        <f>IF($A267="","",IFERROR(INDEX('03 Raw Data'!$N$3:$N$722,MATCH($A267,'03 Raw Data'!$M$3:$M$722,0)),""))</f>
        <v/>
      </c>
      <c r="G267" s="24">
        <f>IF($A267="","",IFERROR(INDEX('03 Raw Data'!$Q$3:$Q$722,MATCH($A267,'03 Raw Data'!$P$3:$P$722,0)),""))</f>
        <v/>
      </c>
      <c r="H267" s="24">
        <f>IF($A267="","",IFERROR(INDEX('03 Raw Data'!$T$3:$T$722,MATCH($A267,'03 Raw Data'!$S$3:$S$722,0)),""))</f>
        <v/>
      </c>
    </row>
    <row r="268">
      <c r="A268" s="23">
        <f>IFERROR(IF(OR('03 Raw Data'!A266="",'03 Raw Data'!A266=0),"",'03 Raw Data'!A266),"")</f>
        <v/>
      </c>
      <c r="B268" s="24">
        <f>IF($A268="","",IFERROR(INDEX('03 Raw Data'!$B$3:$B$722,MATCH($A268,'03 Raw Data'!$A$3:$A$722,0)),""))</f>
        <v/>
      </c>
      <c r="C268" s="24">
        <f>IF($A268="","",IFERROR(INDEX('03 Raw Data'!$E$3:$E$722,MATCH($A268,'03 Raw Data'!$D$3:$D$722,0)),""))</f>
        <v/>
      </c>
      <c r="D268" s="24">
        <f>IF($A268="","",IFERROR(INDEX('03 Raw Data'!$H$3:$H$722,MATCH($A268,'03 Raw Data'!$G$3:$G$722,0)),""))</f>
        <v/>
      </c>
      <c r="E268" s="24">
        <f>IF($A268="","",IFERROR(INDEX('03 Raw Data'!$K$3:$K$722,MATCH($A268,'03 Raw Data'!$J$3:$J$722,0)),""))</f>
        <v/>
      </c>
      <c r="F268" s="24">
        <f>IF($A268="","",IFERROR(INDEX('03 Raw Data'!$N$3:$N$722,MATCH($A268,'03 Raw Data'!$M$3:$M$722,0)),""))</f>
        <v/>
      </c>
      <c r="G268" s="24">
        <f>IF($A268="","",IFERROR(INDEX('03 Raw Data'!$Q$3:$Q$722,MATCH($A268,'03 Raw Data'!$P$3:$P$722,0)),""))</f>
        <v/>
      </c>
      <c r="H268" s="24">
        <f>IF($A268="","",IFERROR(INDEX('03 Raw Data'!$T$3:$T$722,MATCH($A268,'03 Raw Data'!$S$3:$S$722,0)),""))</f>
        <v/>
      </c>
    </row>
    <row r="269">
      <c r="A269" s="23">
        <f>IFERROR(IF(OR('03 Raw Data'!A267="",'03 Raw Data'!A267=0),"",'03 Raw Data'!A267),"")</f>
        <v/>
      </c>
      <c r="B269" s="24">
        <f>IF($A269="","",IFERROR(INDEX('03 Raw Data'!$B$3:$B$722,MATCH($A269,'03 Raw Data'!$A$3:$A$722,0)),""))</f>
        <v/>
      </c>
      <c r="C269" s="24">
        <f>IF($A269="","",IFERROR(INDEX('03 Raw Data'!$E$3:$E$722,MATCH($A269,'03 Raw Data'!$D$3:$D$722,0)),""))</f>
        <v/>
      </c>
      <c r="D269" s="24">
        <f>IF($A269="","",IFERROR(INDEX('03 Raw Data'!$H$3:$H$722,MATCH($A269,'03 Raw Data'!$G$3:$G$722,0)),""))</f>
        <v/>
      </c>
      <c r="E269" s="24">
        <f>IF($A269="","",IFERROR(INDEX('03 Raw Data'!$K$3:$K$722,MATCH($A269,'03 Raw Data'!$J$3:$J$722,0)),""))</f>
        <v/>
      </c>
      <c r="F269" s="24">
        <f>IF($A269="","",IFERROR(INDEX('03 Raw Data'!$N$3:$N$722,MATCH($A269,'03 Raw Data'!$M$3:$M$722,0)),""))</f>
        <v/>
      </c>
      <c r="G269" s="24">
        <f>IF($A269="","",IFERROR(INDEX('03 Raw Data'!$Q$3:$Q$722,MATCH($A269,'03 Raw Data'!$P$3:$P$722,0)),""))</f>
        <v/>
      </c>
      <c r="H269" s="24">
        <f>IF($A269="","",IFERROR(INDEX('03 Raw Data'!$T$3:$T$722,MATCH($A269,'03 Raw Data'!$S$3:$S$722,0)),""))</f>
        <v/>
      </c>
    </row>
    <row r="270">
      <c r="A270" s="23">
        <f>IFERROR(IF(OR('03 Raw Data'!A268="",'03 Raw Data'!A268=0),"",'03 Raw Data'!A268),"")</f>
        <v/>
      </c>
      <c r="B270" s="24">
        <f>IF($A270="","",IFERROR(INDEX('03 Raw Data'!$B$3:$B$722,MATCH($A270,'03 Raw Data'!$A$3:$A$722,0)),""))</f>
        <v/>
      </c>
      <c r="C270" s="24">
        <f>IF($A270="","",IFERROR(INDEX('03 Raw Data'!$E$3:$E$722,MATCH($A270,'03 Raw Data'!$D$3:$D$722,0)),""))</f>
        <v/>
      </c>
      <c r="D270" s="24">
        <f>IF($A270="","",IFERROR(INDEX('03 Raw Data'!$H$3:$H$722,MATCH($A270,'03 Raw Data'!$G$3:$G$722,0)),""))</f>
        <v/>
      </c>
      <c r="E270" s="24">
        <f>IF($A270="","",IFERROR(INDEX('03 Raw Data'!$K$3:$K$722,MATCH($A270,'03 Raw Data'!$J$3:$J$722,0)),""))</f>
        <v/>
      </c>
      <c r="F270" s="24">
        <f>IF($A270="","",IFERROR(INDEX('03 Raw Data'!$N$3:$N$722,MATCH($A270,'03 Raw Data'!$M$3:$M$722,0)),""))</f>
        <v/>
      </c>
      <c r="G270" s="24">
        <f>IF($A270="","",IFERROR(INDEX('03 Raw Data'!$Q$3:$Q$722,MATCH($A270,'03 Raw Data'!$P$3:$P$722,0)),""))</f>
        <v/>
      </c>
      <c r="H270" s="24">
        <f>IF($A270="","",IFERROR(INDEX('03 Raw Data'!$T$3:$T$722,MATCH($A270,'03 Raw Data'!$S$3:$S$722,0)),""))</f>
        <v/>
      </c>
    </row>
    <row r="271">
      <c r="A271" s="23">
        <f>IFERROR(IF(OR('03 Raw Data'!A269="",'03 Raw Data'!A269=0),"",'03 Raw Data'!A269),"")</f>
        <v/>
      </c>
      <c r="B271" s="24">
        <f>IF($A271="","",IFERROR(INDEX('03 Raw Data'!$B$3:$B$722,MATCH($A271,'03 Raw Data'!$A$3:$A$722,0)),""))</f>
        <v/>
      </c>
      <c r="C271" s="24">
        <f>IF($A271="","",IFERROR(INDEX('03 Raw Data'!$E$3:$E$722,MATCH($A271,'03 Raw Data'!$D$3:$D$722,0)),""))</f>
        <v/>
      </c>
      <c r="D271" s="24">
        <f>IF($A271="","",IFERROR(INDEX('03 Raw Data'!$H$3:$H$722,MATCH($A271,'03 Raw Data'!$G$3:$G$722,0)),""))</f>
        <v/>
      </c>
      <c r="E271" s="24">
        <f>IF($A271="","",IFERROR(INDEX('03 Raw Data'!$K$3:$K$722,MATCH($A271,'03 Raw Data'!$J$3:$J$722,0)),""))</f>
        <v/>
      </c>
      <c r="F271" s="24">
        <f>IF($A271="","",IFERROR(INDEX('03 Raw Data'!$N$3:$N$722,MATCH($A271,'03 Raw Data'!$M$3:$M$722,0)),""))</f>
        <v/>
      </c>
      <c r="G271" s="24">
        <f>IF($A271="","",IFERROR(INDEX('03 Raw Data'!$Q$3:$Q$722,MATCH($A271,'03 Raw Data'!$P$3:$P$722,0)),""))</f>
        <v/>
      </c>
      <c r="H271" s="24">
        <f>IF($A271="","",IFERROR(INDEX('03 Raw Data'!$T$3:$T$722,MATCH($A271,'03 Raw Data'!$S$3:$S$722,0)),""))</f>
        <v/>
      </c>
    </row>
    <row r="272">
      <c r="A272" s="23">
        <f>IFERROR(IF(OR('03 Raw Data'!A270="",'03 Raw Data'!A270=0),"",'03 Raw Data'!A270),"")</f>
        <v/>
      </c>
      <c r="B272" s="24">
        <f>IF($A272="","",IFERROR(INDEX('03 Raw Data'!$B$3:$B$722,MATCH($A272,'03 Raw Data'!$A$3:$A$722,0)),""))</f>
        <v/>
      </c>
      <c r="C272" s="24">
        <f>IF($A272="","",IFERROR(INDEX('03 Raw Data'!$E$3:$E$722,MATCH($A272,'03 Raw Data'!$D$3:$D$722,0)),""))</f>
        <v/>
      </c>
      <c r="D272" s="24">
        <f>IF($A272="","",IFERROR(INDEX('03 Raw Data'!$H$3:$H$722,MATCH($A272,'03 Raw Data'!$G$3:$G$722,0)),""))</f>
        <v/>
      </c>
      <c r="E272" s="24">
        <f>IF($A272="","",IFERROR(INDEX('03 Raw Data'!$K$3:$K$722,MATCH($A272,'03 Raw Data'!$J$3:$J$722,0)),""))</f>
        <v/>
      </c>
      <c r="F272" s="24">
        <f>IF($A272="","",IFERROR(INDEX('03 Raw Data'!$N$3:$N$722,MATCH($A272,'03 Raw Data'!$M$3:$M$722,0)),""))</f>
        <v/>
      </c>
      <c r="G272" s="24">
        <f>IF($A272="","",IFERROR(INDEX('03 Raw Data'!$Q$3:$Q$722,MATCH($A272,'03 Raw Data'!$P$3:$P$722,0)),""))</f>
        <v/>
      </c>
      <c r="H272" s="24">
        <f>IF($A272="","",IFERROR(INDEX('03 Raw Data'!$T$3:$T$722,MATCH($A272,'03 Raw Data'!$S$3:$S$722,0)),""))</f>
        <v/>
      </c>
    </row>
    <row r="273">
      <c r="A273" s="23">
        <f>IFERROR(IF(OR('03 Raw Data'!A271="",'03 Raw Data'!A271=0),"",'03 Raw Data'!A271),"")</f>
        <v/>
      </c>
      <c r="B273" s="24">
        <f>IF($A273="","",IFERROR(INDEX('03 Raw Data'!$B$3:$B$722,MATCH($A273,'03 Raw Data'!$A$3:$A$722,0)),""))</f>
        <v/>
      </c>
      <c r="C273" s="24">
        <f>IF($A273="","",IFERROR(INDEX('03 Raw Data'!$E$3:$E$722,MATCH($A273,'03 Raw Data'!$D$3:$D$722,0)),""))</f>
        <v/>
      </c>
      <c r="D273" s="24">
        <f>IF($A273="","",IFERROR(INDEX('03 Raw Data'!$H$3:$H$722,MATCH($A273,'03 Raw Data'!$G$3:$G$722,0)),""))</f>
        <v/>
      </c>
      <c r="E273" s="24">
        <f>IF($A273="","",IFERROR(INDEX('03 Raw Data'!$K$3:$K$722,MATCH($A273,'03 Raw Data'!$J$3:$J$722,0)),""))</f>
        <v/>
      </c>
      <c r="F273" s="24">
        <f>IF($A273="","",IFERROR(INDEX('03 Raw Data'!$N$3:$N$722,MATCH($A273,'03 Raw Data'!$M$3:$M$722,0)),""))</f>
        <v/>
      </c>
      <c r="G273" s="24">
        <f>IF($A273="","",IFERROR(INDEX('03 Raw Data'!$Q$3:$Q$722,MATCH($A273,'03 Raw Data'!$P$3:$P$722,0)),""))</f>
        <v/>
      </c>
      <c r="H273" s="24">
        <f>IF($A273="","",IFERROR(INDEX('03 Raw Data'!$T$3:$T$722,MATCH($A273,'03 Raw Data'!$S$3:$S$722,0)),""))</f>
        <v/>
      </c>
    </row>
    <row r="274">
      <c r="A274" s="23">
        <f>IFERROR(IF(OR('03 Raw Data'!A272="",'03 Raw Data'!A272=0),"",'03 Raw Data'!A272),"")</f>
        <v/>
      </c>
      <c r="B274" s="24">
        <f>IF($A274="","",IFERROR(INDEX('03 Raw Data'!$B$3:$B$722,MATCH($A274,'03 Raw Data'!$A$3:$A$722,0)),""))</f>
        <v/>
      </c>
      <c r="C274" s="24">
        <f>IF($A274="","",IFERROR(INDEX('03 Raw Data'!$E$3:$E$722,MATCH($A274,'03 Raw Data'!$D$3:$D$722,0)),""))</f>
        <v/>
      </c>
      <c r="D274" s="24">
        <f>IF($A274="","",IFERROR(INDEX('03 Raw Data'!$H$3:$H$722,MATCH($A274,'03 Raw Data'!$G$3:$G$722,0)),""))</f>
        <v/>
      </c>
      <c r="E274" s="24">
        <f>IF($A274="","",IFERROR(INDEX('03 Raw Data'!$K$3:$K$722,MATCH($A274,'03 Raw Data'!$J$3:$J$722,0)),""))</f>
        <v/>
      </c>
      <c r="F274" s="24">
        <f>IF($A274="","",IFERROR(INDEX('03 Raw Data'!$N$3:$N$722,MATCH($A274,'03 Raw Data'!$M$3:$M$722,0)),""))</f>
        <v/>
      </c>
      <c r="G274" s="24">
        <f>IF($A274="","",IFERROR(INDEX('03 Raw Data'!$Q$3:$Q$722,MATCH($A274,'03 Raw Data'!$P$3:$P$722,0)),""))</f>
        <v/>
      </c>
      <c r="H274" s="24">
        <f>IF($A274="","",IFERROR(INDEX('03 Raw Data'!$T$3:$T$722,MATCH($A274,'03 Raw Data'!$S$3:$S$722,0)),""))</f>
        <v/>
      </c>
    </row>
    <row r="275">
      <c r="A275" s="23">
        <f>IFERROR(IF(OR('03 Raw Data'!A273="",'03 Raw Data'!A273=0),"",'03 Raw Data'!A273),"")</f>
        <v/>
      </c>
      <c r="B275" s="24">
        <f>IF($A275="","",IFERROR(INDEX('03 Raw Data'!$B$3:$B$722,MATCH($A275,'03 Raw Data'!$A$3:$A$722,0)),""))</f>
        <v/>
      </c>
      <c r="C275" s="24">
        <f>IF($A275="","",IFERROR(INDEX('03 Raw Data'!$E$3:$E$722,MATCH($A275,'03 Raw Data'!$D$3:$D$722,0)),""))</f>
        <v/>
      </c>
      <c r="D275" s="24">
        <f>IF($A275="","",IFERROR(INDEX('03 Raw Data'!$H$3:$H$722,MATCH($A275,'03 Raw Data'!$G$3:$G$722,0)),""))</f>
        <v/>
      </c>
      <c r="E275" s="24">
        <f>IF($A275="","",IFERROR(INDEX('03 Raw Data'!$K$3:$K$722,MATCH($A275,'03 Raw Data'!$J$3:$J$722,0)),""))</f>
        <v/>
      </c>
      <c r="F275" s="24">
        <f>IF($A275="","",IFERROR(INDEX('03 Raw Data'!$N$3:$N$722,MATCH($A275,'03 Raw Data'!$M$3:$M$722,0)),""))</f>
        <v/>
      </c>
      <c r="G275" s="24">
        <f>IF($A275="","",IFERROR(INDEX('03 Raw Data'!$Q$3:$Q$722,MATCH($A275,'03 Raw Data'!$P$3:$P$722,0)),""))</f>
        <v/>
      </c>
      <c r="H275" s="24">
        <f>IF($A275="","",IFERROR(INDEX('03 Raw Data'!$T$3:$T$722,MATCH($A275,'03 Raw Data'!$S$3:$S$722,0)),""))</f>
        <v/>
      </c>
    </row>
    <row r="276">
      <c r="A276" s="23">
        <f>IFERROR(IF(OR('03 Raw Data'!A274="",'03 Raw Data'!A274=0),"",'03 Raw Data'!A274),"")</f>
        <v/>
      </c>
      <c r="B276" s="24">
        <f>IF($A276="","",IFERROR(INDEX('03 Raw Data'!$B$3:$B$722,MATCH($A276,'03 Raw Data'!$A$3:$A$722,0)),""))</f>
        <v/>
      </c>
      <c r="C276" s="24">
        <f>IF($A276="","",IFERROR(INDEX('03 Raw Data'!$E$3:$E$722,MATCH($A276,'03 Raw Data'!$D$3:$D$722,0)),""))</f>
        <v/>
      </c>
      <c r="D276" s="24">
        <f>IF($A276="","",IFERROR(INDEX('03 Raw Data'!$H$3:$H$722,MATCH($A276,'03 Raw Data'!$G$3:$G$722,0)),""))</f>
        <v/>
      </c>
      <c r="E276" s="24">
        <f>IF($A276="","",IFERROR(INDEX('03 Raw Data'!$K$3:$K$722,MATCH($A276,'03 Raw Data'!$J$3:$J$722,0)),""))</f>
        <v/>
      </c>
      <c r="F276" s="24">
        <f>IF($A276="","",IFERROR(INDEX('03 Raw Data'!$N$3:$N$722,MATCH($A276,'03 Raw Data'!$M$3:$M$722,0)),""))</f>
        <v/>
      </c>
      <c r="G276" s="24">
        <f>IF($A276="","",IFERROR(INDEX('03 Raw Data'!$Q$3:$Q$722,MATCH($A276,'03 Raw Data'!$P$3:$P$722,0)),""))</f>
        <v/>
      </c>
      <c r="H276" s="24">
        <f>IF($A276="","",IFERROR(INDEX('03 Raw Data'!$T$3:$T$722,MATCH($A276,'03 Raw Data'!$S$3:$S$722,0)),""))</f>
        <v/>
      </c>
    </row>
    <row r="277">
      <c r="A277" s="23">
        <f>IFERROR(IF(OR('03 Raw Data'!A275="",'03 Raw Data'!A275=0),"",'03 Raw Data'!A275),"")</f>
        <v/>
      </c>
      <c r="B277" s="24">
        <f>IF($A277="","",IFERROR(INDEX('03 Raw Data'!$B$3:$B$722,MATCH($A277,'03 Raw Data'!$A$3:$A$722,0)),""))</f>
        <v/>
      </c>
      <c r="C277" s="24">
        <f>IF($A277="","",IFERROR(INDEX('03 Raw Data'!$E$3:$E$722,MATCH($A277,'03 Raw Data'!$D$3:$D$722,0)),""))</f>
        <v/>
      </c>
      <c r="D277" s="24">
        <f>IF($A277="","",IFERROR(INDEX('03 Raw Data'!$H$3:$H$722,MATCH($A277,'03 Raw Data'!$G$3:$G$722,0)),""))</f>
        <v/>
      </c>
      <c r="E277" s="24">
        <f>IF($A277="","",IFERROR(INDEX('03 Raw Data'!$K$3:$K$722,MATCH($A277,'03 Raw Data'!$J$3:$J$722,0)),""))</f>
        <v/>
      </c>
      <c r="F277" s="24">
        <f>IF($A277="","",IFERROR(INDEX('03 Raw Data'!$N$3:$N$722,MATCH($A277,'03 Raw Data'!$M$3:$M$722,0)),""))</f>
        <v/>
      </c>
      <c r="G277" s="24">
        <f>IF($A277="","",IFERROR(INDEX('03 Raw Data'!$Q$3:$Q$722,MATCH($A277,'03 Raw Data'!$P$3:$P$722,0)),""))</f>
        <v/>
      </c>
      <c r="H277" s="24">
        <f>IF($A277="","",IFERROR(INDEX('03 Raw Data'!$T$3:$T$722,MATCH($A277,'03 Raw Data'!$S$3:$S$722,0)),""))</f>
        <v/>
      </c>
    </row>
    <row r="278">
      <c r="A278" s="23">
        <f>IFERROR(IF(OR('03 Raw Data'!A276="",'03 Raw Data'!A276=0),"",'03 Raw Data'!A276),"")</f>
        <v/>
      </c>
      <c r="B278" s="24">
        <f>IF($A278="","",IFERROR(INDEX('03 Raw Data'!$B$3:$B$722,MATCH($A278,'03 Raw Data'!$A$3:$A$722,0)),""))</f>
        <v/>
      </c>
      <c r="C278" s="24">
        <f>IF($A278="","",IFERROR(INDEX('03 Raw Data'!$E$3:$E$722,MATCH($A278,'03 Raw Data'!$D$3:$D$722,0)),""))</f>
        <v/>
      </c>
      <c r="D278" s="24">
        <f>IF($A278="","",IFERROR(INDEX('03 Raw Data'!$H$3:$H$722,MATCH($A278,'03 Raw Data'!$G$3:$G$722,0)),""))</f>
        <v/>
      </c>
      <c r="E278" s="24">
        <f>IF($A278="","",IFERROR(INDEX('03 Raw Data'!$K$3:$K$722,MATCH($A278,'03 Raw Data'!$J$3:$J$722,0)),""))</f>
        <v/>
      </c>
      <c r="F278" s="24">
        <f>IF($A278="","",IFERROR(INDEX('03 Raw Data'!$N$3:$N$722,MATCH($A278,'03 Raw Data'!$M$3:$M$722,0)),""))</f>
        <v/>
      </c>
      <c r="G278" s="24">
        <f>IF($A278="","",IFERROR(INDEX('03 Raw Data'!$Q$3:$Q$722,MATCH($A278,'03 Raw Data'!$P$3:$P$722,0)),""))</f>
        <v/>
      </c>
      <c r="H278" s="24">
        <f>IF($A278="","",IFERROR(INDEX('03 Raw Data'!$T$3:$T$722,MATCH($A278,'03 Raw Data'!$S$3:$S$722,0)),""))</f>
        <v/>
      </c>
    </row>
    <row r="279">
      <c r="A279" s="23">
        <f>IFERROR(IF(OR('03 Raw Data'!A277="",'03 Raw Data'!A277=0),"",'03 Raw Data'!A277),"")</f>
        <v/>
      </c>
      <c r="B279" s="24">
        <f>IF($A279="","",IFERROR(INDEX('03 Raw Data'!$B$3:$B$722,MATCH($A279,'03 Raw Data'!$A$3:$A$722,0)),""))</f>
        <v/>
      </c>
      <c r="C279" s="24">
        <f>IF($A279="","",IFERROR(INDEX('03 Raw Data'!$E$3:$E$722,MATCH($A279,'03 Raw Data'!$D$3:$D$722,0)),""))</f>
        <v/>
      </c>
      <c r="D279" s="24">
        <f>IF($A279="","",IFERROR(INDEX('03 Raw Data'!$H$3:$H$722,MATCH($A279,'03 Raw Data'!$G$3:$G$722,0)),""))</f>
        <v/>
      </c>
      <c r="E279" s="24">
        <f>IF($A279="","",IFERROR(INDEX('03 Raw Data'!$K$3:$K$722,MATCH($A279,'03 Raw Data'!$J$3:$J$722,0)),""))</f>
        <v/>
      </c>
      <c r="F279" s="24">
        <f>IF($A279="","",IFERROR(INDEX('03 Raw Data'!$N$3:$N$722,MATCH($A279,'03 Raw Data'!$M$3:$M$722,0)),""))</f>
        <v/>
      </c>
      <c r="G279" s="24">
        <f>IF($A279="","",IFERROR(INDEX('03 Raw Data'!$Q$3:$Q$722,MATCH($A279,'03 Raw Data'!$P$3:$P$722,0)),""))</f>
        <v/>
      </c>
      <c r="H279" s="24">
        <f>IF($A279="","",IFERROR(INDEX('03 Raw Data'!$T$3:$T$722,MATCH($A279,'03 Raw Data'!$S$3:$S$722,0)),""))</f>
        <v/>
      </c>
    </row>
    <row r="280">
      <c r="A280" s="23">
        <f>IFERROR(IF(OR('03 Raw Data'!A278="",'03 Raw Data'!A278=0),"",'03 Raw Data'!A278),"")</f>
        <v/>
      </c>
      <c r="B280" s="24">
        <f>IF($A280="","",IFERROR(INDEX('03 Raw Data'!$B$3:$B$722,MATCH($A280,'03 Raw Data'!$A$3:$A$722,0)),""))</f>
        <v/>
      </c>
      <c r="C280" s="24">
        <f>IF($A280="","",IFERROR(INDEX('03 Raw Data'!$E$3:$E$722,MATCH($A280,'03 Raw Data'!$D$3:$D$722,0)),""))</f>
        <v/>
      </c>
      <c r="D280" s="24">
        <f>IF($A280="","",IFERROR(INDEX('03 Raw Data'!$H$3:$H$722,MATCH($A280,'03 Raw Data'!$G$3:$G$722,0)),""))</f>
        <v/>
      </c>
      <c r="E280" s="24">
        <f>IF($A280="","",IFERROR(INDEX('03 Raw Data'!$K$3:$K$722,MATCH($A280,'03 Raw Data'!$J$3:$J$722,0)),""))</f>
        <v/>
      </c>
      <c r="F280" s="24">
        <f>IF($A280="","",IFERROR(INDEX('03 Raw Data'!$N$3:$N$722,MATCH($A280,'03 Raw Data'!$M$3:$M$722,0)),""))</f>
        <v/>
      </c>
      <c r="G280" s="24">
        <f>IF($A280="","",IFERROR(INDEX('03 Raw Data'!$Q$3:$Q$722,MATCH($A280,'03 Raw Data'!$P$3:$P$722,0)),""))</f>
        <v/>
      </c>
      <c r="H280" s="24">
        <f>IF($A280="","",IFERROR(INDEX('03 Raw Data'!$T$3:$T$722,MATCH($A280,'03 Raw Data'!$S$3:$S$722,0)),""))</f>
        <v/>
      </c>
    </row>
    <row r="281">
      <c r="A281" s="23">
        <f>IFERROR(IF(OR('03 Raw Data'!A279="",'03 Raw Data'!A279=0),"",'03 Raw Data'!A279),"")</f>
        <v/>
      </c>
      <c r="B281" s="24">
        <f>IF($A281="","",IFERROR(INDEX('03 Raw Data'!$B$3:$B$722,MATCH($A281,'03 Raw Data'!$A$3:$A$722,0)),""))</f>
        <v/>
      </c>
      <c r="C281" s="24">
        <f>IF($A281="","",IFERROR(INDEX('03 Raw Data'!$E$3:$E$722,MATCH($A281,'03 Raw Data'!$D$3:$D$722,0)),""))</f>
        <v/>
      </c>
      <c r="D281" s="24">
        <f>IF($A281="","",IFERROR(INDEX('03 Raw Data'!$H$3:$H$722,MATCH($A281,'03 Raw Data'!$G$3:$G$722,0)),""))</f>
        <v/>
      </c>
      <c r="E281" s="24">
        <f>IF($A281="","",IFERROR(INDEX('03 Raw Data'!$K$3:$K$722,MATCH($A281,'03 Raw Data'!$J$3:$J$722,0)),""))</f>
        <v/>
      </c>
      <c r="F281" s="24">
        <f>IF($A281="","",IFERROR(INDEX('03 Raw Data'!$N$3:$N$722,MATCH($A281,'03 Raw Data'!$M$3:$M$722,0)),""))</f>
        <v/>
      </c>
      <c r="G281" s="24">
        <f>IF($A281="","",IFERROR(INDEX('03 Raw Data'!$Q$3:$Q$722,MATCH($A281,'03 Raw Data'!$P$3:$P$722,0)),""))</f>
        <v/>
      </c>
      <c r="H281" s="24">
        <f>IF($A281="","",IFERROR(INDEX('03 Raw Data'!$T$3:$T$722,MATCH($A281,'03 Raw Data'!$S$3:$S$722,0)),""))</f>
        <v/>
      </c>
    </row>
    <row r="282">
      <c r="A282" s="23">
        <f>IFERROR(IF(OR('03 Raw Data'!A280="",'03 Raw Data'!A280=0),"",'03 Raw Data'!A280),"")</f>
        <v/>
      </c>
      <c r="B282" s="24">
        <f>IF($A282="","",IFERROR(INDEX('03 Raw Data'!$B$3:$B$722,MATCH($A282,'03 Raw Data'!$A$3:$A$722,0)),""))</f>
        <v/>
      </c>
      <c r="C282" s="24">
        <f>IF($A282="","",IFERROR(INDEX('03 Raw Data'!$E$3:$E$722,MATCH($A282,'03 Raw Data'!$D$3:$D$722,0)),""))</f>
        <v/>
      </c>
      <c r="D282" s="24">
        <f>IF($A282="","",IFERROR(INDEX('03 Raw Data'!$H$3:$H$722,MATCH($A282,'03 Raw Data'!$G$3:$G$722,0)),""))</f>
        <v/>
      </c>
      <c r="E282" s="24">
        <f>IF($A282="","",IFERROR(INDEX('03 Raw Data'!$K$3:$K$722,MATCH($A282,'03 Raw Data'!$J$3:$J$722,0)),""))</f>
        <v/>
      </c>
      <c r="F282" s="24">
        <f>IF($A282="","",IFERROR(INDEX('03 Raw Data'!$N$3:$N$722,MATCH($A282,'03 Raw Data'!$M$3:$M$722,0)),""))</f>
        <v/>
      </c>
      <c r="G282" s="24">
        <f>IF($A282="","",IFERROR(INDEX('03 Raw Data'!$Q$3:$Q$722,MATCH($A282,'03 Raw Data'!$P$3:$P$722,0)),""))</f>
        <v/>
      </c>
      <c r="H282" s="24">
        <f>IF($A282="","",IFERROR(INDEX('03 Raw Data'!$T$3:$T$722,MATCH($A282,'03 Raw Data'!$S$3:$S$722,0)),""))</f>
        <v/>
      </c>
    </row>
    <row r="283">
      <c r="A283" s="23">
        <f>IFERROR(IF(OR('03 Raw Data'!A281="",'03 Raw Data'!A281=0),"",'03 Raw Data'!A281),"")</f>
        <v/>
      </c>
      <c r="B283" s="24">
        <f>IF($A283="","",IFERROR(INDEX('03 Raw Data'!$B$3:$B$722,MATCH($A283,'03 Raw Data'!$A$3:$A$722,0)),""))</f>
        <v/>
      </c>
      <c r="C283" s="24">
        <f>IF($A283="","",IFERROR(INDEX('03 Raw Data'!$E$3:$E$722,MATCH($A283,'03 Raw Data'!$D$3:$D$722,0)),""))</f>
        <v/>
      </c>
      <c r="D283" s="24">
        <f>IF($A283="","",IFERROR(INDEX('03 Raw Data'!$H$3:$H$722,MATCH($A283,'03 Raw Data'!$G$3:$G$722,0)),""))</f>
        <v/>
      </c>
      <c r="E283" s="24">
        <f>IF($A283="","",IFERROR(INDEX('03 Raw Data'!$K$3:$K$722,MATCH($A283,'03 Raw Data'!$J$3:$J$722,0)),""))</f>
        <v/>
      </c>
      <c r="F283" s="24">
        <f>IF($A283="","",IFERROR(INDEX('03 Raw Data'!$N$3:$N$722,MATCH($A283,'03 Raw Data'!$M$3:$M$722,0)),""))</f>
        <v/>
      </c>
      <c r="G283" s="24">
        <f>IF($A283="","",IFERROR(INDEX('03 Raw Data'!$Q$3:$Q$722,MATCH($A283,'03 Raw Data'!$P$3:$P$722,0)),""))</f>
        <v/>
      </c>
      <c r="H283" s="24">
        <f>IF($A283="","",IFERROR(INDEX('03 Raw Data'!$T$3:$T$722,MATCH($A283,'03 Raw Data'!$S$3:$S$722,0)),""))</f>
        <v/>
      </c>
    </row>
    <row r="284">
      <c r="A284" s="23">
        <f>IFERROR(IF(OR('03 Raw Data'!A282="",'03 Raw Data'!A282=0),"",'03 Raw Data'!A282),"")</f>
        <v/>
      </c>
      <c r="B284" s="24">
        <f>IF($A284="","",IFERROR(INDEX('03 Raw Data'!$B$3:$B$722,MATCH($A284,'03 Raw Data'!$A$3:$A$722,0)),""))</f>
        <v/>
      </c>
      <c r="C284" s="24">
        <f>IF($A284="","",IFERROR(INDEX('03 Raw Data'!$E$3:$E$722,MATCH($A284,'03 Raw Data'!$D$3:$D$722,0)),""))</f>
        <v/>
      </c>
      <c r="D284" s="24">
        <f>IF($A284="","",IFERROR(INDEX('03 Raw Data'!$H$3:$H$722,MATCH($A284,'03 Raw Data'!$G$3:$G$722,0)),""))</f>
        <v/>
      </c>
      <c r="E284" s="24">
        <f>IF($A284="","",IFERROR(INDEX('03 Raw Data'!$K$3:$K$722,MATCH($A284,'03 Raw Data'!$J$3:$J$722,0)),""))</f>
        <v/>
      </c>
      <c r="F284" s="24">
        <f>IF($A284="","",IFERROR(INDEX('03 Raw Data'!$N$3:$N$722,MATCH($A284,'03 Raw Data'!$M$3:$M$722,0)),""))</f>
        <v/>
      </c>
      <c r="G284" s="24">
        <f>IF($A284="","",IFERROR(INDEX('03 Raw Data'!$Q$3:$Q$722,MATCH($A284,'03 Raw Data'!$P$3:$P$722,0)),""))</f>
        <v/>
      </c>
      <c r="H284" s="24">
        <f>IF($A284="","",IFERROR(INDEX('03 Raw Data'!$T$3:$T$722,MATCH($A284,'03 Raw Data'!$S$3:$S$722,0)),""))</f>
        <v/>
      </c>
    </row>
    <row r="285">
      <c r="A285" s="23">
        <f>IFERROR(IF(OR('03 Raw Data'!A283="",'03 Raw Data'!A283=0),"",'03 Raw Data'!A283),"")</f>
        <v/>
      </c>
      <c r="B285" s="24">
        <f>IF($A285="","",IFERROR(INDEX('03 Raw Data'!$B$3:$B$722,MATCH($A285,'03 Raw Data'!$A$3:$A$722,0)),""))</f>
        <v/>
      </c>
      <c r="C285" s="24">
        <f>IF($A285="","",IFERROR(INDEX('03 Raw Data'!$E$3:$E$722,MATCH($A285,'03 Raw Data'!$D$3:$D$722,0)),""))</f>
        <v/>
      </c>
      <c r="D285" s="24">
        <f>IF($A285="","",IFERROR(INDEX('03 Raw Data'!$H$3:$H$722,MATCH($A285,'03 Raw Data'!$G$3:$G$722,0)),""))</f>
        <v/>
      </c>
      <c r="E285" s="24">
        <f>IF($A285="","",IFERROR(INDEX('03 Raw Data'!$K$3:$K$722,MATCH($A285,'03 Raw Data'!$J$3:$J$722,0)),""))</f>
        <v/>
      </c>
      <c r="F285" s="24">
        <f>IF($A285="","",IFERROR(INDEX('03 Raw Data'!$N$3:$N$722,MATCH($A285,'03 Raw Data'!$M$3:$M$722,0)),""))</f>
        <v/>
      </c>
      <c r="G285" s="24">
        <f>IF($A285="","",IFERROR(INDEX('03 Raw Data'!$Q$3:$Q$722,MATCH($A285,'03 Raw Data'!$P$3:$P$722,0)),""))</f>
        <v/>
      </c>
      <c r="H285" s="24">
        <f>IF($A285="","",IFERROR(INDEX('03 Raw Data'!$T$3:$T$722,MATCH($A285,'03 Raw Data'!$S$3:$S$722,0)),""))</f>
        <v/>
      </c>
    </row>
    <row r="286">
      <c r="A286" s="23">
        <f>IFERROR(IF(OR('03 Raw Data'!A284="",'03 Raw Data'!A284=0),"",'03 Raw Data'!A284),"")</f>
        <v/>
      </c>
      <c r="B286" s="24">
        <f>IF($A286="","",IFERROR(INDEX('03 Raw Data'!$B$3:$B$722,MATCH($A286,'03 Raw Data'!$A$3:$A$722,0)),""))</f>
        <v/>
      </c>
      <c r="C286" s="24">
        <f>IF($A286="","",IFERROR(INDEX('03 Raw Data'!$E$3:$E$722,MATCH($A286,'03 Raw Data'!$D$3:$D$722,0)),""))</f>
        <v/>
      </c>
      <c r="D286" s="24">
        <f>IF($A286="","",IFERROR(INDEX('03 Raw Data'!$H$3:$H$722,MATCH($A286,'03 Raw Data'!$G$3:$G$722,0)),""))</f>
        <v/>
      </c>
      <c r="E286" s="24">
        <f>IF($A286="","",IFERROR(INDEX('03 Raw Data'!$K$3:$K$722,MATCH($A286,'03 Raw Data'!$J$3:$J$722,0)),""))</f>
        <v/>
      </c>
      <c r="F286" s="24">
        <f>IF($A286="","",IFERROR(INDEX('03 Raw Data'!$N$3:$N$722,MATCH($A286,'03 Raw Data'!$M$3:$M$722,0)),""))</f>
        <v/>
      </c>
      <c r="G286" s="24">
        <f>IF($A286="","",IFERROR(INDEX('03 Raw Data'!$Q$3:$Q$722,MATCH($A286,'03 Raw Data'!$P$3:$P$722,0)),""))</f>
        <v/>
      </c>
      <c r="H286" s="24">
        <f>IF($A286="","",IFERROR(INDEX('03 Raw Data'!$T$3:$T$722,MATCH($A286,'03 Raw Data'!$S$3:$S$722,0)),""))</f>
        <v/>
      </c>
    </row>
    <row r="287">
      <c r="A287" s="23">
        <f>IFERROR(IF(OR('03 Raw Data'!A285="",'03 Raw Data'!A285=0),"",'03 Raw Data'!A285),"")</f>
        <v/>
      </c>
      <c r="B287" s="24">
        <f>IF($A287="","",IFERROR(INDEX('03 Raw Data'!$B$3:$B$722,MATCH($A287,'03 Raw Data'!$A$3:$A$722,0)),""))</f>
        <v/>
      </c>
      <c r="C287" s="24">
        <f>IF($A287="","",IFERROR(INDEX('03 Raw Data'!$E$3:$E$722,MATCH($A287,'03 Raw Data'!$D$3:$D$722,0)),""))</f>
        <v/>
      </c>
      <c r="D287" s="24">
        <f>IF($A287="","",IFERROR(INDEX('03 Raw Data'!$H$3:$H$722,MATCH($A287,'03 Raw Data'!$G$3:$G$722,0)),""))</f>
        <v/>
      </c>
      <c r="E287" s="24">
        <f>IF($A287="","",IFERROR(INDEX('03 Raw Data'!$K$3:$K$722,MATCH($A287,'03 Raw Data'!$J$3:$J$722,0)),""))</f>
        <v/>
      </c>
      <c r="F287" s="24">
        <f>IF($A287="","",IFERROR(INDEX('03 Raw Data'!$N$3:$N$722,MATCH($A287,'03 Raw Data'!$M$3:$M$722,0)),""))</f>
        <v/>
      </c>
      <c r="G287" s="24">
        <f>IF($A287="","",IFERROR(INDEX('03 Raw Data'!$Q$3:$Q$722,MATCH($A287,'03 Raw Data'!$P$3:$P$722,0)),""))</f>
        <v/>
      </c>
      <c r="H287" s="24">
        <f>IF($A287="","",IFERROR(INDEX('03 Raw Data'!$T$3:$T$722,MATCH($A287,'03 Raw Data'!$S$3:$S$722,0)),""))</f>
        <v/>
      </c>
    </row>
    <row r="288">
      <c r="A288" s="23">
        <f>IFERROR(IF(OR('03 Raw Data'!A286="",'03 Raw Data'!A286=0),"",'03 Raw Data'!A286),"")</f>
        <v/>
      </c>
      <c r="B288" s="24">
        <f>IF($A288="","",IFERROR(INDEX('03 Raw Data'!$B$3:$B$722,MATCH($A288,'03 Raw Data'!$A$3:$A$722,0)),""))</f>
        <v/>
      </c>
      <c r="C288" s="24">
        <f>IF($A288="","",IFERROR(INDEX('03 Raw Data'!$E$3:$E$722,MATCH($A288,'03 Raw Data'!$D$3:$D$722,0)),""))</f>
        <v/>
      </c>
      <c r="D288" s="24">
        <f>IF($A288="","",IFERROR(INDEX('03 Raw Data'!$H$3:$H$722,MATCH($A288,'03 Raw Data'!$G$3:$G$722,0)),""))</f>
        <v/>
      </c>
      <c r="E288" s="24">
        <f>IF($A288="","",IFERROR(INDEX('03 Raw Data'!$K$3:$K$722,MATCH($A288,'03 Raw Data'!$J$3:$J$722,0)),""))</f>
        <v/>
      </c>
      <c r="F288" s="24">
        <f>IF($A288="","",IFERROR(INDEX('03 Raw Data'!$N$3:$N$722,MATCH($A288,'03 Raw Data'!$M$3:$M$722,0)),""))</f>
        <v/>
      </c>
      <c r="G288" s="24">
        <f>IF($A288="","",IFERROR(INDEX('03 Raw Data'!$Q$3:$Q$722,MATCH($A288,'03 Raw Data'!$P$3:$P$722,0)),""))</f>
        <v/>
      </c>
      <c r="H288" s="24">
        <f>IF($A288="","",IFERROR(INDEX('03 Raw Data'!$T$3:$T$722,MATCH($A288,'03 Raw Data'!$S$3:$S$722,0)),""))</f>
        <v/>
      </c>
    </row>
    <row r="289">
      <c r="A289" s="23">
        <f>IFERROR(IF(OR('03 Raw Data'!A287="",'03 Raw Data'!A287=0),"",'03 Raw Data'!A287),"")</f>
        <v/>
      </c>
      <c r="B289" s="24">
        <f>IF($A289="","",IFERROR(INDEX('03 Raw Data'!$B$3:$B$722,MATCH($A289,'03 Raw Data'!$A$3:$A$722,0)),""))</f>
        <v/>
      </c>
      <c r="C289" s="24">
        <f>IF($A289="","",IFERROR(INDEX('03 Raw Data'!$E$3:$E$722,MATCH($A289,'03 Raw Data'!$D$3:$D$722,0)),""))</f>
        <v/>
      </c>
      <c r="D289" s="24">
        <f>IF($A289="","",IFERROR(INDEX('03 Raw Data'!$H$3:$H$722,MATCH($A289,'03 Raw Data'!$G$3:$G$722,0)),""))</f>
        <v/>
      </c>
      <c r="E289" s="24">
        <f>IF($A289="","",IFERROR(INDEX('03 Raw Data'!$K$3:$K$722,MATCH($A289,'03 Raw Data'!$J$3:$J$722,0)),""))</f>
        <v/>
      </c>
      <c r="F289" s="24">
        <f>IF($A289="","",IFERROR(INDEX('03 Raw Data'!$N$3:$N$722,MATCH($A289,'03 Raw Data'!$M$3:$M$722,0)),""))</f>
        <v/>
      </c>
      <c r="G289" s="24">
        <f>IF($A289="","",IFERROR(INDEX('03 Raw Data'!$Q$3:$Q$722,MATCH($A289,'03 Raw Data'!$P$3:$P$722,0)),""))</f>
        <v/>
      </c>
      <c r="H289" s="24">
        <f>IF($A289="","",IFERROR(INDEX('03 Raw Data'!$T$3:$T$722,MATCH($A289,'03 Raw Data'!$S$3:$S$722,0)),""))</f>
        <v/>
      </c>
    </row>
    <row r="290">
      <c r="A290" s="23">
        <f>IFERROR(IF(OR('03 Raw Data'!A288="",'03 Raw Data'!A288=0),"",'03 Raw Data'!A288),"")</f>
        <v/>
      </c>
      <c r="B290" s="24">
        <f>IF($A290="","",IFERROR(INDEX('03 Raw Data'!$B$3:$B$722,MATCH($A290,'03 Raw Data'!$A$3:$A$722,0)),""))</f>
        <v/>
      </c>
      <c r="C290" s="24">
        <f>IF($A290="","",IFERROR(INDEX('03 Raw Data'!$E$3:$E$722,MATCH($A290,'03 Raw Data'!$D$3:$D$722,0)),""))</f>
        <v/>
      </c>
      <c r="D290" s="24">
        <f>IF($A290="","",IFERROR(INDEX('03 Raw Data'!$H$3:$H$722,MATCH($A290,'03 Raw Data'!$G$3:$G$722,0)),""))</f>
        <v/>
      </c>
      <c r="E290" s="24">
        <f>IF($A290="","",IFERROR(INDEX('03 Raw Data'!$K$3:$K$722,MATCH($A290,'03 Raw Data'!$J$3:$J$722,0)),""))</f>
        <v/>
      </c>
      <c r="F290" s="24">
        <f>IF($A290="","",IFERROR(INDEX('03 Raw Data'!$N$3:$N$722,MATCH($A290,'03 Raw Data'!$M$3:$M$722,0)),""))</f>
        <v/>
      </c>
      <c r="G290" s="24">
        <f>IF($A290="","",IFERROR(INDEX('03 Raw Data'!$Q$3:$Q$722,MATCH($A290,'03 Raw Data'!$P$3:$P$722,0)),""))</f>
        <v/>
      </c>
      <c r="H290" s="24">
        <f>IF($A290="","",IFERROR(INDEX('03 Raw Data'!$T$3:$T$722,MATCH($A290,'03 Raw Data'!$S$3:$S$722,0)),""))</f>
        <v/>
      </c>
    </row>
    <row r="291">
      <c r="A291" s="23">
        <f>IFERROR(IF(OR('03 Raw Data'!A289="",'03 Raw Data'!A289=0),"",'03 Raw Data'!A289),"")</f>
        <v/>
      </c>
      <c r="B291" s="24">
        <f>IF($A291="","",IFERROR(INDEX('03 Raw Data'!$B$3:$B$722,MATCH($A291,'03 Raw Data'!$A$3:$A$722,0)),""))</f>
        <v/>
      </c>
      <c r="C291" s="24">
        <f>IF($A291="","",IFERROR(INDEX('03 Raw Data'!$E$3:$E$722,MATCH($A291,'03 Raw Data'!$D$3:$D$722,0)),""))</f>
        <v/>
      </c>
      <c r="D291" s="24">
        <f>IF($A291="","",IFERROR(INDEX('03 Raw Data'!$H$3:$H$722,MATCH($A291,'03 Raw Data'!$G$3:$G$722,0)),""))</f>
        <v/>
      </c>
      <c r="E291" s="24">
        <f>IF($A291="","",IFERROR(INDEX('03 Raw Data'!$K$3:$K$722,MATCH($A291,'03 Raw Data'!$J$3:$J$722,0)),""))</f>
        <v/>
      </c>
      <c r="F291" s="24">
        <f>IF($A291="","",IFERROR(INDEX('03 Raw Data'!$N$3:$N$722,MATCH($A291,'03 Raw Data'!$M$3:$M$722,0)),""))</f>
        <v/>
      </c>
      <c r="G291" s="24">
        <f>IF($A291="","",IFERROR(INDEX('03 Raw Data'!$Q$3:$Q$722,MATCH($A291,'03 Raw Data'!$P$3:$P$722,0)),""))</f>
        <v/>
      </c>
      <c r="H291" s="24">
        <f>IF($A291="","",IFERROR(INDEX('03 Raw Data'!$T$3:$T$722,MATCH($A291,'03 Raw Data'!$S$3:$S$722,0)),""))</f>
        <v/>
      </c>
    </row>
    <row r="292">
      <c r="A292" s="23">
        <f>IFERROR(IF(OR('03 Raw Data'!A290="",'03 Raw Data'!A290=0),"",'03 Raw Data'!A290),"")</f>
        <v/>
      </c>
      <c r="B292" s="24">
        <f>IF($A292="","",IFERROR(INDEX('03 Raw Data'!$B$3:$B$722,MATCH($A292,'03 Raw Data'!$A$3:$A$722,0)),""))</f>
        <v/>
      </c>
      <c r="C292" s="24">
        <f>IF($A292="","",IFERROR(INDEX('03 Raw Data'!$E$3:$E$722,MATCH($A292,'03 Raw Data'!$D$3:$D$722,0)),""))</f>
        <v/>
      </c>
      <c r="D292" s="24">
        <f>IF($A292="","",IFERROR(INDEX('03 Raw Data'!$H$3:$H$722,MATCH($A292,'03 Raw Data'!$G$3:$G$722,0)),""))</f>
        <v/>
      </c>
      <c r="E292" s="24">
        <f>IF($A292="","",IFERROR(INDEX('03 Raw Data'!$K$3:$K$722,MATCH($A292,'03 Raw Data'!$J$3:$J$722,0)),""))</f>
        <v/>
      </c>
      <c r="F292" s="24">
        <f>IF($A292="","",IFERROR(INDEX('03 Raw Data'!$N$3:$N$722,MATCH($A292,'03 Raw Data'!$M$3:$M$722,0)),""))</f>
        <v/>
      </c>
      <c r="G292" s="24">
        <f>IF($A292="","",IFERROR(INDEX('03 Raw Data'!$Q$3:$Q$722,MATCH($A292,'03 Raw Data'!$P$3:$P$722,0)),""))</f>
        <v/>
      </c>
      <c r="H292" s="24">
        <f>IF($A292="","",IFERROR(INDEX('03 Raw Data'!$T$3:$T$722,MATCH($A292,'03 Raw Data'!$S$3:$S$722,0)),""))</f>
        <v/>
      </c>
    </row>
    <row r="293">
      <c r="A293" s="23">
        <f>IFERROR(IF(OR('03 Raw Data'!A291="",'03 Raw Data'!A291=0),"",'03 Raw Data'!A291),"")</f>
        <v/>
      </c>
      <c r="B293" s="24">
        <f>IF($A293="","",IFERROR(INDEX('03 Raw Data'!$B$3:$B$722,MATCH($A293,'03 Raw Data'!$A$3:$A$722,0)),""))</f>
        <v/>
      </c>
      <c r="C293" s="24">
        <f>IF($A293="","",IFERROR(INDEX('03 Raw Data'!$E$3:$E$722,MATCH($A293,'03 Raw Data'!$D$3:$D$722,0)),""))</f>
        <v/>
      </c>
      <c r="D293" s="24">
        <f>IF($A293="","",IFERROR(INDEX('03 Raw Data'!$H$3:$H$722,MATCH($A293,'03 Raw Data'!$G$3:$G$722,0)),""))</f>
        <v/>
      </c>
      <c r="E293" s="24">
        <f>IF($A293="","",IFERROR(INDEX('03 Raw Data'!$K$3:$K$722,MATCH($A293,'03 Raw Data'!$J$3:$J$722,0)),""))</f>
        <v/>
      </c>
      <c r="F293" s="24">
        <f>IF($A293="","",IFERROR(INDEX('03 Raw Data'!$N$3:$N$722,MATCH($A293,'03 Raw Data'!$M$3:$M$722,0)),""))</f>
        <v/>
      </c>
      <c r="G293" s="24">
        <f>IF($A293="","",IFERROR(INDEX('03 Raw Data'!$Q$3:$Q$722,MATCH($A293,'03 Raw Data'!$P$3:$P$722,0)),""))</f>
        <v/>
      </c>
      <c r="H293" s="24">
        <f>IF($A293="","",IFERROR(INDEX('03 Raw Data'!$T$3:$T$722,MATCH($A293,'03 Raw Data'!$S$3:$S$722,0)),""))</f>
        <v/>
      </c>
    </row>
    <row r="294">
      <c r="A294" s="23">
        <f>IFERROR(IF(OR('03 Raw Data'!A292="",'03 Raw Data'!A292=0),"",'03 Raw Data'!A292),"")</f>
        <v/>
      </c>
      <c r="B294" s="24">
        <f>IF($A294="","",IFERROR(INDEX('03 Raw Data'!$B$3:$B$722,MATCH($A294,'03 Raw Data'!$A$3:$A$722,0)),""))</f>
        <v/>
      </c>
      <c r="C294" s="24">
        <f>IF($A294="","",IFERROR(INDEX('03 Raw Data'!$E$3:$E$722,MATCH($A294,'03 Raw Data'!$D$3:$D$722,0)),""))</f>
        <v/>
      </c>
      <c r="D294" s="24">
        <f>IF($A294="","",IFERROR(INDEX('03 Raw Data'!$H$3:$H$722,MATCH($A294,'03 Raw Data'!$G$3:$G$722,0)),""))</f>
        <v/>
      </c>
      <c r="E294" s="24">
        <f>IF($A294="","",IFERROR(INDEX('03 Raw Data'!$K$3:$K$722,MATCH($A294,'03 Raw Data'!$J$3:$J$722,0)),""))</f>
        <v/>
      </c>
      <c r="F294" s="24">
        <f>IF($A294="","",IFERROR(INDEX('03 Raw Data'!$N$3:$N$722,MATCH($A294,'03 Raw Data'!$M$3:$M$722,0)),""))</f>
        <v/>
      </c>
      <c r="G294" s="24">
        <f>IF($A294="","",IFERROR(INDEX('03 Raw Data'!$Q$3:$Q$722,MATCH($A294,'03 Raw Data'!$P$3:$P$722,0)),""))</f>
        <v/>
      </c>
      <c r="H294" s="24">
        <f>IF($A294="","",IFERROR(INDEX('03 Raw Data'!$T$3:$T$722,MATCH($A294,'03 Raw Data'!$S$3:$S$722,0)),""))</f>
        <v/>
      </c>
    </row>
    <row r="295">
      <c r="A295" s="23">
        <f>IFERROR(IF(OR('03 Raw Data'!A293="",'03 Raw Data'!A293=0),"",'03 Raw Data'!A293),"")</f>
        <v/>
      </c>
      <c r="B295" s="24">
        <f>IF($A295="","",IFERROR(INDEX('03 Raw Data'!$B$3:$B$722,MATCH($A295,'03 Raw Data'!$A$3:$A$722,0)),""))</f>
        <v/>
      </c>
      <c r="C295" s="24">
        <f>IF($A295="","",IFERROR(INDEX('03 Raw Data'!$E$3:$E$722,MATCH($A295,'03 Raw Data'!$D$3:$D$722,0)),""))</f>
        <v/>
      </c>
      <c r="D295" s="24">
        <f>IF($A295="","",IFERROR(INDEX('03 Raw Data'!$H$3:$H$722,MATCH($A295,'03 Raw Data'!$G$3:$G$722,0)),""))</f>
        <v/>
      </c>
      <c r="E295" s="24">
        <f>IF($A295="","",IFERROR(INDEX('03 Raw Data'!$K$3:$K$722,MATCH($A295,'03 Raw Data'!$J$3:$J$722,0)),""))</f>
        <v/>
      </c>
      <c r="F295" s="24">
        <f>IF($A295="","",IFERROR(INDEX('03 Raw Data'!$N$3:$N$722,MATCH($A295,'03 Raw Data'!$M$3:$M$722,0)),""))</f>
        <v/>
      </c>
      <c r="G295" s="24">
        <f>IF($A295="","",IFERROR(INDEX('03 Raw Data'!$Q$3:$Q$722,MATCH($A295,'03 Raw Data'!$P$3:$P$722,0)),""))</f>
        <v/>
      </c>
      <c r="H295" s="24">
        <f>IF($A295="","",IFERROR(INDEX('03 Raw Data'!$T$3:$T$722,MATCH($A295,'03 Raw Data'!$S$3:$S$722,0)),""))</f>
        <v/>
      </c>
    </row>
    <row r="296">
      <c r="A296" s="23">
        <f>IFERROR(IF(OR('03 Raw Data'!A294="",'03 Raw Data'!A294=0),"",'03 Raw Data'!A294),"")</f>
        <v/>
      </c>
      <c r="B296" s="24">
        <f>IF($A296="","",IFERROR(INDEX('03 Raw Data'!$B$3:$B$722,MATCH($A296,'03 Raw Data'!$A$3:$A$722,0)),""))</f>
        <v/>
      </c>
      <c r="C296" s="24">
        <f>IF($A296="","",IFERROR(INDEX('03 Raw Data'!$E$3:$E$722,MATCH($A296,'03 Raw Data'!$D$3:$D$722,0)),""))</f>
        <v/>
      </c>
      <c r="D296" s="24">
        <f>IF($A296="","",IFERROR(INDEX('03 Raw Data'!$H$3:$H$722,MATCH($A296,'03 Raw Data'!$G$3:$G$722,0)),""))</f>
        <v/>
      </c>
      <c r="E296" s="24">
        <f>IF($A296="","",IFERROR(INDEX('03 Raw Data'!$K$3:$K$722,MATCH($A296,'03 Raw Data'!$J$3:$J$722,0)),""))</f>
        <v/>
      </c>
      <c r="F296" s="24">
        <f>IF($A296="","",IFERROR(INDEX('03 Raw Data'!$N$3:$N$722,MATCH($A296,'03 Raw Data'!$M$3:$M$722,0)),""))</f>
        <v/>
      </c>
      <c r="G296" s="24">
        <f>IF($A296="","",IFERROR(INDEX('03 Raw Data'!$Q$3:$Q$722,MATCH($A296,'03 Raw Data'!$P$3:$P$722,0)),""))</f>
        <v/>
      </c>
      <c r="H296" s="24">
        <f>IF($A296="","",IFERROR(INDEX('03 Raw Data'!$T$3:$T$722,MATCH($A296,'03 Raw Data'!$S$3:$S$722,0)),""))</f>
        <v/>
      </c>
    </row>
    <row r="297">
      <c r="A297" s="23">
        <f>IFERROR(IF(OR('03 Raw Data'!A295="",'03 Raw Data'!A295=0),"",'03 Raw Data'!A295),"")</f>
        <v/>
      </c>
      <c r="B297" s="24">
        <f>IF($A297="","",IFERROR(INDEX('03 Raw Data'!$B$3:$B$722,MATCH($A297,'03 Raw Data'!$A$3:$A$722,0)),""))</f>
        <v/>
      </c>
      <c r="C297" s="24">
        <f>IF($A297="","",IFERROR(INDEX('03 Raw Data'!$E$3:$E$722,MATCH($A297,'03 Raw Data'!$D$3:$D$722,0)),""))</f>
        <v/>
      </c>
      <c r="D297" s="24">
        <f>IF($A297="","",IFERROR(INDEX('03 Raw Data'!$H$3:$H$722,MATCH($A297,'03 Raw Data'!$G$3:$G$722,0)),""))</f>
        <v/>
      </c>
      <c r="E297" s="24">
        <f>IF($A297="","",IFERROR(INDEX('03 Raw Data'!$K$3:$K$722,MATCH($A297,'03 Raw Data'!$J$3:$J$722,0)),""))</f>
        <v/>
      </c>
      <c r="F297" s="24">
        <f>IF($A297="","",IFERROR(INDEX('03 Raw Data'!$N$3:$N$722,MATCH($A297,'03 Raw Data'!$M$3:$M$722,0)),""))</f>
        <v/>
      </c>
      <c r="G297" s="24">
        <f>IF($A297="","",IFERROR(INDEX('03 Raw Data'!$Q$3:$Q$722,MATCH($A297,'03 Raw Data'!$P$3:$P$722,0)),""))</f>
        <v/>
      </c>
      <c r="H297" s="24">
        <f>IF($A297="","",IFERROR(INDEX('03 Raw Data'!$T$3:$T$722,MATCH($A297,'03 Raw Data'!$S$3:$S$722,0)),""))</f>
        <v/>
      </c>
    </row>
    <row r="298">
      <c r="A298" s="23">
        <f>IFERROR(IF(OR('03 Raw Data'!A296="",'03 Raw Data'!A296=0),"",'03 Raw Data'!A296),"")</f>
        <v/>
      </c>
      <c r="B298" s="24">
        <f>IF($A298="","",IFERROR(INDEX('03 Raw Data'!$B$3:$B$722,MATCH($A298,'03 Raw Data'!$A$3:$A$722,0)),""))</f>
        <v/>
      </c>
      <c r="C298" s="24">
        <f>IF($A298="","",IFERROR(INDEX('03 Raw Data'!$E$3:$E$722,MATCH($A298,'03 Raw Data'!$D$3:$D$722,0)),""))</f>
        <v/>
      </c>
      <c r="D298" s="24">
        <f>IF($A298="","",IFERROR(INDEX('03 Raw Data'!$H$3:$H$722,MATCH($A298,'03 Raw Data'!$G$3:$G$722,0)),""))</f>
        <v/>
      </c>
      <c r="E298" s="24">
        <f>IF($A298="","",IFERROR(INDEX('03 Raw Data'!$K$3:$K$722,MATCH($A298,'03 Raw Data'!$J$3:$J$722,0)),""))</f>
        <v/>
      </c>
      <c r="F298" s="24">
        <f>IF($A298="","",IFERROR(INDEX('03 Raw Data'!$N$3:$N$722,MATCH($A298,'03 Raw Data'!$M$3:$M$722,0)),""))</f>
        <v/>
      </c>
      <c r="G298" s="24">
        <f>IF($A298="","",IFERROR(INDEX('03 Raw Data'!$Q$3:$Q$722,MATCH($A298,'03 Raw Data'!$P$3:$P$722,0)),""))</f>
        <v/>
      </c>
      <c r="H298" s="24">
        <f>IF($A298="","",IFERROR(INDEX('03 Raw Data'!$T$3:$T$722,MATCH($A298,'03 Raw Data'!$S$3:$S$722,0)),""))</f>
        <v/>
      </c>
    </row>
    <row r="299">
      <c r="A299" s="23">
        <f>IFERROR(IF(OR('03 Raw Data'!A297="",'03 Raw Data'!A297=0),"",'03 Raw Data'!A297),"")</f>
        <v/>
      </c>
      <c r="B299" s="24">
        <f>IF($A299="","",IFERROR(INDEX('03 Raw Data'!$B$3:$B$722,MATCH($A299,'03 Raw Data'!$A$3:$A$722,0)),""))</f>
        <v/>
      </c>
      <c r="C299" s="24">
        <f>IF($A299="","",IFERROR(INDEX('03 Raw Data'!$E$3:$E$722,MATCH($A299,'03 Raw Data'!$D$3:$D$722,0)),""))</f>
        <v/>
      </c>
      <c r="D299" s="24">
        <f>IF($A299="","",IFERROR(INDEX('03 Raw Data'!$H$3:$H$722,MATCH($A299,'03 Raw Data'!$G$3:$G$722,0)),""))</f>
        <v/>
      </c>
      <c r="E299" s="24">
        <f>IF($A299="","",IFERROR(INDEX('03 Raw Data'!$K$3:$K$722,MATCH($A299,'03 Raw Data'!$J$3:$J$722,0)),""))</f>
        <v/>
      </c>
      <c r="F299" s="24">
        <f>IF($A299="","",IFERROR(INDEX('03 Raw Data'!$N$3:$N$722,MATCH($A299,'03 Raw Data'!$M$3:$M$722,0)),""))</f>
        <v/>
      </c>
      <c r="G299" s="24">
        <f>IF($A299="","",IFERROR(INDEX('03 Raw Data'!$Q$3:$Q$722,MATCH($A299,'03 Raw Data'!$P$3:$P$722,0)),""))</f>
        <v/>
      </c>
      <c r="H299" s="24">
        <f>IF($A299="","",IFERROR(INDEX('03 Raw Data'!$T$3:$T$722,MATCH($A299,'03 Raw Data'!$S$3:$S$722,0)),""))</f>
        <v/>
      </c>
    </row>
    <row r="300">
      <c r="A300" s="23">
        <f>IFERROR(IF(OR('03 Raw Data'!A298="",'03 Raw Data'!A298=0),"",'03 Raw Data'!A298),"")</f>
        <v/>
      </c>
      <c r="B300" s="24">
        <f>IF($A300="","",IFERROR(INDEX('03 Raw Data'!$B$3:$B$722,MATCH($A300,'03 Raw Data'!$A$3:$A$722,0)),""))</f>
        <v/>
      </c>
      <c r="C300" s="24">
        <f>IF($A300="","",IFERROR(INDEX('03 Raw Data'!$E$3:$E$722,MATCH($A300,'03 Raw Data'!$D$3:$D$722,0)),""))</f>
        <v/>
      </c>
      <c r="D300" s="24">
        <f>IF($A300="","",IFERROR(INDEX('03 Raw Data'!$H$3:$H$722,MATCH($A300,'03 Raw Data'!$G$3:$G$722,0)),""))</f>
        <v/>
      </c>
      <c r="E300" s="24">
        <f>IF($A300="","",IFERROR(INDEX('03 Raw Data'!$K$3:$K$722,MATCH($A300,'03 Raw Data'!$J$3:$J$722,0)),""))</f>
        <v/>
      </c>
      <c r="F300" s="24">
        <f>IF($A300="","",IFERROR(INDEX('03 Raw Data'!$N$3:$N$722,MATCH($A300,'03 Raw Data'!$M$3:$M$722,0)),""))</f>
        <v/>
      </c>
      <c r="G300" s="24">
        <f>IF($A300="","",IFERROR(INDEX('03 Raw Data'!$Q$3:$Q$722,MATCH($A300,'03 Raw Data'!$P$3:$P$722,0)),""))</f>
        <v/>
      </c>
      <c r="H300" s="24">
        <f>IF($A300="","",IFERROR(INDEX('03 Raw Data'!$T$3:$T$722,MATCH($A300,'03 Raw Data'!$S$3:$S$722,0)),""))</f>
        <v/>
      </c>
    </row>
    <row r="301">
      <c r="A301" s="23">
        <f>IFERROR(IF(OR('03 Raw Data'!A299="",'03 Raw Data'!A299=0),"",'03 Raw Data'!A299),"")</f>
        <v/>
      </c>
      <c r="B301" s="24">
        <f>IF($A301="","",IFERROR(INDEX('03 Raw Data'!$B$3:$B$722,MATCH($A301,'03 Raw Data'!$A$3:$A$722,0)),""))</f>
        <v/>
      </c>
      <c r="C301" s="24">
        <f>IF($A301="","",IFERROR(INDEX('03 Raw Data'!$E$3:$E$722,MATCH($A301,'03 Raw Data'!$D$3:$D$722,0)),""))</f>
        <v/>
      </c>
      <c r="D301" s="24">
        <f>IF($A301="","",IFERROR(INDEX('03 Raw Data'!$H$3:$H$722,MATCH($A301,'03 Raw Data'!$G$3:$G$722,0)),""))</f>
        <v/>
      </c>
      <c r="E301" s="24">
        <f>IF($A301="","",IFERROR(INDEX('03 Raw Data'!$K$3:$K$722,MATCH($A301,'03 Raw Data'!$J$3:$J$722,0)),""))</f>
        <v/>
      </c>
      <c r="F301" s="24">
        <f>IF($A301="","",IFERROR(INDEX('03 Raw Data'!$N$3:$N$722,MATCH($A301,'03 Raw Data'!$M$3:$M$722,0)),""))</f>
        <v/>
      </c>
      <c r="G301" s="24">
        <f>IF($A301="","",IFERROR(INDEX('03 Raw Data'!$Q$3:$Q$722,MATCH($A301,'03 Raw Data'!$P$3:$P$722,0)),""))</f>
        <v/>
      </c>
      <c r="H301" s="24">
        <f>IF($A301="","",IFERROR(INDEX('03 Raw Data'!$T$3:$T$722,MATCH($A301,'03 Raw Data'!$S$3:$S$722,0)),""))</f>
        <v/>
      </c>
    </row>
    <row r="302">
      <c r="A302" s="23">
        <f>IFERROR(IF(OR('03 Raw Data'!A300="",'03 Raw Data'!A300=0),"",'03 Raw Data'!A300),"")</f>
        <v/>
      </c>
      <c r="B302" s="24">
        <f>IF($A302="","",IFERROR(INDEX('03 Raw Data'!$B$3:$B$722,MATCH($A302,'03 Raw Data'!$A$3:$A$722,0)),""))</f>
        <v/>
      </c>
      <c r="C302" s="24">
        <f>IF($A302="","",IFERROR(INDEX('03 Raw Data'!$E$3:$E$722,MATCH($A302,'03 Raw Data'!$D$3:$D$722,0)),""))</f>
        <v/>
      </c>
      <c r="D302" s="24">
        <f>IF($A302="","",IFERROR(INDEX('03 Raw Data'!$H$3:$H$722,MATCH($A302,'03 Raw Data'!$G$3:$G$722,0)),""))</f>
        <v/>
      </c>
      <c r="E302" s="24">
        <f>IF($A302="","",IFERROR(INDEX('03 Raw Data'!$K$3:$K$722,MATCH($A302,'03 Raw Data'!$J$3:$J$722,0)),""))</f>
        <v/>
      </c>
      <c r="F302" s="24">
        <f>IF($A302="","",IFERROR(INDEX('03 Raw Data'!$N$3:$N$722,MATCH($A302,'03 Raw Data'!$M$3:$M$722,0)),""))</f>
        <v/>
      </c>
      <c r="G302" s="24">
        <f>IF($A302="","",IFERROR(INDEX('03 Raw Data'!$Q$3:$Q$722,MATCH($A302,'03 Raw Data'!$P$3:$P$722,0)),""))</f>
        <v/>
      </c>
      <c r="H302" s="24">
        <f>IF($A302="","",IFERROR(INDEX('03 Raw Data'!$T$3:$T$722,MATCH($A302,'03 Raw Data'!$S$3:$S$722,0)),""))</f>
        <v/>
      </c>
    </row>
    <row r="303">
      <c r="A303" s="23">
        <f>IFERROR(IF(OR('03 Raw Data'!A301="",'03 Raw Data'!A301=0),"",'03 Raw Data'!A301),"")</f>
        <v/>
      </c>
      <c r="B303" s="24">
        <f>IF($A303="","",IFERROR(INDEX('03 Raw Data'!$B$3:$B$722,MATCH($A303,'03 Raw Data'!$A$3:$A$722,0)),""))</f>
        <v/>
      </c>
      <c r="C303" s="24">
        <f>IF($A303="","",IFERROR(INDEX('03 Raw Data'!$E$3:$E$722,MATCH($A303,'03 Raw Data'!$D$3:$D$722,0)),""))</f>
        <v/>
      </c>
      <c r="D303" s="24">
        <f>IF($A303="","",IFERROR(INDEX('03 Raw Data'!$H$3:$H$722,MATCH($A303,'03 Raw Data'!$G$3:$G$722,0)),""))</f>
        <v/>
      </c>
      <c r="E303" s="24">
        <f>IF($A303="","",IFERROR(INDEX('03 Raw Data'!$K$3:$K$722,MATCH($A303,'03 Raw Data'!$J$3:$J$722,0)),""))</f>
        <v/>
      </c>
      <c r="F303" s="24">
        <f>IF($A303="","",IFERROR(INDEX('03 Raw Data'!$N$3:$N$722,MATCH($A303,'03 Raw Data'!$M$3:$M$722,0)),""))</f>
        <v/>
      </c>
      <c r="G303" s="24">
        <f>IF($A303="","",IFERROR(INDEX('03 Raw Data'!$Q$3:$Q$722,MATCH($A303,'03 Raw Data'!$P$3:$P$722,0)),""))</f>
        <v/>
      </c>
      <c r="H303" s="24">
        <f>IF($A303="","",IFERROR(INDEX('03 Raw Data'!$T$3:$T$722,MATCH($A303,'03 Raw Data'!$S$3:$S$722,0)),""))</f>
        <v/>
      </c>
    </row>
    <row r="304">
      <c r="A304" s="23">
        <f>IFERROR(IF(OR('03 Raw Data'!A302="",'03 Raw Data'!A302=0),"",'03 Raw Data'!A302),"")</f>
        <v/>
      </c>
      <c r="B304" s="24">
        <f>IF($A304="","",IFERROR(INDEX('03 Raw Data'!$B$3:$B$722,MATCH($A304,'03 Raw Data'!$A$3:$A$722,0)),""))</f>
        <v/>
      </c>
      <c r="C304" s="24">
        <f>IF($A304="","",IFERROR(INDEX('03 Raw Data'!$E$3:$E$722,MATCH($A304,'03 Raw Data'!$D$3:$D$722,0)),""))</f>
        <v/>
      </c>
      <c r="D304" s="24">
        <f>IF($A304="","",IFERROR(INDEX('03 Raw Data'!$H$3:$H$722,MATCH($A304,'03 Raw Data'!$G$3:$G$722,0)),""))</f>
        <v/>
      </c>
      <c r="E304" s="24">
        <f>IF($A304="","",IFERROR(INDEX('03 Raw Data'!$K$3:$K$722,MATCH($A304,'03 Raw Data'!$J$3:$J$722,0)),""))</f>
        <v/>
      </c>
      <c r="F304" s="24">
        <f>IF($A304="","",IFERROR(INDEX('03 Raw Data'!$N$3:$N$722,MATCH($A304,'03 Raw Data'!$M$3:$M$722,0)),""))</f>
        <v/>
      </c>
      <c r="G304" s="24">
        <f>IF($A304="","",IFERROR(INDEX('03 Raw Data'!$Q$3:$Q$722,MATCH($A304,'03 Raw Data'!$P$3:$P$722,0)),""))</f>
        <v/>
      </c>
      <c r="H304" s="24">
        <f>IF($A304="","",IFERROR(INDEX('03 Raw Data'!$T$3:$T$722,MATCH($A304,'03 Raw Data'!$S$3:$S$722,0)),""))</f>
        <v/>
      </c>
    </row>
    <row r="305">
      <c r="A305" s="23">
        <f>IFERROR(IF(OR('03 Raw Data'!A303="",'03 Raw Data'!A303=0),"",'03 Raw Data'!A303),"")</f>
        <v/>
      </c>
      <c r="B305" s="24">
        <f>IF($A305="","",IFERROR(INDEX('03 Raw Data'!$B$3:$B$722,MATCH($A305,'03 Raw Data'!$A$3:$A$722,0)),""))</f>
        <v/>
      </c>
      <c r="C305" s="24">
        <f>IF($A305="","",IFERROR(INDEX('03 Raw Data'!$E$3:$E$722,MATCH($A305,'03 Raw Data'!$D$3:$D$722,0)),""))</f>
        <v/>
      </c>
      <c r="D305" s="24">
        <f>IF($A305="","",IFERROR(INDEX('03 Raw Data'!$H$3:$H$722,MATCH($A305,'03 Raw Data'!$G$3:$G$722,0)),""))</f>
        <v/>
      </c>
      <c r="E305" s="24">
        <f>IF($A305="","",IFERROR(INDEX('03 Raw Data'!$K$3:$K$722,MATCH($A305,'03 Raw Data'!$J$3:$J$722,0)),""))</f>
        <v/>
      </c>
      <c r="F305" s="24">
        <f>IF($A305="","",IFERROR(INDEX('03 Raw Data'!$N$3:$N$722,MATCH($A305,'03 Raw Data'!$M$3:$M$722,0)),""))</f>
        <v/>
      </c>
      <c r="G305" s="24">
        <f>IF($A305="","",IFERROR(INDEX('03 Raw Data'!$Q$3:$Q$722,MATCH($A305,'03 Raw Data'!$P$3:$P$722,0)),""))</f>
        <v/>
      </c>
      <c r="H305" s="24">
        <f>IF($A305="","",IFERROR(INDEX('03 Raw Data'!$T$3:$T$722,MATCH($A305,'03 Raw Data'!$S$3:$S$722,0)),""))</f>
        <v/>
      </c>
    </row>
    <row r="306">
      <c r="A306" s="23">
        <f>IFERROR(IF(OR('03 Raw Data'!A304="",'03 Raw Data'!A304=0),"",'03 Raw Data'!A304),"")</f>
        <v/>
      </c>
      <c r="B306" s="24">
        <f>IF($A306="","",IFERROR(INDEX('03 Raw Data'!$B$3:$B$722,MATCH($A306,'03 Raw Data'!$A$3:$A$722,0)),""))</f>
        <v/>
      </c>
      <c r="C306" s="24">
        <f>IF($A306="","",IFERROR(INDEX('03 Raw Data'!$E$3:$E$722,MATCH($A306,'03 Raw Data'!$D$3:$D$722,0)),""))</f>
        <v/>
      </c>
      <c r="D306" s="24">
        <f>IF($A306="","",IFERROR(INDEX('03 Raw Data'!$H$3:$H$722,MATCH($A306,'03 Raw Data'!$G$3:$G$722,0)),""))</f>
        <v/>
      </c>
      <c r="E306" s="24">
        <f>IF($A306="","",IFERROR(INDEX('03 Raw Data'!$K$3:$K$722,MATCH($A306,'03 Raw Data'!$J$3:$J$722,0)),""))</f>
        <v/>
      </c>
      <c r="F306" s="24">
        <f>IF($A306="","",IFERROR(INDEX('03 Raw Data'!$N$3:$N$722,MATCH($A306,'03 Raw Data'!$M$3:$M$722,0)),""))</f>
        <v/>
      </c>
      <c r="G306" s="24">
        <f>IF($A306="","",IFERROR(INDEX('03 Raw Data'!$Q$3:$Q$722,MATCH($A306,'03 Raw Data'!$P$3:$P$722,0)),""))</f>
        <v/>
      </c>
      <c r="H306" s="24">
        <f>IF($A306="","",IFERROR(INDEX('03 Raw Data'!$T$3:$T$722,MATCH($A306,'03 Raw Data'!$S$3:$S$722,0)),""))</f>
        <v/>
      </c>
    </row>
    <row r="307">
      <c r="A307" s="23">
        <f>IFERROR(IF(OR('03 Raw Data'!A305="",'03 Raw Data'!A305=0),"",'03 Raw Data'!A305),"")</f>
        <v/>
      </c>
      <c r="B307" s="24">
        <f>IF($A307="","",IFERROR(INDEX('03 Raw Data'!$B$3:$B$722,MATCH($A307,'03 Raw Data'!$A$3:$A$722,0)),""))</f>
        <v/>
      </c>
      <c r="C307" s="24">
        <f>IF($A307="","",IFERROR(INDEX('03 Raw Data'!$E$3:$E$722,MATCH($A307,'03 Raw Data'!$D$3:$D$722,0)),""))</f>
        <v/>
      </c>
      <c r="D307" s="24">
        <f>IF($A307="","",IFERROR(INDEX('03 Raw Data'!$H$3:$H$722,MATCH($A307,'03 Raw Data'!$G$3:$G$722,0)),""))</f>
        <v/>
      </c>
      <c r="E307" s="24">
        <f>IF($A307="","",IFERROR(INDEX('03 Raw Data'!$K$3:$K$722,MATCH($A307,'03 Raw Data'!$J$3:$J$722,0)),""))</f>
        <v/>
      </c>
      <c r="F307" s="24">
        <f>IF($A307="","",IFERROR(INDEX('03 Raw Data'!$N$3:$N$722,MATCH($A307,'03 Raw Data'!$M$3:$M$722,0)),""))</f>
        <v/>
      </c>
      <c r="G307" s="24">
        <f>IF($A307="","",IFERROR(INDEX('03 Raw Data'!$Q$3:$Q$722,MATCH($A307,'03 Raw Data'!$P$3:$P$722,0)),""))</f>
        <v/>
      </c>
      <c r="H307" s="24">
        <f>IF($A307="","",IFERROR(INDEX('03 Raw Data'!$T$3:$T$722,MATCH($A307,'03 Raw Data'!$S$3:$S$722,0)),""))</f>
        <v/>
      </c>
    </row>
    <row r="308">
      <c r="A308" s="23">
        <f>IFERROR(IF(OR('03 Raw Data'!A306="",'03 Raw Data'!A306=0),"",'03 Raw Data'!A306),"")</f>
        <v/>
      </c>
      <c r="B308" s="24">
        <f>IF($A308="","",IFERROR(INDEX('03 Raw Data'!$B$3:$B$722,MATCH($A308,'03 Raw Data'!$A$3:$A$722,0)),""))</f>
        <v/>
      </c>
      <c r="C308" s="24">
        <f>IF($A308="","",IFERROR(INDEX('03 Raw Data'!$E$3:$E$722,MATCH($A308,'03 Raw Data'!$D$3:$D$722,0)),""))</f>
        <v/>
      </c>
      <c r="D308" s="24">
        <f>IF($A308="","",IFERROR(INDEX('03 Raw Data'!$H$3:$H$722,MATCH($A308,'03 Raw Data'!$G$3:$G$722,0)),""))</f>
        <v/>
      </c>
      <c r="E308" s="24">
        <f>IF($A308="","",IFERROR(INDEX('03 Raw Data'!$K$3:$K$722,MATCH($A308,'03 Raw Data'!$J$3:$J$722,0)),""))</f>
        <v/>
      </c>
      <c r="F308" s="24">
        <f>IF($A308="","",IFERROR(INDEX('03 Raw Data'!$N$3:$N$722,MATCH($A308,'03 Raw Data'!$M$3:$M$722,0)),""))</f>
        <v/>
      </c>
      <c r="G308" s="24">
        <f>IF($A308="","",IFERROR(INDEX('03 Raw Data'!$Q$3:$Q$722,MATCH($A308,'03 Raw Data'!$P$3:$P$722,0)),""))</f>
        <v/>
      </c>
      <c r="H308" s="24">
        <f>IF($A308="","",IFERROR(INDEX('03 Raw Data'!$T$3:$T$722,MATCH($A308,'03 Raw Data'!$S$3:$S$722,0)),""))</f>
        <v/>
      </c>
    </row>
    <row r="309">
      <c r="A309" s="23">
        <f>IFERROR(IF(OR('03 Raw Data'!A307="",'03 Raw Data'!A307=0),"",'03 Raw Data'!A307),"")</f>
        <v/>
      </c>
      <c r="B309" s="24">
        <f>IF($A309="","",IFERROR(INDEX('03 Raw Data'!$B$3:$B$722,MATCH($A309,'03 Raw Data'!$A$3:$A$722,0)),""))</f>
        <v/>
      </c>
      <c r="C309" s="24">
        <f>IF($A309="","",IFERROR(INDEX('03 Raw Data'!$E$3:$E$722,MATCH($A309,'03 Raw Data'!$D$3:$D$722,0)),""))</f>
        <v/>
      </c>
      <c r="D309" s="24">
        <f>IF($A309="","",IFERROR(INDEX('03 Raw Data'!$H$3:$H$722,MATCH($A309,'03 Raw Data'!$G$3:$G$722,0)),""))</f>
        <v/>
      </c>
      <c r="E309" s="24">
        <f>IF($A309="","",IFERROR(INDEX('03 Raw Data'!$K$3:$K$722,MATCH($A309,'03 Raw Data'!$J$3:$J$722,0)),""))</f>
        <v/>
      </c>
      <c r="F309" s="24">
        <f>IF($A309="","",IFERROR(INDEX('03 Raw Data'!$N$3:$N$722,MATCH($A309,'03 Raw Data'!$M$3:$M$722,0)),""))</f>
        <v/>
      </c>
      <c r="G309" s="24">
        <f>IF($A309="","",IFERROR(INDEX('03 Raw Data'!$Q$3:$Q$722,MATCH($A309,'03 Raw Data'!$P$3:$P$722,0)),""))</f>
        <v/>
      </c>
      <c r="H309" s="24">
        <f>IF($A309="","",IFERROR(INDEX('03 Raw Data'!$T$3:$T$722,MATCH($A309,'03 Raw Data'!$S$3:$S$722,0)),""))</f>
        <v/>
      </c>
    </row>
    <row r="310">
      <c r="A310" s="23">
        <f>IFERROR(IF(OR('03 Raw Data'!A308="",'03 Raw Data'!A308=0),"",'03 Raw Data'!A308),"")</f>
        <v/>
      </c>
      <c r="B310" s="24">
        <f>IF($A310="","",IFERROR(INDEX('03 Raw Data'!$B$3:$B$722,MATCH($A310,'03 Raw Data'!$A$3:$A$722,0)),""))</f>
        <v/>
      </c>
      <c r="C310" s="24">
        <f>IF($A310="","",IFERROR(INDEX('03 Raw Data'!$E$3:$E$722,MATCH($A310,'03 Raw Data'!$D$3:$D$722,0)),""))</f>
        <v/>
      </c>
      <c r="D310" s="24">
        <f>IF($A310="","",IFERROR(INDEX('03 Raw Data'!$H$3:$H$722,MATCH($A310,'03 Raw Data'!$G$3:$G$722,0)),""))</f>
        <v/>
      </c>
      <c r="E310" s="24">
        <f>IF($A310="","",IFERROR(INDEX('03 Raw Data'!$K$3:$K$722,MATCH($A310,'03 Raw Data'!$J$3:$J$722,0)),""))</f>
        <v/>
      </c>
      <c r="F310" s="24">
        <f>IF($A310="","",IFERROR(INDEX('03 Raw Data'!$N$3:$N$722,MATCH($A310,'03 Raw Data'!$M$3:$M$722,0)),""))</f>
        <v/>
      </c>
      <c r="G310" s="24">
        <f>IF($A310="","",IFERROR(INDEX('03 Raw Data'!$Q$3:$Q$722,MATCH($A310,'03 Raw Data'!$P$3:$P$722,0)),""))</f>
        <v/>
      </c>
      <c r="H310" s="24">
        <f>IF($A310="","",IFERROR(INDEX('03 Raw Data'!$T$3:$T$722,MATCH($A310,'03 Raw Data'!$S$3:$S$722,0)),""))</f>
        <v/>
      </c>
    </row>
    <row r="311">
      <c r="A311" s="23">
        <f>IFERROR(IF(OR('03 Raw Data'!A309="",'03 Raw Data'!A309=0),"",'03 Raw Data'!A309),"")</f>
        <v/>
      </c>
      <c r="B311" s="24">
        <f>IF($A311="","",IFERROR(INDEX('03 Raw Data'!$B$3:$B$722,MATCH($A311,'03 Raw Data'!$A$3:$A$722,0)),""))</f>
        <v/>
      </c>
      <c r="C311" s="24">
        <f>IF($A311="","",IFERROR(INDEX('03 Raw Data'!$E$3:$E$722,MATCH($A311,'03 Raw Data'!$D$3:$D$722,0)),""))</f>
        <v/>
      </c>
      <c r="D311" s="24">
        <f>IF($A311="","",IFERROR(INDEX('03 Raw Data'!$H$3:$H$722,MATCH($A311,'03 Raw Data'!$G$3:$G$722,0)),""))</f>
        <v/>
      </c>
      <c r="E311" s="24">
        <f>IF($A311="","",IFERROR(INDEX('03 Raw Data'!$K$3:$K$722,MATCH($A311,'03 Raw Data'!$J$3:$J$722,0)),""))</f>
        <v/>
      </c>
      <c r="F311" s="24">
        <f>IF($A311="","",IFERROR(INDEX('03 Raw Data'!$N$3:$N$722,MATCH($A311,'03 Raw Data'!$M$3:$M$722,0)),""))</f>
        <v/>
      </c>
      <c r="G311" s="24">
        <f>IF($A311="","",IFERROR(INDEX('03 Raw Data'!$Q$3:$Q$722,MATCH($A311,'03 Raw Data'!$P$3:$P$722,0)),""))</f>
        <v/>
      </c>
      <c r="H311" s="24">
        <f>IF($A311="","",IFERROR(INDEX('03 Raw Data'!$T$3:$T$722,MATCH($A311,'03 Raw Data'!$S$3:$S$722,0)),""))</f>
        <v/>
      </c>
    </row>
    <row r="312">
      <c r="A312" s="23">
        <f>IFERROR(IF(OR('03 Raw Data'!A310="",'03 Raw Data'!A310=0),"",'03 Raw Data'!A310),"")</f>
        <v/>
      </c>
      <c r="B312" s="24">
        <f>IF($A312="","",IFERROR(INDEX('03 Raw Data'!$B$3:$B$722,MATCH($A312,'03 Raw Data'!$A$3:$A$722,0)),""))</f>
        <v/>
      </c>
      <c r="C312" s="24">
        <f>IF($A312="","",IFERROR(INDEX('03 Raw Data'!$E$3:$E$722,MATCH($A312,'03 Raw Data'!$D$3:$D$722,0)),""))</f>
        <v/>
      </c>
      <c r="D312" s="24">
        <f>IF($A312="","",IFERROR(INDEX('03 Raw Data'!$H$3:$H$722,MATCH($A312,'03 Raw Data'!$G$3:$G$722,0)),""))</f>
        <v/>
      </c>
      <c r="E312" s="24">
        <f>IF($A312="","",IFERROR(INDEX('03 Raw Data'!$K$3:$K$722,MATCH($A312,'03 Raw Data'!$J$3:$J$722,0)),""))</f>
        <v/>
      </c>
      <c r="F312" s="24">
        <f>IF($A312="","",IFERROR(INDEX('03 Raw Data'!$N$3:$N$722,MATCH($A312,'03 Raw Data'!$M$3:$M$722,0)),""))</f>
        <v/>
      </c>
      <c r="G312" s="24">
        <f>IF($A312="","",IFERROR(INDEX('03 Raw Data'!$Q$3:$Q$722,MATCH($A312,'03 Raw Data'!$P$3:$P$722,0)),""))</f>
        <v/>
      </c>
      <c r="H312" s="24">
        <f>IF($A312="","",IFERROR(INDEX('03 Raw Data'!$T$3:$T$722,MATCH($A312,'03 Raw Data'!$S$3:$S$722,0)),""))</f>
        <v/>
      </c>
    </row>
    <row r="313">
      <c r="A313" s="23">
        <f>IFERROR(IF(OR('03 Raw Data'!A311="",'03 Raw Data'!A311=0),"",'03 Raw Data'!A311),"")</f>
        <v/>
      </c>
      <c r="B313" s="24">
        <f>IF($A313="","",IFERROR(INDEX('03 Raw Data'!$B$3:$B$722,MATCH($A313,'03 Raw Data'!$A$3:$A$722,0)),""))</f>
        <v/>
      </c>
      <c r="C313" s="24">
        <f>IF($A313="","",IFERROR(INDEX('03 Raw Data'!$E$3:$E$722,MATCH($A313,'03 Raw Data'!$D$3:$D$722,0)),""))</f>
        <v/>
      </c>
      <c r="D313" s="24">
        <f>IF($A313="","",IFERROR(INDEX('03 Raw Data'!$H$3:$H$722,MATCH($A313,'03 Raw Data'!$G$3:$G$722,0)),""))</f>
        <v/>
      </c>
      <c r="E313" s="24">
        <f>IF($A313="","",IFERROR(INDEX('03 Raw Data'!$K$3:$K$722,MATCH($A313,'03 Raw Data'!$J$3:$J$722,0)),""))</f>
        <v/>
      </c>
      <c r="F313" s="24">
        <f>IF($A313="","",IFERROR(INDEX('03 Raw Data'!$N$3:$N$722,MATCH($A313,'03 Raw Data'!$M$3:$M$722,0)),""))</f>
        <v/>
      </c>
      <c r="G313" s="24">
        <f>IF($A313="","",IFERROR(INDEX('03 Raw Data'!$Q$3:$Q$722,MATCH($A313,'03 Raw Data'!$P$3:$P$722,0)),""))</f>
        <v/>
      </c>
      <c r="H313" s="24">
        <f>IF($A313="","",IFERROR(INDEX('03 Raw Data'!$T$3:$T$722,MATCH($A313,'03 Raw Data'!$S$3:$S$722,0)),""))</f>
        <v/>
      </c>
    </row>
    <row r="314">
      <c r="A314" s="23">
        <f>IFERROR(IF(OR('03 Raw Data'!A312="",'03 Raw Data'!A312=0),"",'03 Raw Data'!A312),"")</f>
        <v/>
      </c>
      <c r="B314" s="24">
        <f>IF($A314="","",IFERROR(INDEX('03 Raw Data'!$B$3:$B$722,MATCH($A314,'03 Raw Data'!$A$3:$A$722,0)),""))</f>
        <v/>
      </c>
      <c r="C314" s="24">
        <f>IF($A314="","",IFERROR(INDEX('03 Raw Data'!$E$3:$E$722,MATCH($A314,'03 Raw Data'!$D$3:$D$722,0)),""))</f>
        <v/>
      </c>
      <c r="D314" s="24">
        <f>IF($A314="","",IFERROR(INDEX('03 Raw Data'!$H$3:$H$722,MATCH($A314,'03 Raw Data'!$G$3:$G$722,0)),""))</f>
        <v/>
      </c>
      <c r="E314" s="24">
        <f>IF($A314="","",IFERROR(INDEX('03 Raw Data'!$K$3:$K$722,MATCH($A314,'03 Raw Data'!$J$3:$J$722,0)),""))</f>
        <v/>
      </c>
      <c r="F314" s="24">
        <f>IF($A314="","",IFERROR(INDEX('03 Raw Data'!$N$3:$N$722,MATCH($A314,'03 Raw Data'!$M$3:$M$722,0)),""))</f>
        <v/>
      </c>
      <c r="G314" s="24">
        <f>IF($A314="","",IFERROR(INDEX('03 Raw Data'!$Q$3:$Q$722,MATCH($A314,'03 Raw Data'!$P$3:$P$722,0)),""))</f>
        <v/>
      </c>
      <c r="H314" s="24">
        <f>IF($A314="","",IFERROR(INDEX('03 Raw Data'!$T$3:$T$722,MATCH($A314,'03 Raw Data'!$S$3:$S$722,0)),""))</f>
        <v/>
      </c>
    </row>
    <row r="315">
      <c r="A315" s="23">
        <f>IFERROR(IF(OR('03 Raw Data'!A313="",'03 Raw Data'!A313=0),"",'03 Raw Data'!A313),"")</f>
        <v/>
      </c>
      <c r="B315" s="24">
        <f>IF($A315="","",IFERROR(INDEX('03 Raw Data'!$B$3:$B$722,MATCH($A315,'03 Raw Data'!$A$3:$A$722,0)),""))</f>
        <v/>
      </c>
      <c r="C315" s="24">
        <f>IF($A315="","",IFERROR(INDEX('03 Raw Data'!$E$3:$E$722,MATCH($A315,'03 Raw Data'!$D$3:$D$722,0)),""))</f>
        <v/>
      </c>
      <c r="D315" s="24">
        <f>IF($A315="","",IFERROR(INDEX('03 Raw Data'!$H$3:$H$722,MATCH($A315,'03 Raw Data'!$G$3:$G$722,0)),""))</f>
        <v/>
      </c>
      <c r="E315" s="24">
        <f>IF($A315="","",IFERROR(INDEX('03 Raw Data'!$K$3:$K$722,MATCH($A315,'03 Raw Data'!$J$3:$J$722,0)),""))</f>
        <v/>
      </c>
      <c r="F315" s="24">
        <f>IF($A315="","",IFERROR(INDEX('03 Raw Data'!$N$3:$N$722,MATCH($A315,'03 Raw Data'!$M$3:$M$722,0)),""))</f>
        <v/>
      </c>
      <c r="G315" s="24">
        <f>IF($A315="","",IFERROR(INDEX('03 Raw Data'!$Q$3:$Q$722,MATCH($A315,'03 Raw Data'!$P$3:$P$722,0)),""))</f>
        <v/>
      </c>
      <c r="H315" s="24">
        <f>IF($A315="","",IFERROR(INDEX('03 Raw Data'!$T$3:$T$722,MATCH($A315,'03 Raw Data'!$S$3:$S$722,0)),""))</f>
        <v/>
      </c>
    </row>
    <row r="316">
      <c r="A316" s="23">
        <f>IFERROR(IF(OR('03 Raw Data'!A314="",'03 Raw Data'!A314=0),"",'03 Raw Data'!A314),"")</f>
        <v/>
      </c>
      <c r="B316" s="24">
        <f>IF($A316="","",IFERROR(INDEX('03 Raw Data'!$B$3:$B$722,MATCH($A316,'03 Raw Data'!$A$3:$A$722,0)),""))</f>
        <v/>
      </c>
      <c r="C316" s="24">
        <f>IF($A316="","",IFERROR(INDEX('03 Raw Data'!$E$3:$E$722,MATCH($A316,'03 Raw Data'!$D$3:$D$722,0)),""))</f>
        <v/>
      </c>
      <c r="D316" s="24">
        <f>IF($A316="","",IFERROR(INDEX('03 Raw Data'!$H$3:$H$722,MATCH($A316,'03 Raw Data'!$G$3:$G$722,0)),""))</f>
        <v/>
      </c>
      <c r="E316" s="24">
        <f>IF($A316="","",IFERROR(INDEX('03 Raw Data'!$K$3:$K$722,MATCH($A316,'03 Raw Data'!$J$3:$J$722,0)),""))</f>
        <v/>
      </c>
      <c r="F316" s="24">
        <f>IF($A316="","",IFERROR(INDEX('03 Raw Data'!$N$3:$N$722,MATCH($A316,'03 Raw Data'!$M$3:$M$722,0)),""))</f>
        <v/>
      </c>
      <c r="G316" s="24">
        <f>IF($A316="","",IFERROR(INDEX('03 Raw Data'!$Q$3:$Q$722,MATCH($A316,'03 Raw Data'!$P$3:$P$722,0)),""))</f>
        <v/>
      </c>
      <c r="H316" s="24">
        <f>IF($A316="","",IFERROR(INDEX('03 Raw Data'!$T$3:$T$722,MATCH($A316,'03 Raw Data'!$S$3:$S$722,0)),""))</f>
        <v/>
      </c>
    </row>
    <row r="317">
      <c r="A317" s="23">
        <f>IFERROR(IF(OR('03 Raw Data'!A315="",'03 Raw Data'!A315=0),"",'03 Raw Data'!A315),"")</f>
        <v/>
      </c>
      <c r="B317" s="24">
        <f>IF($A317="","",IFERROR(INDEX('03 Raw Data'!$B$3:$B$722,MATCH($A317,'03 Raw Data'!$A$3:$A$722,0)),""))</f>
        <v/>
      </c>
      <c r="C317" s="24">
        <f>IF($A317="","",IFERROR(INDEX('03 Raw Data'!$E$3:$E$722,MATCH($A317,'03 Raw Data'!$D$3:$D$722,0)),""))</f>
        <v/>
      </c>
      <c r="D317" s="24">
        <f>IF($A317="","",IFERROR(INDEX('03 Raw Data'!$H$3:$H$722,MATCH($A317,'03 Raw Data'!$G$3:$G$722,0)),""))</f>
        <v/>
      </c>
      <c r="E317" s="24">
        <f>IF($A317="","",IFERROR(INDEX('03 Raw Data'!$K$3:$K$722,MATCH($A317,'03 Raw Data'!$J$3:$J$722,0)),""))</f>
        <v/>
      </c>
      <c r="F317" s="24">
        <f>IF($A317="","",IFERROR(INDEX('03 Raw Data'!$N$3:$N$722,MATCH($A317,'03 Raw Data'!$M$3:$M$722,0)),""))</f>
        <v/>
      </c>
      <c r="G317" s="24">
        <f>IF($A317="","",IFERROR(INDEX('03 Raw Data'!$Q$3:$Q$722,MATCH($A317,'03 Raw Data'!$P$3:$P$722,0)),""))</f>
        <v/>
      </c>
      <c r="H317" s="24">
        <f>IF($A317="","",IFERROR(INDEX('03 Raw Data'!$T$3:$T$722,MATCH($A317,'03 Raw Data'!$S$3:$S$722,0)),""))</f>
        <v/>
      </c>
    </row>
    <row r="318">
      <c r="A318" s="23">
        <f>IFERROR(IF(OR('03 Raw Data'!A316="",'03 Raw Data'!A316=0),"",'03 Raw Data'!A316),"")</f>
        <v/>
      </c>
      <c r="B318" s="24">
        <f>IF($A318="","",IFERROR(INDEX('03 Raw Data'!$B$3:$B$722,MATCH($A318,'03 Raw Data'!$A$3:$A$722,0)),""))</f>
        <v/>
      </c>
      <c r="C318" s="24">
        <f>IF($A318="","",IFERROR(INDEX('03 Raw Data'!$E$3:$E$722,MATCH($A318,'03 Raw Data'!$D$3:$D$722,0)),""))</f>
        <v/>
      </c>
      <c r="D318" s="24">
        <f>IF($A318="","",IFERROR(INDEX('03 Raw Data'!$H$3:$H$722,MATCH($A318,'03 Raw Data'!$G$3:$G$722,0)),""))</f>
        <v/>
      </c>
      <c r="E318" s="24">
        <f>IF($A318="","",IFERROR(INDEX('03 Raw Data'!$K$3:$K$722,MATCH($A318,'03 Raw Data'!$J$3:$J$722,0)),""))</f>
        <v/>
      </c>
      <c r="F318" s="24">
        <f>IF($A318="","",IFERROR(INDEX('03 Raw Data'!$N$3:$N$722,MATCH($A318,'03 Raw Data'!$M$3:$M$722,0)),""))</f>
        <v/>
      </c>
      <c r="G318" s="24">
        <f>IF($A318="","",IFERROR(INDEX('03 Raw Data'!$Q$3:$Q$722,MATCH($A318,'03 Raw Data'!$P$3:$P$722,0)),""))</f>
        <v/>
      </c>
      <c r="H318" s="24">
        <f>IF($A318="","",IFERROR(INDEX('03 Raw Data'!$T$3:$T$722,MATCH($A318,'03 Raw Data'!$S$3:$S$722,0)),""))</f>
        <v/>
      </c>
    </row>
    <row r="319">
      <c r="A319" s="23">
        <f>IFERROR(IF(OR('03 Raw Data'!A317="",'03 Raw Data'!A317=0),"",'03 Raw Data'!A317),"")</f>
        <v/>
      </c>
      <c r="B319" s="24">
        <f>IF($A319="","",IFERROR(INDEX('03 Raw Data'!$B$3:$B$722,MATCH($A319,'03 Raw Data'!$A$3:$A$722,0)),""))</f>
        <v/>
      </c>
      <c r="C319" s="24">
        <f>IF($A319="","",IFERROR(INDEX('03 Raw Data'!$E$3:$E$722,MATCH($A319,'03 Raw Data'!$D$3:$D$722,0)),""))</f>
        <v/>
      </c>
      <c r="D319" s="24">
        <f>IF($A319="","",IFERROR(INDEX('03 Raw Data'!$H$3:$H$722,MATCH($A319,'03 Raw Data'!$G$3:$G$722,0)),""))</f>
        <v/>
      </c>
      <c r="E319" s="24">
        <f>IF($A319="","",IFERROR(INDEX('03 Raw Data'!$K$3:$K$722,MATCH($A319,'03 Raw Data'!$J$3:$J$722,0)),""))</f>
        <v/>
      </c>
      <c r="F319" s="24">
        <f>IF($A319="","",IFERROR(INDEX('03 Raw Data'!$N$3:$N$722,MATCH($A319,'03 Raw Data'!$M$3:$M$722,0)),""))</f>
        <v/>
      </c>
      <c r="G319" s="24">
        <f>IF($A319="","",IFERROR(INDEX('03 Raw Data'!$Q$3:$Q$722,MATCH($A319,'03 Raw Data'!$P$3:$P$722,0)),""))</f>
        <v/>
      </c>
      <c r="H319" s="24">
        <f>IF($A319="","",IFERROR(INDEX('03 Raw Data'!$T$3:$T$722,MATCH($A319,'03 Raw Data'!$S$3:$S$722,0)),""))</f>
        <v/>
      </c>
    </row>
    <row r="320">
      <c r="A320" s="23">
        <f>IFERROR(IF(OR('03 Raw Data'!A318="",'03 Raw Data'!A318=0),"",'03 Raw Data'!A318),"")</f>
        <v/>
      </c>
      <c r="B320" s="24">
        <f>IF($A320="","",IFERROR(INDEX('03 Raw Data'!$B$3:$B$722,MATCH($A320,'03 Raw Data'!$A$3:$A$722,0)),""))</f>
        <v/>
      </c>
      <c r="C320" s="24">
        <f>IF($A320="","",IFERROR(INDEX('03 Raw Data'!$E$3:$E$722,MATCH($A320,'03 Raw Data'!$D$3:$D$722,0)),""))</f>
        <v/>
      </c>
      <c r="D320" s="24">
        <f>IF($A320="","",IFERROR(INDEX('03 Raw Data'!$H$3:$H$722,MATCH($A320,'03 Raw Data'!$G$3:$G$722,0)),""))</f>
        <v/>
      </c>
      <c r="E320" s="24">
        <f>IF($A320="","",IFERROR(INDEX('03 Raw Data'!$K$3:$K$722,MATCH($A320,'03 Raw Data'!$J$3:$J$722,0)),""))</f>
        <v/>
      </c>
      <c r="F320" s="24">
        <f>IF($A320="","",IFERROR(INDEX('03 Raw Data'!$N$3:$N$722,MATCH($A320,'03 Raw Data'!$M$3:$M$722,0)),""))</f>
        <v/>
      </c>
      <c r="G320" s="24">
        <f>IF($A320="","",IFERROR(INDEX('03 Raw Data'!$Q$3:$Q$722,MATCH($A320,'03 Raw Data'!$P$3:$P$722,0)),""))</f>
        <v/>
      </c>
      <c r="H320" s="24">
        <f>IF($A320="","",IFERROR(INDEX('03 Raw Data'!$T$3:$T$722,MATCH($A320,'03 Raw Data'!$S$3:$S$722,0)),""))</f>
        <v/>
      </c>
    </row>
    <row r="321">
      <c r="A321" s="23">
        <f>IFERROR(IF(OR('03 Raw Data'!A319="",'03 Raw Data'!A319=0),"",'03 Raw Data'!A319),"")</f>
        <v/>
      </c>
      <c r="B321" s="24">
        <f>IF($A321="","",IFERROR(INDEX('03 Raw Data'!$B$3:$B$722,MATCH($A321,'03 Raw Data'!$A$3:$A$722,0)),""))</f>
        <v/>
      </c>
      <c r="C321" s="24">
        <f>IF($A321="","",IFERROR(INDEX('03 Raw Data'!$E$3:$E$722,MATCH($A321,'03 Raw Data'!$D$3:$D$722,0)),""))</f>
        <v/>
      </c>
      <c r="D321" s="24">
        <f>IF($A321="","",IFERROR(INDEX('03 Raw Data'!$H$3:$H$722,MATCH($A321,'03 Raw Data'!$G$3:$G$722,0)),""))</f>
        <v/>
      </c>
      <c r="E321" s="24">
        <f>IF($A321="","",IFERROR(INDEX('03 Raw Data'!$K$3:$K$722,MATCH($A321,'03 Raw Data'!$J$3:$J$722,0)),""))</f>
        <v/>
      </c>
      <c r="F321" s="24">
        <f>IF($A321="","",IFERROR(INDEX('03 Raw Data'!$N$3:$N$722,MATCH($A321,'03 Raw Data'!$M$3:$M$722,0)),""))</f>
        <v/>
      </c>
      <c r="G321" s="24">
        <f>IF($A321="","",IFERROR(INDEX('03 Raw Data'!$Q$3:$Q$722,MATCH($A321,'03 Raw Data'!$P$3:$P$722,0)),""))</f>
        <v/>
      </c>
      <c r="H321" s="24">
        <f>IF($A321="","",IFERROR(INDEX('03 Raw Data'!$T$3:$T$722,MATCH($A321,'03 Raw Data'!$S$3:$S$722,0)),""))</f>
        <v/>
      </c>
    </row>
    <row r="322">
      <c r="A322" s="23">
        <f>IFERROR(IF(OR('03 Raw Data'!A320="",'03 Raw Data'!A320=0),"",'03 Raw Data'!A320),"")</f>
        <v/>
      </c>
      <c r="B322" s="24">
        <f>IF($A322="","",IFERROR(INDEX('03 Raw Data'!$B$3:$B$722,MATCH($A322,'03 Raw Data'!$A$3:$A$722,0)),""))</f>
        <v/>
      </c>
      <c r="C322" s="24">
        <f>IF($A322="","",IFERROR(INDEX('03 Raw Data'!$E$3:$E$722,MATCH($A322,'03 Raw Data'!$D$3:$D$722,0)),""))</f>
        <v/>
      </c>
      <c r="D322" s="24">
        <f>IF($A322="","",IFERROR(INDEX('03 Raw Data'!$H$3:$H$722,MATCH($A322,'03 Raw Data'!$G$3:$G$722,0)),""))</f>
        <v/>
      </c>
      <c r="E322" s="24">
        <f>IF($A322="","",IFERROR(INDEX('03 Raw Data'!$K$3:$K$722,MATCH($A322,'03 Raw Data'!$J$3:$J$722,0)),""))</f>
        <v/>
      </c>
      <c r="F322" s="24">
        <f>IF($A322="","",IFERROR(INDEX('03 Raw Data'!$N$3:$N$722,MATCH($A322,'03 Raw Data'!$M$3:$M$722,0)),""))</f>
        <v/>
      </c>
      <c r="G322" s="24">
        <f>IF($A322="","",IFERROR(INDEX('03 Raw Data'!$Q$3:$Q$722,MATCH($A322,'03 Raw Data'!$P$3:$P$722,0)),""))</f>
        <v/>
      </c>
      <c r="H322" s="24">
        <f>IF($A322="","",IFERROR(INDEX('03 Raw Data'!$T$3:$T$722,MATCH($A322,'03 Raw Data'!$S$3:$S$722,0)),""))</f>
        <v/>
      </c>
    </row>
    <row r="323">
      <c r="A323" s="23">
        <f>IFERROR(IF(OR('03 Raw Data'!A321="",'03 Raw Data'!A321=0),"",'03 Raw Data'!A321),"")</f>
        <v/>
      </c>
      <c r="B323" s="24">
        <f>IF($A323="","",IFERROR(INDEX('03 Raw Data'!$B$3:$B$722,MATCH($A323,'03 Raw Data'!$A$3:$A$722,0)),""))</f>
        <v/>
      </c>
      <c r="C323" s="24">
        <f>IF($A323="","",IFERROR(INDEX('03 Raw Data'!$E$3:$E$722,MATCH($A323,'03 Raw Data'!$D$3:$D$722,0)),""))</f>
        <v/>
      </c>
      <c r="D323" s="24">
        <f>IF($A323="","",IFERROR(INDEX('03 Raw Data'!$H$3:$H$722,MATCH($A323,'03 Raw Data'!$G$3:$G$722,0)),""))</f>
        <v/>
      </c>
      <c r="E323" s="24">
        <f>IF($A323="","",IFERROR(INDEX('03 Raw Data'!$K$3:$K$722,MATCH($A323,'03 Raw Data'!$J$3:$J$722,0)),""))</f>
        <v/>
      </c>
      <c r="F323" s="24">
        <f>IF($A323="","",IFERROR(INDEX('03 Raw Data'!$N$3:$N$722,MATCH($A323,'03 Raw Data'!$M$3:$M$722,0)),""))</f>
        <v/>
      </c>
      <c r="G323" s="24">
        <f>IF($A323="","",IFERROR(INDEX('03 Raw Data'!$Q$3:$Q$722,MATCH($A323,'03 Raw Data'!$P$3:$P$722,0)),""))</f>
        <v/>
      </c>
      <c r="H323" s="24">
        <f>IF($A323="","",IFERROR(INDEX('03 Raw Data'!$T$3:$T$722,MATCH($A323,'03 Raw Data'!$S$3:$S$722,0)),""))</f>
        <v/>
      </c>
    </row>
    <row r="324">
      <c r="A324" s="23">
        <f>IFERROR(IF(OR('03 Raw Data'!A322="",'03 Raw Data'!A322=0),"",'03 Raw Data'!A322),"")</f>
        <v/>
      </c>
      <c r="B324" s="24">
        <f>IF($A324="","",IFERROR(INDEX('03 Raw Data'!$B$3:$B$722,MATCH($A324,'03 Raw Data'!$A$3:$A$722,0)),""))</f>
        <v/>
      </c>
      <c r="C324" s="24">
        <f>IF($A324="","",IFERROR(INDEX('03 Raw Data'!$E$3:$E$722,MATCH($A324,'03 Raw Data'!$D$3:$D$722,0)),""))</f>
        <v/>
      </c>
      <c r="D324" s="24">
        <f>IF($A324="","",IFERROR(INDEX('03 Raw Data'!$H$3:$H$722,MATCH($A324,'03 Raw Data'!$G$3:$G$722,0)),""))</f>
        <v/>
      </c>
      <c r="E324" s="24">
        <f>IF($A324="","",IFERROR(INDEX('03 Raw Data'!$K$3:$K$722,MATCH($A324,'03 Raw Data'!$J$3:$J$722,0)),""))</f>
        <v/>
      </c>
      <c r="F324" s="24">
        <f>IF($A324="","",IFERROR(INDEX('03 Raw Data'!$N$3:$N$722,MATCH($A324,'03 Raw Data'!$M$3:$M$722,0)),""))</f>
        <v/>
      </c>
      <c r="G324" s="24">
        <f>IF($A324="","",IFERROR(INDEX('03 Raw Data'!$Q$3:$Q$722,MATCH($A324,'03 Raw Data'!$P$3:$P$722,0)),""))</f>
        <v/>
      </c>
      <c r="H324" s="24">
        <f>IF($A324="","",IFERROR(INDEX('03 Raw Data'!$T$3:$T$722,MATCH($A324,'03 Raw Data'!$S$3:$S$722,0)),""))</f>
        <v/>
      </c>
    </row>
    <row r="325">
      <c r="A325" s="23">
        <f>IFERROR(IF(OR('03 Raw Data'!A323="",'03 Raw Data'!A323=0),"",'03 Raw Data'!A323),"")</f>
        <v/>
      </c>
      <c r="B325" s="24">
        <f>IF($A325="","",IFERROR(INDEX('03 Raw Data'!$B$3:$B$722,MATCH($A325,'03 Raw Data'!$A$3:$A$722,0)),""))</f>
        <v/>
      </c>
      <c r="C325" s="24">
        <f>IF($A325="","",IFERROR(INDEX('03 Raw Data'!$E$3:$E$722,MATCH($A325,'03 Raw Data'!$D$3:$D$722,0)),""))</f>
        <v/>
      </c>
      <c r="D325" s="24">
        <f>IF($A325="","",IFERROR(INDEX('03 Raw Data'!$H$3:$H$722,MATCH($A325,'03 Raw Data'!$G$3:$G$722,0)),""))</f>
        <v/>
      </c>
      <c r="E325" s="24">
        <f>IF($A325="","",IFERROR(INDEX('03 Raw Data'!$K$3:$K$722,MATCH($A325,'03 Raw Data'!$J$3:$J$722,0)),""))</f>
        <v/>
      </c>
      <c r="F325" s="24">
        <f>IF($A325="","",IFERROR(INDEX('03 Raw Data'!$N$3:$N$722,MATCH($A325,'03 Raw Data'!$M$3:$M$722,0)),""))</f>
        <v/>
      </c>
      <c r="G325" s="24">
        <f>IF($A325="","",IFERROR(INDEX('03 Raw Data'!$Q$3:$Q$722,MATCH($A325,'03 Raw Data'!$P$3:$P$722,0)),""))</f>
        <v/>
      </c>
      <c r="H325" s="24">
        <f>IF($A325="","",IFERROR(INDEX('03 Raw Data'!$T$3:$T$722,MATCH($A325,'03 Raw Data'!$S$3:$S$722,0)),""))</f>
        <v/>
      </c>
    </row>
    <row r="326">
      <c r="A326" s="23">
        <f>IFERROR(IF(OR('03 Raw Data'!A324="",'03 Raw Data'!A324=0),"",'03 Raw Data'!A324),"")</f>
        <v/>
      </c>
      <c r="B326" s="24">
        <f>IF($A326="","",IFERROR(INDEX('03 Raw Data'!$B$3:$B$722,MATCH($A326,'03 Raw Data'!$A$3:$A$722,0)),""))</f>
        <v/>
      </c>
      <c r="C326" s="24">
        <f>IF($A326="","",IFERROR(INDEX('03 Raw Data'!$E$3:$E$722,MATCH($A326,'03 Raw Data'!$D$3:$D$722,0)),""))</f>
        <v/>
      </c>
      <c r="D326" s="24">
        <f>IF($A326="","",IFERROR(INDEX('03 Raw Data'!$H$3:$H$722,MATCH($A326,'03 Raw Data'!$G$3:$G$722,0)),""))</f>
        <v/>
      </c>
      <c r="E326" s="24">
        <f>IF($A326="","",IFERROR(INDEX('03 Raw Data'!$K$3:$K$722,MATCH($A326,'03 Raw Data'!$J$3:$J$722,0)),""))</f>
        <v/>
      </c>
      <c r="F326" s="24">
        <f>IF($A326="","",IFERROR(INDEX('03 Raw Data'!$N$3:$N$722,MATCH($A326,'03 Raw Data'!$M$3:$M$722,0)),""))</f>
        <v/>
      </c>
      <c r="G326" s="24">
        <f>IF($A326="","",IFERROR(INDEX('03 Raw Data'!$Q$3:$Q$722,MATCH($A326,'03 Raw Data'!$P$3:$P$722,0)),""))</f>
        <v/>
      </c>
      <c r="H326" s="24">
        <f>IF($A326="","",IFERROR(INDEX('03 Raw Data'!$T$3:$T$722,MATCH($A326,'03 Raw Data'!$S$3:$S$722,0)),""))</f>
        <v/>
      </c>
    </row>
    <row r="327">
      <c r="A327" s="23">
        <f>IFERROR(IF(OR('03 Raw Data'!A325="",'03 Raw Data'!A325=0),"",'03 Raw Data'!A325),"")</f>
        <v/>
      </c>
      <c r="B327" s="24">
        <f>IF($A327="","",IFERROR(INDEX('03 Raw Data'!$B$3:$B$722,MATCH($A327,'03 Raw Data'!$A$3:$A$722,0)),""))</f>
        <v/>
      </c>
      <c r="C327" s="24">
        <f>IF($A327="","",IFERROR(INDEX('03 Raw Data'!$E$3:$E$722,MATCH($A327,'03 Raw Data'!$D$3:$D$722,0)),""))</f>
        <v/>
      </c>
      <c r="D327" s="24">
        <f>IF($A327="","",IFERROR(INDEX('03 Raw Data'!$H$3:$H$722,MATCH($A327,'03 Raw Data'!$G$3:$G$722,0)),""))</f>
        <v/>
      </c>
      <c r="E327" s="24">
        <f>IF($A327="","",IFERROR(INDEX('03 Raw Data'!$K$3:$K$722,MATCH($A327,'03 Raw Data'!$J$3:$J$722,0)),""))</f>
        <v/>
      </c>
      <c r="F327" s="24">
        <f>IF($A327="","",IFERROR(INDEX('03 Raw Data'!$N$3:$N$722,MATCH($A327,'03 Raw Data'!$M$3:$M$722,0)),""))</f>
        <v/>
      </c>
      <c r="G327" s="24">
        <f>IF($A327="","",IFERROR(INDEX('03 Raw Data'!$Q$3:$Q$722,MATCH($A327,'03 Raw Data'!$P$3:$P$722,0)),""))</f>
        <v/>
      </c>
      <c r="H327" s="24">
        <f>IF($A327="","",IFERROR(INDEX('03 Raw Data'!$T$3:$T$722,MATCH($A327,'03 Raw Data'!$S$3:$S$722,0)),""))</f>
        <v/>
      </c>
    </row>
    <row r="328">
      <c r="A328" s="23">
        <f>IFERROR(IF(OR('03 Raw Data'!A326="",'03 Raw Data'!A326=0),"",'03 Raw Data'!A326),"")</f>
        <v/>
      </c>
      <c r="B328" s="24">
        <f>IF($A328="","",IFERROR(INDEX('03 Raw Data'!$B$3:$B$722,MATCH($A328,'03 Raw Data'!$A$3:$A$722,0)),""))</f>
        <v/>
      </c>
      <c r="C328" s="24">
        <f>IF($A328="","",IFERROR(INDEX('03 Raw Data'!$E$3:$E$722,MATCH($A328,'03 Raw Data'!$D$3:$D$722,0)),""))</f>
        <v/>
      </c>
      <c r="D328" s="24">
        <f>IF($A328="","",IFERROR(INDEX('03 Raw Data'!$H$3:$H$722,MATCH($A328,'03 Raw Data'!$G$3:$G$722,0)),""))</f>
        <v/>
      </c>
      <c r="E328" s="24">
        <f>IF($A328="","",IFERROR(INDEX('03 Raw Data'!$K$3:$K$722,MATCH($A328,'03 Raw Data'!$J$3:$J$722,0)),""))</f>
        <v/>
      </c>
      <c r="F328" s="24">
        <f>IF($A328="","",IFERROR(INDEX('03 Raw Data'!$N$3:$N$722,MATCH($A328,'03 Raw Data'!$M$3:$M$722,0)),""))</f>
        <v/>
      </c>
      <c r="G328" s="24">
        <f>IF($A328="","",IFERROR(INDEX('03 Raw Data'!$Q$3:$Q$722,MATCH($A328,'03 Raw Data'!$P$3:$P$722,0)),""))</f>
        <v/>
      </c>
      <c r="H328" s="24">
        <f>IF($A328="","",IFERROR(INDEX('03 Raw Data'!$T$3:$T$722,MATCH($A328,'03 Raw Data'!$S$3:$S$722,0)),""))</f>
        <v/>
      </c>
    </row>
    <row r="329">
      <c r="A329" s="23">
        <f>IFERROR(IF(OR('03 Raw Data'!A327="",'03 Raw Data'!A327=0),"",'03 Raw Data'!A327),"")</f>
        <v/>
      </c>
      <c r="B329" s="24">
        <f>IF($A329="","",IFERROR(INDEX('03 Raw Data'!$B$3:$B$722,MATCH($A329,'03 Raw Data'!$A$3:$A$722,0)),""))</f>
        <v/>
      </c>
      <c r="C329" s="24">
        <f>IF($A329="","",IFERROR(INDEX('03 Raw Data'!$E$3:$E$722,MATCH($A329,'03 Raw Data'!$D$3:$D$722,0)),""))</f>
        <v/>
      </c>
      <c r="D329" s="24">
        <f>IF($A329="","",IFERROR(INDEX('03 Raw Data'!$H$3:$H$722,MATCH($A329,'03 Raw Data'!$G$3:$G$722,0)),""))</f>
        <v/>
      </c>
      <c r="E329" s="24">
        <f>IF($A329="","",IFERROR(INDEX('03 Raw Data'!$K$3:$K$722,MATCH($A329,'03 Raw Data'!$J$3:$J$722,0)),""))</f>
        <v/>
      </c>
      <c r="F329" s="24">
        <f>IF($A329="","",IFERROR(INDEX('03 Raw Data'!$N$3:$N$722,MATCH($A329,'03 Raw Data'!$M$3:$M$722,0)),""))</f>
        <v/>
      </c>
      <c r="G329" s="24">
        <f>IF($A329="","",IFERROR(INDEX('03 Raw Data'!$Q$3:$Q$722,MATCH($A329,'03 Raw Data'!$P$3:$P$722,0)),""))</f>
        <v/>
      </c>
      <c r="H329" s="24">
        <f>IF($A329="","",IFERROR(INDEX('03 Raw Data'!$T$3:$T$722,MATCH($A329,'03 Raw Data'!$S$3:$S$722,0)),""))</f>
        <v/>
      </c>
    </row>
    <row r="330">
      <c r="A330" s="23">
        <f>IFERROR(IF(OR('03 Raw Data'!A328="",'03 Raw Data'!A328=0),"",'03 Raw Data'!A328),"")</f>
        <v/>
      </c>
      <c r="B330" s="24">
        <f>IF($A330="","",IFERROR(INDEX('03 Raw Data'!$B$3:$B$722,MATCH($A330,'03 Raw Data'!$A$3:$A$722,0)),""))</f>
        <v/>
      </c>
      <c r="C330" s="24">
        <f>IF($A330="","",IFERROR(INDEX('03 Raw Data'!$E$3:$E$722,MATCH($A330,'03 Raw Data'!$D$3:$D$722,0)),""))</f>
        <v/>
      </c>
      <c r="D330" s="24">
        <f>IF($A330="","",IFERROR(INDEX('03 Raw Data'!$H$3:$H$722,MATCH($A330,'03 Raw Data'!$G$3:$G$722,0)),""))</f>
        <v/>
      </c>
      <c r="E330" s="24">
        <f>IF($A330="","",IFERROR(INDEX('03 Raw Data'!$K$3:$K$722,MATCH($A330,'03 Raw Data'!$J$3:$J$722,0)),""))</f>
        <v/>
      </c>
      <c r="F330" s="24">
        <f>IF($A330="","",IFERROR(INDEX('03 Raw Data'!$N$3:$N$722,MATCH($A330,'03 Raw Data'!$M$3:$M$722,0)),""))</f>
        <v/>
      </c>
      <c r="G330" s="24">
        <f>IF($A330="","",IFERROR(INDEX('03 Raw Data'!$Q$3:$Q$722,MATCH($A330,'03 Raw Data'!$P$3:$P$722,0)),""))</f>
        <v/>
      </c>
      <c r="H330" s="24">
        <f>IF($A330="","",IFERROR(INDEX('03 Raw Data'!$T$3:$T$722,MATCH($A330,'03 Raw Data'!$S$3:$S$722,0)),""))</f>
        <v/>
      </c>
    </row>
    <row r="331">
      <c r="A331" s="23">
        <f>IFERROR(IF(OR('03 Raw Data'!A329="",'03 Raw Data'!A329=0),"",'03 Raw Data'!A329),"")</f>
        <v/>
      </c>
      <c r="B331" s="24">
        <f>IF($A331="","",IFERROR(INDEX('03 Raw Data'!$B$3:$B$722,MATCH($A331,'03 Raw Data'!$A$3:$A$722,0)),""))</f>
        <v/>
      </c>
      <c r="C331" s="24">
        <f>IF($A331="","",IFERROR(INDEX('03 Raw Data'!$E$3:$E$722,MATCH($A331,'03 Raw Data'!$D$3:$D$722,0)),""))</f>
        <v/>
      </c>
      <c r="D331" s="24">
        <f>IF($A331="","",IFERROR(INDEX('03 Raw Data'!$H$3:$H$722,MATCH($A331,'03 Raw Data'!$G$3:$G$722,0)),""))</f>
        <v/>
      </c>
      <c r="E331" s="24">
        <f>IF($A331="","",IFERROR(INDEX('03 Raw Data'!$K$3:$K$722,MATCH($A331,'03 Raw Data'!$J$3:$J$722,0)),""))</f>
        <v/>
      </c>
      <c r="F331" s="24">
        <f>IF($A331="","",IFERROR(INDEX('03 Raw Data'!$N$3:$N$722,MATCH($A331,'03 Raw Data'!$M$3:$M$722,0)),""))</f>
        <v/>
      </c>
      <c r="G331" s="24">
        <f>IF($A331="","",IFERROR(INDEX('03 Raw Data'!$Q$3:$Q$722,MATCH($A331,'03 Raw Data'!$P$3:$P$722,0)),""))</f>
        <v/>
      </c>
      <c r="H331" s="24">
        <f>IF($A331="","",IFERROR(INDEX('03 Raw Data'!$T$3:$T$722,MATCH($A331,'03 Raw Data'!$S$3:$S$722,0)),""))</f>
        <v/>
      </c>
    </row>
    <row r="332">
      <c r="A332" s="23">
        <f>IFERROR(IF(OR('03 Raw Data'!A330="",'03 Raw Data'!A330=0),"",'03 Raw Data'!A330),"")</f>
        <v/>
      </c>
      <c r="B332" s="24">
        <f>IF($A332="","",IFERROR(INDEX('03 Raw Data'!$B$3:$B$722,MATCH($A332,'03 Raw Data'!$A$3:$A$722,0)),""))</f>
        <v/>
      </c>
      <c r="C332" s="24">
        <f>IF($A332="","",IFERROR(INDEX('03 Raw Data'!$E$3:$E$722,MATCH($A332,'03 Raw Data'!$D$3:$D$722,0)),""))</f>
        <v/>
      </c>
      <c r="D332" s="24">
        <f>IF($A332="","",IFERROR(INDEX('03 Raw Data'!$H$3:$H$722,MATCH($A332,'03 Raw Data'!$G$3:$G$722,0)),""))</f>
        <v/>
      </c>
      <c r="E332" s="24">
        <f>IF($A332="","",IFERROR(INDEX('03 Raw Data'!$K$3:$K$722,MATCH($A332,'03 Raw Data'!$J$3:$J$722,0)),""))</f>
        <v/>
      </c>
      <c r="F332" s="24">
        <f>IF($A332="","",IFERROR(INDEX('03 Raw Data'!$N$3:$N$722,MATCH($A332,'03 Raw Data'!$M$3:$M$722,0)),""))</f>
        <v/>
      </c>
      <c r="G332" s="24">
        <f>IF($A332="","",IFERROR(INDEX('03 Raw Data'!$Q$3:$Q$722,MATCH($A332,'03 Raw Data'!$P$3:$P$722,0)),""))</f>
        <v/>
      </c>
      <c r="H332" s="24">
        <f>IF($A332="","",IFERROR(INDEX('03 Raw Data'!$T$3:$T$722,MATCH($A332,'03 Raw Data'!$S$3:$S$722,0)),""))</f>
        <v/>
      </c>
    </row>
    <row r="333">
      <c r="A333" s="23">
        <f>IFERROR(IF(OR('03 Raw Data'!A331="",'03 Raw Data'!A331=0),"",'03 Raw Data'!A331),"")</f>
        <v/>
      </c>
      <c r="B333" s="24">
        <f>IF($A333="","",IFERROR(INDEX('03 Raw Data'!$B$3:$B$722,MATCH($A333,'03 Raw Data'!$A$3:$A$722,0)),""))</f>
        <v/>
      </c>
      <c r="C333" s="24">
        <f>IF($A333="","",IFERROR(INDEX('03 Raw Data'!$E$3:$E$722,MATCH($A333,'03 Raw Data'!$D$3:$D$722,0)),""))</f>
        <v/>
      </c>
      <c r="D333" s="24">
        <f>IF($A333="","",IFERROR(INDEX('03 Raw Data'!$H$3:$H$722,MATCH($A333,'03 Raw Data'!$G$3:$G$722,0)),""))</f>
        <v/>
      </c>
      <c r="E333" s="24">
        <f>IF($A333="","",IFERROR(INDEX('03 Raw Data'!$K$3:$K$722,MATCH($A333,'03 Raw Data'!$J$3:$J$722,0)),""))</f>
        <v/>
      </c>
      <c r="F333" s="24">
        <f>IF($A333="","",IFERROR(INDEX('03 Raw Data'!$N$3:$N$722,MATCH($A333,'03 Raw Data'!$M$3:$M$722,0)),""))</f>
        <v/>
      </c>
      <c r="G333" s="24">
        <f>IF($A333="","",IFERROR(INDEX('03 Raw Data'!$Q$3:$Q$722,MATCH($A333,'03 Raw Data'!$P$3:$P$722,0)),""))</f>
        <v/>
      </c>
      <c r="H333" s="24">
        <f>IF($A333="","",IFERROR(INDEX('03 Raw Data'!$T$3:$T$722,MATCH($A333,'03 Raw Data'!$S$3:$S$722,0)),""))</f>
        <v/>
      </c>
    </row>
    <row r="334">
      <c r="A334" s="23">
        <f>IFERROR(IF(OR('03 Raw Data'!A332="",'03 Raw Data'!A332=0),"",'03 Raw Data'!A332),"")</f>
        <v/>
      </c>
      <c r="B334" s="24">
        <f>IF($A334="","",IFERROR(INDEX('03 Raw Data'!$B$3:$B$722,MATCH($A334,'03 Raw Data'!$A$3:$A$722,0)),""))</f>
        <v/>
      </c>
      <c r="C334" s="24">
        <f>IF($A334="","",IFERROR(INDEX('03 Raw Data'!$E$3:$E$722,MATCH($A334,'03 Raw Data'!$D$3:$D$722,0)),""))</f>
        <v/>
      </c>
      <c r="D334" s="24">
        <f>IF($A334="","",IFERROR(INDEX('03 Raw Data'!$H$3:$H$722,MATCH($A334,'03 Raw Data'!$G$3:$G$722,0)),""))</f>
        <v/>
      </c>
      <c r="E334" s="24">
        <f>IF($A334="","",IFERROR(INDEX('03 Raw Data'!$K$3:$K$722,MATCH($A334,'03 Raw Data'!$J$3:$J$722,0)),""))</f>
        <v/>
      </c>
      <c r="F334" s="24">
        <f>IF($A334="","",IFERROR(INDEX('03 Raw Data'!$N$3:$N$722,MATCH($A334,'03 Raw Data'!$M$3:$M$722,0)),""))</f>
        <v/>
      </c>
      <c r="G334" s="24">
        <f>IF($A334="","",IFERROR(INDEX('03 Raw Data'!$Q$3:$Q$722,MATCH($A334,'03 Raw Data'!$P$3:$P$722,0)),""))</f>
        <v/>
      </c>
      <c r="H334" s="24">
        <f>IF($A334="","",IFERROR(INDEX('03 Raw Data'!$T$3:$T$722,MATCH($A334,'03 Raw Data'!$S$3:$S$722,0)),""))</f>
        <v/>
      </c>
    </row>
    <row r="335">
      <c r="A335" s="23">
        <f>IFERROR(IF(OR('03 Raw Data'!A333="",'03 Raw Data'!A333=0),"",'03 Raw Data'!A333),"")</f>
        <v/>
      </c>
      <c r="B335" s="24">
        <f>IF($A335="","",IFERROR(INDEX('03 Raw Data'!$B$3:$B$722,MATCH($A335,'03 Raw Data'!$A$3:$A$722,0)),""))</f>
        <v/>
      </c>
      <c r="C335" s="24">
        <f>IF($A335="","",IFERROR(INDEX('03 Raw Data'!$E$3:$E$722,MATCH($A335,'03 Raw Data'!$D$3:$D$722,0)),""))</f>
        <v/>
      </c>
      <c r="D335" s="24">
        <f>IF($A335="","",IFERROR(INDEX('03 Raw Data'!$H$3:$H$722,MATCH($A335,'03 Raw Data'!$G$3:$G$722,0)),""))</f>
        <v/>
      </c>
      <c r="E335" s="24">
        <f>IF($A335="","",IFERROR(INDEX('03 Raw Data'!$K$3:$K$722,MATCH($A335,'03 Raw Data'!$J$3:$J$722,0)),""))</f>
        <v/>
      </c>
      <c r="F335" s="24">
        <f>IF($A335="","",IFERROR(INDEX('03 Raw Data'!$N$3:$N$722,MATCH($A335,'03 Raw Data'!$M$3:$M$722,0)),""))</f>
        <v/>
      </c>
      <c r="G335" s="24">
        <f>IF($A335="","",IFERROR(INDEX('03 Raw Data'!$Q$3:$Q$722,MATCH($A335,'03 Raw Data'!$P$3:$P$722,0)),""))</f>
        <v/>
      </c>
      <c r="H335" s="24">
        <f>IF($A335="","",IFERROR(INDEX('03 Raw Data'!$T$3:$T$722,MATCH($A335,'03 Raw Data'!$S$3:$S$722,0)),""))</f>
        <v/>
      </c>
    </row>
    <row r="336">
      <c r="A336" s="23">
        <f>IFERROR(IF(OR('03 Raw Data'!A334="",'03 Raw Data'!A334=0),"",'03 Raw Data'!A334),"")</f>
        <v/>
      </c>
      <c r="B336" s="24">
        <f>IF($A336="","",IFERROR(INDEX('03 Raw Data'!$B$3:$B$722,MATCH($A336,'03 Raw Data'!$A$3:$A$722,0)),""))</f>
        <v/>
      </c>
      <c r="C336" s="24">
        <f>IF($A336="","",IFERROR(INDEX('03 Raw Data'!$E$3:$E$722,MATCH($A336,'03 Raw Data'!$D$3:$D$722,0)),""))</f>
        <v/>
      </c>
      <c r="D336" s="24">
        <f>IF($A336="","",IFERROR(INDEX('03 Raw Data'!$H$3:$H$722,MATCH($A336,'03 Raw Data'!$G$3:$G$722,0)),""))</f>
        <v/>
      </c>
      <c r="E336" s="24">
        <f>IF($A336="","",IFERROR(INDEX('03 Raw Data'!$K$3:$K$722,MATCH($A336,'03 Raw Data'!$J$3:$J$722,0)),""))</f>
        <v/>
      </c>
      <c r="F336" s="24">
        <f>IF($A336="","",IFERROR(INDEX('03 Raw Data'!$N$3:$N$722,MATCH($A336,'03 Raw Data'!$M$3:$M$722,0)),""))</f>
        <v/>
      </c>
      <c r="G336" s="24">
        <f>IF($A336="","",IFERROR(INDEX('03 Raw Data'!$Q$3:$Q$722,MATCH($A336,'03 Raw Data'!$P$3:$P$722,0)),""))</f>
        <v/>
      </c>
      <c r="H336" s="24">
        <f>IF($A336="","",IFERROR(INDEX('03 Raw Data'!$T$3:$T$722,MATCH($A336,'03 Raw Data'!$S$3:$S$722,0)),""))</f>
        <v/>
      </c>
    </row>
    <row r="337">
      <c r="A337" s="23">
        <f>IFERROR(IF(OR('03 Raw Data'!A335="",'03 Raw Data'!A335=0),"",'03 Raw Data'!A335),"")</f>
        <v/>
      </c>
      <c r="B337" s="24">
        <f>IF($A337="","",IFERROR(INDEX('03 Raw Data'!$B$3:$B$722,MATCH($A337,'03 Raw Data'!$A$3:$A$722,0)),""))</f>
        <v/>
      </c>
      <c r="C337" s="24">
        <f>IF($A337="","",IFERROR(INDEX('03 Raw Data'!$E$3:$E$722,MATCH($A337,'03 Raw Data'!$D$3:$D$722,0)),""))</f>
        <v/>
      </c>
      <c r="D337" s="24">
        <f>IF($A337="","",IFERROR(INDEX('03 Raw Data'!$H$3:$H$722,MATCH($A337,'03 Raw Data'!$G$3:$G$722,0)),""))</f>
        <v/>
      </c>
      <c r="E337" s="24">
        <f>IF($A337="","",IFERROR(INDEX('03 Raw Data'!$K$3:$K$722,MATCH($A337,'03 Raw Data'!$J$3:$J$722,0)),""))</f>
        <v/>
      </c>
      <c r="F337" s="24">
        <f>IF($A337="","",IFERROR(INDEX('03 Raw Data'!$N$3:$N$722,MATCH($A337,'03 Raw Data'!$M$3:$M$722,0)),""))</f>
        <v/>
      </c>
      <c r="G337" s="24">
        <f>IF($A337="","",IFERROR(INDEX('03 Raw Data'!$Q$3:$Q$722,MATCH($A337,'03 Raw Data'!$P$3:$P$722,0)),""))</f>
        <v/>
      </c>
      <c r="H337" s="24">
        <f>IF($A337="","",IFERROR(INDEX('03 Raw Data'!$T$3:$T$722,MATCH($A337,'03 Raw Data'!$S$3:$S$722,0)),""))</f>
        <v/>
      </c>
    </row>
    <row r="338">
      <c r="A338" s="23">
        <f>IFERROR(IF(OR('03 Raw Data'!A336="",'03 Raw Data'!A336=0),"",'03 Raw Data'!A336),"")</f>
        <v/>
      </c>
      <c r="B338" s="24">
        <f>IF($A338="","",IFERROR(INDEX('03 Raw Data'!$B$3:$B$722,MATCH($A338,'03 Raw Data'!$A$3:$A$722,0)),""))</f>
        <v/>
      </c>
      <c r="C338" s="24">
        <f>IF($A338="","",IFERROR(INDEX('03 Raw Data'!$E$3:$E$722,MATCH($A338,'03 Raw Data'!$D$3:$D$722,0)),""))</f>
        <v/>
      </c>
      <c r="D338" s="24">
        <f>IF($A338="","",IFERROR(INDEX('03 Raw Data'!$H$3:$H$722,MATCH($A338,'03 Raw Data'!$G$3:$G$722,0)),""))</f>
        <v/>
      </c>
      <c r="E338" s="24">
        <f>IF($A338="","",IFERROR(INDEX('03 Raw Data'!$K$3:$K$722,MATCH($A338,'03 Raw Data'!$J$3:$J$722,0)),""))</f>
        <v/>
      </c>
      <c r="F338" s="24">
        <f>IF($A338="","",IFERROR(INDEX('03 Raw Data'!$N$3:$N$722,MATCH($A338,'03 Raw Data'!$M$3:$M$722,0)),""))</f>
        <v/>
      </c>
      <c r="G338" s="24">
        <f>IF($A338="","",IFERROR(INDEX('03 Raw Data'!$Q$3:$Q$722,MATCH($A338,'03 Raw Data'!$P$3:$P$722,0)),""))</f>
        <v/>
      </c>
      <c r="H338" s="24">
        <f>IF($A338="","",IFERROR(INDEX('03 Raw Data'!$T$3:$T$722,MATCH($A338,'03 Raw Data'!$S$3:$S$722,0)),""))</f>
        <v/>
      </c>
    </row>
    <row r="339">
      <c r="A339" s="23">
        <f>IFERROR(IF(OR('03 Raw Data'!A337="",'03 Raw Data'!A337=0),"",'03 Raw Data'!A337),"")</f>
        <v/>
      </c>
      <c r="B339" s="24">
        <f>IF($A339="","",IFERROR(INDEX('03 Raw Data'!$B$3:$B$722,MATCH($A339,'03 Raw Data'!$A$3:$A$722,0)),""))</f>
        <v/>
      </c>
      <c r="C339" s="24">
        <f>IF($A339="","",IFERROR(INDEX('03 Raw Data'!$E$3:$E$722,MATCH($A339,'03 Raw Data'!$D$3:$D$722,0)),""))</f>
        <v/>
      </c>
      <c r="D339" s="24">
        <f>IF($A339="","",IFERROR(INDEX('03 Raw Data'!$H$3:$H$722,MATCH($A339,'03 Raw Data'!$G$3:$G$722,0)),""))</f>
        <v/>
      </c>
      <c r="E339" s="24">
        <f>IF($A339="","",IFERROR(INDEX('03 Raw Data'!$K$3:$K$722,MATCH($A339,'03 Raw Data'!$J$3:$J$722,0)),""))</f>
        <v/>
      </c>
      <c r="F339" s="24">
        <f>IF($A339="","",IFERROR(INDEX('03 Raw Data'!$N$3:$N$722,MATCH($A339,'03 Raw Data'!$M$3:$M$722,0)),""))</f>
        <v/>
      </c>
      <c r="G339" s="24">
        <f>IF($A339="","",IFERROR(INDEX('03 Raw Data'!$Q$3:$Q$722,MATCH($A339,'03 Raw Data'!$P$3:$P$722,0)),""))</f>
        <v/>
      </c>
      <c r="H339" s="24">
        <f>IF($A339="","",IFERROR(INDEX('03 Raw Data'!$T$3:$T$722,MATCH($A339,'03 Raw Data'!$S$3:$S$722,0)),""))</f>
        <v/>
      </c>
    </row>
    <row r="340">
      <c r="A340" s="23">
        <f>IFERROR(IF(OR('03 Raw Data'!A338="",'03 Raw Data'!A338=0),"",'03 Raw Data'!A338),"")</f>
        <v/>
      </c>
      <c r="B340" s="24">
        <f>IF($A340="","",IFERROR(INDEX('03 Raw Data'!$B$3:$B$722,MATCH($A340,'03 Raw Data'!$A$3:$A$722,0)),""))</f>
        <v/>
      </c>
      <c r="C340" s="24">
        <f>IF($A340="","",IFERROR(INDEX('03 Raw Data'!$E$3:$E$722,MATCH($A340,'03 Raw Data'!$D$3:$D$722,0)),""))</f>
        <v/>
      </c>
      <c r="D340" s="24">
        <f>IF($A340="","",IFERROR(INDEX('03 Raw Data'!$H$3:$H$722,MATCH($A340,'03 Raw Data'!$G$3:$G$722,0)),""))</f>
        <v/>
      </c>
      <c r="E340" s="24">
        <f>IF($A340="","",IFERROR(INDEX('03 Raw Data'!$K$3:$K$722,MATCH($A340,'03 Raw Data'!$J$3:$J$722,0)),""))</f>
        <v/>
      </c>
      <c r="F340" s="24">
        <f>IF($A340="","",IFERROR(INDEX('03 Raw Data'!$N$3:$N$722,MATCH($A340,'03 Raw Data'!$M$3:$M$722,0)),""))</f>
        <v/>
      </c>
      <c r="G340" s="24">
        <f>IF($A340="","",IFERROR(INDEX('03 Raw Data'!$Q$3:$Q$722,MATCH($A340,'03 Raw Data'!$P$3:$P$722,0)),""))</f>
        <v/>
      </c>
      <c r="H340" s="24">
        <f>IF($A340="","",IFERROR(INDEX('03 Raw Data'!$T$3:$T$722,MATCH($A340,'03 Raw Data'!$S$3:$S$722,0)),""))</f>
        <v/>
      </c>
    </row>
    <row r="341">
      <c r="A341" s="23">
        <f>IFERROR(IF(OR('03 Raw Data'!A339="",'03 Raw Data'!A339=0),"",'03 Raw Data'!A339),"")</f>
        <v/>
      </c>
      <c r="B341" s="24">
        <f>IF($A341="","",IFERROR(INDEX('03 Raw Data'!$B$3:$B$722,MATCH($A341,'03 Raw Data'!$A$3:$A$722,0)),""))</f>
        <v/>
      </c>
      <c r="C341" s="24">
        <f>IF($A341="","",IFERROR(INDEX('03 Raw Data'!$E$3:$E$722,MATCH($A341,'03 Raw Data'!$D$3:$D$722,0)),""))</f>
        <v/>
      </c>
      <c r="D341" s="24">
        <f>IF($A341="","",IFERROR(INDEX('03 Raw Data'!$H$3:$H$722,MATCH($A341,'03 Raw Data'!$G$3:$G$722,0)),""))</f>
        <v/>
      </c>
      <c r="E341" s="24">
        <f>IF($A341="","",IFERROR(INDEX('03 Raw Data'!$K$3:$K$722,MATCH($A341,'03 Raw Data'!$J$3:$J$722,0)),""))</f>
        <v/>
      </c>
      <c r="F341" s="24">
        <f>IF($A341="","",IFERROR(INDEX('03 Raw Data'!$N$3:$N$722,MATCH($A341,'03 Raw Data'!$M$3:$M$722,0)),""))</f>
        <v/>
      </c>
      <c r="G341" s="24">
        <f>IF($A341="","",IFERROR(INDEX('03 Raw Data'!$Q$3:$Q$722,MATCH($A341,'03 Raw Data'!$P$3:$P$722,0)),""))</f>
        <v/>
      </c>
      <c r="H341" s="24">
        <f>IF($A341="","",IFERROR(INDEX('03 Raw Data'!$T$3:$T$722,MATCH($A341,'03 Raw Data'!$S$3:$S$722,0)),""))</f>
        <v/>
      </c>
    </row>
    <row r="342">
      <c r="A342" s="23">
        <f>IFERROR(IF(OR('03 Raw Data'!A340="",'03 Raw Data'!A340=0),"",'03 Raw Data'!A340),"")</f>
        <v/>
      </c>
      <c r="B342" s="24">
        <f>IF($A342="","",IFERROR(INDEX('03 Raw Data'!$B$3:$B$722,MATCH($A342,'03 Raw Data'!$A$3:$A$722,0)),""))</f>
        <v/>
      </c>
      <c r="C342" s="24">
        <f>IF($A342="","",IFERROR(INDEX('03 Raw Data'!$E$3:$E$722,MATCH($A342,'03 Raw Data'!$D$3:$D$722,0)),""))</f>
        <v/>
      </c>
      <c r="D342" s="24">
        <f>IF($A342="","",IFERROR(INDEX('03 Raw Data'!$H$3:$H$722,MATCH($A342,'03 Raw Data'!$G$3:$G$722,0)),""))</f>
        <v/>
      </c>
      <c r="E342" s="24">
        <f>IF($A342="","",IFERROR(INDEX('03 Raw Data'!$K$3:$K$722,MATCH($A342,'03 Raw Data'!$J$3:$J$722,0)),""))</f>
        <v/>
      </c>
      <c r="F342" s="24">
        <f>IF($A342="","",IFERROR(INDEX('03 Raw Data'!$N$3:$N$722,MATCH($A342,'03 Raw Data'!$M$3:$M$722,0)),""))</f>
        <v/>
      </c>
      <c r="G342" s="24">
        <f>IF($A342="","",IFERROR(INDEX('03 Raw Data'!$Q$3:$Q$722,MATCH($A342,'03 Raw Data'!$P$3:$P$722,0)),""))</f>
        <v/>
      </c>
      <c r="H342" s="24">
        <f>IF($A342="","",IFERROR(INDEX('03 Raw Data'!$T$3:$T$722,MATCH($A342,'03 Raw Data'!$S$3:$S$722,0)),""))</f>
        <v/>
      </c>
    </row>
    <row r="343">
      <c r="A343" s="23">
        <f>IFERROR(IF(OR('03 Raw Data'!A341="",'03 Raw Data'!A341=0),"",'03 Raw Data'!A341),"")</f>
        <v/>
      </c>
      <c r="B343" s="24">
        <f>IF($A343="","",IFERROR(INDEX('03 Raw Data'!$B$3:$B$722,MATCH($A343,'03 Raw Data'!$A$3:$A$722,0)),""))</f>
        <v/>
      </c>
      <c r="C343" s="24">
        <f>IF($A343="","",IFERROR(INDEX('03 Raw Data'!$E$3:$E$722,MATCH($A343,'03 Raw Data'!$D$3:$D$722,0)),""))</f>
        <v/>
      </c>
      <c r="D343" s="24">
        <f>IF($A343="","",IFERROR(INDEX('03 Raw Data'!$H$3:$H$722,MATCH($A343,'03 Raw Data'!$G$3:$G$722,0)),""))</f>
        <v/>
      </c>
      <c r="E343" s="24">
        <f>IF($A343="","",IFERROR(INDEX('03 Raw Data'!$K$3:$K$722,MATCH($A343,'03 Raw Data'!$J$3:$J$722,0)),""))</f>
        <v/>
      </c>
      <c r="F343" s="24">
        <f>IF($A343="","",IFERROR(INDEX('03 Raw Data'!$N$3:$N$722,MATCH($A343,'03 Raw Data'!$M$3:$M$722,0)),""))</f>
        <v/>
      </c>
      <c r="G343" s="24">
        <f>IF($A343="","",IFERROR(INDEX('03 Raw Data'!$Q$3:$Q$722,MATCH($A343,'03 Raw Data'!$P$3:$P$722,0)),""))</f>
        <v/>
      </c>
      <c r="H343" s="24">
        <f>IF($A343="","",IFERROR(INDEX('03 Raw Data'!$T$3:$T$722,MATCH($A343,'03 Raw Data'!$S$3:$S$722,0)),""))</f>
        <v/>
      </c>
    </row>
    <row r="344">
      <c r="A344" s="23">
        <f>IFERROR(IF(OR('03 Raw Data'!A342="",'03 Raw Data'!A342=0),"",'03 Raw Data'!A342),"")</f>
        <v/>
      </c>
      <c r="B344" s="24">
        <f>IF($A344="","",IFERROR(INDEX('03 Raw Data'!$B$3:$B$722,MATCH($A344,'03 Raw Data'!$A$3:$A$722,0)),""))</f>
        <v/>
      </c>
      <c r="C344" s="24">
        <f>IF($A344="","",IFERROR(INDEX('03 Raw Data'!$E$3:$E$722,MATCH($A344,'03 Raw Data'!$D$3:$D$722,0)),""))</f>
        <v/>
      </c>
      <c r="D344" s="24">
        <f>IF($A344="","",IFERROR(INDEX('03 Raw Data'!$H$3:$H$722,MATCH($A344,'03 Raw Data'!$G$3:$G$722,0)),""))</f>
        <v/>
      </c>
      <c r="E344" s="24">
        <f>IF($A344="","",IFERROR(INDEX('03 Raw Data'!$K$3:$K$722,MATCH($A344,'03 Raw Data'!$J$3:$J$722,0)),""))</f>
        <v/>
      </c>
      <c r="F344" s="24">
        <f>IF($A344="","",IFERROR(INDEX('03 Raw Data'!$N$3:$N$722,MATCH($A344,'03 Raw Data'!$M$3:$M$722,0)),""))</f>
        <v/>
      </c>
      <c r="G344" s="24">
        <f>IF($A344="","",IFERROR(INDEX('03 Raw Data'!$Q$3:$Q$722,MATCH($A344,'03 Raw Data'!$P$3:$P$722,0)),""))</f>
        <v/>
      </c>
      <c r="H344" s="24">
        <f>IF($A344="","",IFERROR(INDEX('03 Raw Data'!$T$3:$T$722,MATCH($A344,'03 Raw Data'!$S$3:$S$722,0)),""))</f>
        <v/>
      </c>
    </row>
    <row r="345">
      <c r="A345" s="23">
        <f>IFERROR(IF(OR('03 Raw Data'!A343="",'03 Raw Data'!A343=0),"",'03 Raw Data'!A343),"")</f>
        <v/>
      </c>
      <c r="B345" s="24">
        <f>IF($A345="","",IFERROR(INDEX('03 Raw Data'!$B$3:$B$722,MATCH($A345,'03 Raw Data'!$A$3:$A$722,0)),""))</f>
        <v/>
      </c>
      <c r="C345" s="24">
        <f>IF($A345="","",IFERROR(INDEX('03 Raw Data'!$E$3:$E$722,MATCH($A345,'03 Raw Data'!$D$3:$D$722,0)),""))</f>
        <v/>
      </c>
      <c r="D345" s="24">
        <f>IF($A345="","",IFERROR(INDEX('03 Raw Data'!$H$3:$H$722,MATCH($A345,'03 Raw Data'!$G$3:$G$722,0)),""))</f>
        <v/>
      </c>
      <c r="E345" s="24">
        <f>IF($A345="","",IFERROR(INDEX('03 Raw Data'!$K$3:$K$722,MATCH($A345,'03 Raw Data'!$J$3:$J$722,0)),""))</f>
        <v/>
      </c>
      <c r="F345" s="24">
        <f>IF($A345="","",IFERROR(INDEX('03 Raw Data'!$N$3:$N$722,MATCH($A345,'03 Raw Data'!$M$3:$M$722,0)),""))</f>
        <v/>
      </c>
      <c r="G345" s="24">
        <f>IF($A345="","",IFERROR(INDEX('03 Raw Data'!$Q$3:$Q$722,MATCH($A345,'03 Raw Data'!$P$3:$P$722,0)),""))</f>
        <v/>
      </c>
      <c r="H345" s="24">
        <f>IF($A345="","",IFERROR(INDEX('03 Raw Data'!$T$3:$T$722,MATCH($A345,'03 Raw Data'!$S$3:$S$722,0)),""))</f>
        <v/>
      </c>
    </row>
    <row r="346">
      <c r="A346" s="23">
        <f>IFERROR(IF(OR('03 Raw Data'!A344="",'03 Raw Data'!A344=0),"",'03 Raw Data'!A344),"")</f>
        <v/>
      </c>
      <c r="B346" s="24">
        <f>IF($A346="","",IFERROR(INDEX('03 Raw Data'!$B$3:$B$722,MATCH($A346,'03 Raw Data'!$A$3:$A$722,0)),""))</f>
        <v/>
      </c>
      <c r="C346" s="24">
        <f>IF($A346="","",IFERROR(INDEX('03 Raw Data'!$E$3:$E$722,MATCH($A346,'03 Raw Data'!$D$3:$D$722,0)),""))</f>
        <v/>
      </c>
      <c r="D346" s="24">
        <f>IF($A346="","",IFERROR(INDEX('03 Raw Data'!$H$3:$H$722,MATCH($A346,'03 Raw Data'!$G$3:$G$722,0)),""))</f>
        <v/>
      </c>
      <c r="E346" s="24">
        <f>IF($A346="","",IFERROR(INDEX('03 Raw Data'!$K$3:$K$722,MATCH($A346,'03 Raw Data'!$J$3:$J$722,0)),""))</f>
        <v/>
      </c>
      <c r="F346" s="24">
        <f>IF($A346="","",IFERROR(INDEX('03 Raw Data'!$N$3:$N$722,MATCH($A346,'03 Raw Data'!$M$3:$M$722,0)),""))</f>
        <v/>
      </c>
      <c r="G346" s="24">
        <f>IF($A346="","",IFERROR(INDEX('03 Raw Data'!$Q$3:$Q$722,MATCH($A346,'03 Raw Data'!$P$3:$P$722,0)),""))</f>
        <v/>
      </c>
      <c r="H346" s="24">
        <f>IF($A346="","",IFERROR(INDEX('03 Raw Data'!$T$3:$T$722,MATCH($A346,'03 Raw Data'!$S$3:$S$722,0)),""))</f>
        <v/>
      </c>
    </row>
    <row r="347">
      <c r="A347" s="23">
        <f>IFERROR(IF(OR('03 Raw Data'!A345="",'03 Raw Data'!A345=0),"",'03 Raw Data'!A345),"")</f>
        <v/>
      </c>
      <c r="B347" s="24">
        <f>IF($A347="","",IFERROR(INDEX('03 Raw Data'!$B$3:$B$722,MATCH($A347,'03 Raw Data'!$A$3:$A$722,0)),""))</f>
        <v/>
      </c>
      <c r="C347" s="24">
        <f>IF($A347="","",IFERROR(INDEX('03 Raw Data'!$E$3:$E$722,MATCH($A347,'03 Raw Data'!$D$3:$D$722,0)),""))</f>
        <v/>
      </c>
      <c r="D347" s="24">
        <f>IF($A347="","",IFERROR(INDEX('03 Raw Data'!$H$3:$H$722,MATCH($A347,'03 Raw Data'!$G$3:$G$722,0)),""))</f>
        <v/>
      </c>
      <c r="E347" s="24">
        <f>IF($A347="","",IFERROR(INDEX('03 Raw Data'!$K$3:$K$722,MATCH($A347,'03 Raw Data'!$J$3:$J$722,0)),""))</f>
        <v/>
      </c>
      <c r="F347" s="24">
        <f>IF($A347="","",IFERROR(INDEX('03 Raw Data'!$N$3:$N$722,MATCH($A347,'03 Raw Data'!$M$3:$M$722,0)),""))</f>
        <v/>
      </c>
      <c r="G347" s="24">
        <f>IF($A347="","",IFERROR(INDEX('03 Raw Data'!$Q$3:$Q$722,MATCH($A347,'03 Raw Data'!$P$3:$P$722,0)),""))</f>
        <v/>
      </c>
      <c r="H347" s="24">
        <f>IF($A347="","",IFERROR(INDEX('03 Raw Data'!$T$3:$T$722,MATCH($A347,'03 Raw Data'!$S$3:$S$722,0)),""))</f>
        <v/>
      </c>
    </row>
    <row r="348">
      <c r="A348" s="23">
        <f>IFERROR(IF(OR('03 Raw Data'!A346="",'03 Raw Data'!A346=0),"",'03 Raw Data'!A346),"")</f>
        <v/>
      </c>
      <c r="B348" s="24">
        <f>IF($A348="","",IFERROR(INDEX('03 Raw Data'!$B$3:$B$722,MATCH($A348,'03 Raw Data'!$A$3:$A$722,0)),""))</f>
        <v/>
      </c>
      <c r="C348" s="24">
        <f>IF($A348="","",IFERROR(INDEX('03 Raw Data'!$E$3:$E$722,MATCH($A348,'03 Raw Data'!$D$3:$D$722,0)),""))</f>
        <v/>
      </c>
      <c r="D348" s="24">
        <f>IF($A348="","",IFERROR(INDEX('03 Raw Data'!$H$3:$H$722,MATCH($A348,'03 Raw Data'!$G$3:$G$722,0)),""))</f>
        <v/>
      </c>
      <c r="E348" s="24">
        <f>IF($A348="","",IFERROR(INDEX('03 Raw Data'!$K$3:$K$722,MATCH($A348,'03 Raw Data'!$J$3:$J$722,0)),""))</f>
        <v/>
      </c>
      <c r="F348" s="24">
        <f>IF($A348="","",IFERROR(INDEX('03 Raw Data'!$N$3:$N$722,MATCH($A348,'03 Raw Data'!$M$3:$M$722,0)),""))</f>
        <v/>
      </c>
      <c r="G348" s="24">
        <f>IF($A348="","",IFERROR(INDEX('03 Raw Data'!$Q$3:$Q$722,MATCH($A348,'03 Raw Data'!$P$3:$P$722,0)),""))</f>
        <v/>
      </c>
      <c r="H348" s="24">
        <f>IF($A348="","",IFERROR(INDEX('03 Raw Data'!$T$3:$T$722,MATCH($A348,'03 Raw Data'!$S$3:$S$722,0)),""))</f>
        <v/>
      </c>
    </row>
    <row r="349">
      <c r="A349" s="23">
        <f>IFERROR(IF(OR('03 Raw Data'!A347="",'03 Raw Data'!A347=0),"",'03 Raw Data'!A347),"")</f>
        <v/>
      </c>
      <c r="B349" s="24">
        <f>IF($A349="","",IFERROR(INDEX('03 Raw Data'!$B$3:$B$722,MATCH($A349,'03 Raw Data'!$A$3:$A$722,0)),""))</f>
        <v/>
      </c>
      <c r="C349" s="24">
        <f>IF($A349="","",IFERROR(INDEX('03 Raw Data'!$E$3:$E$722,MATCH($A349,'03 Raw Data'!$D$3:$D$722,0)),""))</f>
        <v/>
      </c>
      <c r="D349" s="24">
        <f>IF($A349="","",IFERROR(INDEX('03 Raw Data'!$H$3:$H$722,MATCH($A349,'03 Raw Data'!$G$3:$G$722,0)),""))</f>
        <v/>
      </c>
      <c r="E349" s="24">
        <f>IF($A349="","",IFERROR(INDEX('03 Raw Data'!$K$3:$K$722,MATCH($A349,'03 Raw Data'!$J$3:$J$722,0)),""))</f>
        <v/>
      </c>
      <c r="F349" s="24">
        <f>IF($A349="","",IFERROR(INDEX('03 Raw Data'!$N$3:$N$722,MATCH($A349,'03 Raw Data'!$M$3:$M$722,0)),""))</f>
        <v/>
      </c>
      <c r="G349" s="24">
        <f>IF($A349="","",IFERROR(INDEX('03 Raw Data'!$Q$3:$Q$722,MATCH($A349,'03 Raw Data'!$P$3:$P$722,0)),""))</f>
        <v/>
      </c>
      <c r="H349" s="24">
        <f>IF($A349="","",IFERROR(INDEX('03 Raw Data'!$T$3:$T$722,MATCH($A349,'03 Raw Data'!$S$3:$S$722,0)),""))</f>
        <v/>
      </c>
    </row>
    <row r="350">
      <c r="A350" s="23">
        <f>IFERROR(IF(OR('03 Raw Data'!A348="",'03 Raw Data'!A348=0),"",'03 Raw Data'!A348),"")</f>
        <v/>
      </c>
      <c r="B350" s="24">
        <f>IF($A350="","",IFERROR(INDEX('03 Raw Data'!$B$3:$B$722,MATCH($A350,'03 Raw Data'!$A$3:$A$722,0)),""))</f>
        <v/>
      </c>
      <c r="C350" s="24">
        <f>IF($A350="","",IFERROR(INDEX('03 Raw Data'!$E$3:$E$722,MATCH($A350,'03 Raw Data'!$D$3:$D$722,0)),""))</f>
        <v/>
      </c>
      <c r="D350" s="24">
        <f>IF($A350="","",IFERROR(INDEX('03 Raw Data'!$H$3:$H$722,MATCH($A350,'03 Raw Data'!$G$3:$G$722,0)),""))</f>
        <v/>
      </c>
      <c r="E350" s="24">
        <f>IF($A350="","",IFERROR(INDEX('03 Raw Data'!$K$3:$K$722,MATCH($A350,'03 Raw Data'!$J$3:$J$722,0)),""))</f>
        <v/>
      </c>
      <c r="F350" s="24">
        <f>IF($A350="","",IFERROR(INDEX('03 Raw Data'!$N$3:$N$722,MATCH($A350,'03 Raw Data'!$M$3:$M$722,0)),""))</f>
        <v/>
      </c>
      <c r="G350" s="24">
        <f>IF($A350="","",IFERROR(INDEX('03 Raw Data'!$Q$3:$Q$722,MATCH($A350,'03 Raw Data'!$P$3:$P$722,0)),""))</f>
        <v/>
      </c>
      <c r="H350" s="24">
        <f>IF($A350="","",IFERROR(INDEX('03 Raw Data'!$T$3:$T$722,MATCH($A350,'03 Raw Data'!$S$3:$S$722,0)),""))</f>
        <v/>
      </c>
    </row>
    <row r="351">
      <c r="A351" s="23">
        <f>IFERROR(IF(OR('03 Raw Data'!A349="",'03 Raw Data'!A349=0),"",'03 Raw Data'!A349),"")</f>
        <v/>
      </c>
      <c r="B351" s="24">
        <f>IF($A351="","",IFERROR(INDEX('03 Raw Data'!$B$3:$B$722,MATCH($A351,'03 Raw Data'!$A$3:$A$722,0)),""))</f>
        <v/>
      </c>
      <c r="C351" s="24">
        <f>IF($A351="","",IFERROR(INDEX('03 Raw Data'!$E$3:$E$722,MATCH($A351,'03 Raw Data'!$D$3:$D$722,0)),""))</f>
        <v/>
      </c>
      <c r="D351" s="24">
        <f>IF($A351="","",IFERROR(INDEX('03 Raw Data'!$H$3:$H$722,MATCH($A351,'03 Raw Data'!$G$3:$G$722,0)),""))</f>
        <v/>
      </c>
      <c r="E351" s="24">
        <f>IF($A351="","",IFERROR(INDEX('03 Raw Data'!$K$3:$K$722,MATCH($A351,'03 Raw Data'!$J$3:$J$722,0)),""))</f>
        <v/>
      </c>
      <c r="F351" s="24">
        <f>IF($A351="","",IFERROR(INDEX('03 Raw Data'!$N$3:$N$722,MATCH($A351,'03 Raw Data'!$M$3:$M$722,0)),""))</f>
        <v/>
      </c>
      <c r="G351" s="24">
        <f>IF($A351="","",IFERROR(INDEX('03 Raw Data'!$Q$3:$Q$722,MATCH($A351,'03 Raw Data'!$P$3:$P$722,0)),""))</f>
        <v/>
      </c>
      <c r="H351" s="24">
        <f>IF($A351="","",IFERROR(INDEX('03 Raw Data'!$T$3:$T$722,MATCH($A351,'03 Raw Data'!$S$3:$S$722,0)),""))</f>
        <v/>
      </c>
    </row>
    <row r="352">
      <c r="A352" s="23">
        <f>IFERROR(IF(OR('03 Raw Data'!A350="",'03 Raw Data'!A350=0),"",'03 Raw Data'!A350),"")</f>
        <v/>
      </c>
      <c r="B352" s="24">
        <f>IF($A352="","",IFERROR(INDEX('03 Raw Data'!$B$3:$B$722,MATCH($A352,'03 Raw Data'!$A$3:$A$722,0)),""))</f>
        <v/>
      </c>
      <c r="C352" s="24">
        <f>IF($A352="","",IFERROR(INDEX('03 Raw Data'!$E$3:$E$722,MATCH($A352,'03 Raw Data'!$D$3:$D$722,0)),""))</f>
        <v/>
      </c>
      <c r="D352" s="24">
        <f>IF($A352="","",IFERROR(INDEX('03 Raw Data'!$H$3:$H$722,MATCH($A352,'03 Raw Data'!$G$3:$G$722,0)),""))</f>
        <v/>
      </c>
      <c r="E352" s="24">
        <f>IF($A352="","",IFERROR(INDEX('03 Raw Data'!$K$3:$K$722,MATCH($A352,'03 Raw Data'!$J$3:$J$722,0)),""))</f>
        <v/>
      </c>
      <c r="F352" s="24">
        <f>IF($A352="","",IFERROR(INDEX('03 Raw Data'!$N$3:$N$722,MATCH($A352,'03 Raw Data'!$M$3:$M$722,0)),""))</f>
        <v/>
      </c>
      <c r="G352" s="24">
        <f>IF($A352="","",IFERROR(INDEX('03 Raw Data'!$Q$3:$Q$722,MATCH($A352,'03 Raw Data'!$P$3:$P$722,0)),""))</f>
        <v/>
      </c>
      <c r="H352" s="24">
        <f>IF($A352="","",IFERROR(INDEX('03 Raw Data'!$T$3:$T$722,MATCH($A352,'03 Raw Data'!$S$3:$S$722,0)),""))</f>
        <v/>
      </c>
    </row>
    <row r="353">
      <c r="A353" s="23">
        <f>IFERROR(IF(OR('03 Raw Data'!A351="",'03 Raw Data'!A351=0),"",'03 Raw Data'!A351),"")</f>
        <v/>
      </c>
      <c r="B353" s="24">
        <f>IF($A353="","",IFERROR(INDEX('03 Raw Data'!$B$3:$B$722,MATCH($A353,'03 Raw Data'!$A$3:$A$722,0)),""))</f>
        <v/>
      </c>
      <c r="C353" s="24">
        <f>IF($A353="","",IFERROR(INDEX('03 Raw Data'!$E$3:$E$722,MATCH($A353,'03 Raw Data'!$D$3:$D$722,0)),""))</f>
        <v/>
      </c>
      <c r="D353" s="24">
        <f>IF($A353="","",IFERROR(INDEX('03 Raw Data'!$H$3:$H$722,MATCH($A353,'03 Raw Data'!$G$3:$G$722,0)),""))</f>
        <v/>
      </c>
      <c r="E353" s="24">
        <f>IF($A353="","",IFERROR(INDEX('03 Raw Data'!$K$3:$K$722,MATCH($A353,'03 Raw Data'!$J$3:$J$722,0)),""))</f>
        <v/>
      </c>
      <c r="F353" s="24">
        <f>IF($A353="","",IFERROR(INDEX('03 Raw Data'!$N$3:$N$722,MATCH($A353,'03 Raw Data'!$M$3:$M$722,0)),""))</f>
        <v/>
      </c>
      <c r="G353" s="24">
        <f>IF($A353="","",IFERROR(INDEX('03 Raw Data'!$Q$3:$Q$722,MATCH($A353,'03 Raw Data'!$P$3:$P$722,0)),""))</f>
        <v/>
      </c>
      <c r="H353" s="24">
        <f>IF($A353="","",IFERROR(INDEX('03 Raw Data'!$T$3:$T$722,MATCH($A353,'03 Raw Data'!$S$3:$S$722,0)),""))</f>
        <v/>
      </c>
    </row>
    <row r="354">
      <c r="A354" s="23">
        <f>IFERROR(IF(OR('03 Raw Data'!A352="",'03 Raw Data'!A352=0),"",'03 Raw Data'!A352),"")</f>
        <v/>
      </c>
      <c r="B354" s="24">
        <f>IF($A354="","",IFERROR(INDEX('03 Raw Data'!$B$3:$B$722,MATCH($A354,'03 Raw Data'!$A$3:$A$722,0)),""))</f>
        <v/>
      </c>
      <c r="C354" s="24">
        <f>IF($A354="","",IFERROR(INDEX('03 Raw Data'!$E$3:$E$722,MATCH($A354,'03 Raw Data'!$D$3:$D$722,0)),""))</f>
        <v/>
      </c>
      <c r="D354" s="24">
        <f>IF($A354="","",IFERROR(INDEX('03 Raw Data'!$H$3:$H$722,MATCH($A354,'03 Raw Data'!$G$3:$G$722,0)),""))</f>
        <v/>
      </c>
      <c r="E354" s="24">
        <f>IF($A354="","",IFERROR(INDEX('03 Raw Data'!$K$3:$K$722,MATCH($A354,'03 Raw Data'!$J$3:$J$722,0)),""))</f>
        <v/>
      </c>
      <c r="F354" s="24">
        <f>IF($A354="","",IFERROR(INDEX('03 Raw Data'!$N$3:$N$722,MATCH($A354,'03 Raw Data'!$M$3:$M$722,0)),""))</f>
        <v/>
      </c>
      <c r="G354" s="24">
        <f>IF($A354="","",IFERROR(INDEX('03 Raw Data'!$Q$3:$Q$722,MATCH($A354,'03 Raw Data'!$P$3:$P$722,0)),""))</f>
        <v/>
      </c>
      <c r="H354" s="24">
        <f>IF($A354="","",IFERROR(INDEX('03 Raw Data'!$T$3:$T$722,MATCH($A354,'03 Raw Data'!$S$3:$S$722,0)),""))</f>
        <v/>
      </c>
    </row>
    <row r="355">
      <c r="A355" s="23">
        <f>IFERROR(IF(OR('03 Raw Data'!A353="",'03 Raw Data'!A353=0),"",'03 Raw Data'!A353),"")</f>
        <v/>
      </c>
      <c r="B355" s="24">
        <f>IF($A355="","",IFERROR(INDEX('03 Raw Data'!$B$3:$B$722,MATCH($A355,'03 Raw Data'!$A$3:$A$722,0)),""))</f>
        <v/>
      </c>
      <c r="C355" s="24">
        <f>IF($A355="","",IFERROR(INDEX('03 Raw Data'!$E$3:$E$722,MATCH($A355,'03 Raw Data'!$D$3:$D$722,0)),""))</f>
        <v/>
      </c>
      <c r="D355" s="24">
        <f>IF($A355="","",IFERROR(INDEX('03 Raw Data'!$H$3:$H$722,MATCH($A355,'03 Raw Data'!$G$3:$G$722,0)),""))</f>
        <v/>
      </c>
      <c r="E355" s="24">
        <f>IF($A355="","",IFERROR(INDEX('03 Raw Data'!$K$3:$K$722,MATCH($A355,'03 Raw Data'!$J$3:$J$722,0)),""))</f>
        <v/>
      </c>
      <c r="F355" s="24">
        <f>IF($A355="","",IFERROR(INDEX('03 Raw Data'!$N$3:$N$722,MATCH($A355,'03 Raw Data'!$M$3:$M$722,0)),""))</f>
        <v/>
      </c>
      <c r="G355" s="24">
        <f>IF($A355="","",IFERROR(INDEX('03 Raw Data'!$Q$3:$Q$722,MATCH($A355,'03 Raw Data'!$P$3:$P$722,0)),""))</f>
        <v/>
      </c>
      <c r="H355" s="24">
        <f>IF($A355="","",IFERROR(INDEX('03 Raw Data'!$T$3:$T$722,MATCH($A355,'03 Raw Data'!$S$3:$S$722,0)),""))</f>
        <v/>
      </c>
    </row>
    <row r="356">
      <c r="A356" s="23">
        <f>IFERROR(IF(OR('03 Raw Data'!A354="",'03 Raw Data'!A354=0),"",'03 Raw Data'!A354),"")</f>
        <v/>
      </c>
      <c r="B356" s="24">
        <f>IF($A356="","",IFERROR(INDEX('03 Raw Data'!$B$3:$B$722,MATCH($A356,'03 Raw Data'!$A$3:$A$722,0)),""))</f>
        <v/>
      </c>
      <c r="C356" s="24">
        <f>IF($A356="","",IFERROR(INDEX('03 Raw Data'!$E$3:$E$722,MATCH($A356,'03 Raw Data'!$D$3:$D$722,0)),""))</f>
        <v/>
      </c>
      <c r="D356" s="24">
        <f>IF($A356="","",IFERROR(INDEX('03 Raw Data'!$H$3:$H$722,MATCH($A356,'03 Raw Data'!$G$3:$G$722,0)),""))</f>
        <v/>
      </c>
      <c r="E356" s="24">
        <f>IF($A356="","",IFERROR(INDEX('03 Raw Data'!$K$3:$K$722,MATCH($A356,'03 Raw Data'!$J$3:$J$722,0)),""))</f>
        <v/>
      </c>
      <c r="F356" s="24">
        <f>IF($A356="","",IFERROR(INDEX('03 Raw Data'!$N$3:$N$722,MATCH($A356,'03 Raw Data'!$M$3:$M$722,0)),""))</f>
        <v/>
      </c>
      <c r="G356" s="24">
        <f>IF($A356="","",IFERROR(INDEX('03 Raw Data'!$Q$3:$Q$722,MATCH($A356,'03 Raw Data'!$P$3:$P$722,0)),""))</f>
        <v/>
      </c>
      <c r="H356" s="24">
        <f>IF($A356="","",IFERROR(INDEX('03 Raw Data'!$T$3:$T$722,MATCH($A356,'03 Raw Data'!$S$3:$S$722,0)),""))</f>
        <v/>
      </c>
    </row>
    <row r="357">
      <c r="A357" s="23">
        <f>IFERROR(IF(OR('03 Raw Data'!A355="",'03 Raw Data'!A355=0),"",'03 Raw Data'!A355),"")</f>
        <v/>
      </c>
      <c r="B357" s="24">
        <f>IF($A357="","",IFERROR(INDEX('03 Raw Data'!$B$3:$B$722,MATCH($A357,'03 Raw Data'!$A$3:$A$722,0)),""))</f>
        <v/>
      </c>
      <c r="C357" s="24">
        <f>IF($A357="","",IFERROR(INDEX('03 Raw Data'!$E$3:$E$722,MATCH($A357,'03 Raw Data'!$D$3:$D$722,0)),""))</f>
        <v/>
      </c>
      <c r="D357" s="24">
        <f>IF($A357="","",IFERROR(INDEX('03 Raw Data'!$H$3:$H$722,MATCH($A357,'03 Raw Data'!$G$3:$G$722,0)),""))</f>
        <v/>
      </c>
      <c r="E357" s="24">
        <f>IF($A357="","",IFERROR(INDEX('03 Raw Data'!$K$3:$K$722,MATCH($A357,'03 Raw Data'!$J$3:$J$722,0)),""))</f>
        <v/>
      </c>
      <c r="F357" s="24">
        <f>IF($A357="","",IFERROR(INDEX('03 Raw Data'!$N$3:$N$722,MATCH($A357,'03 Raw Data'!$M$3:$M$722,0)),""))</f>
        <v/>
      </c>
      <c r="G357" s="24">
        <f>IF($A357="","",IFERROR(INDEX('03 Raw Data'!$Q$3:$Q$722,MATCH($A357,'03 Raw Data'!$P$3:$P$722,0)),""))</f>
        <v/>
      </c>
      <c r="H357" s="24">
        <f>IF($A357="","",IFERROR(INDEX('03 Raw Data'!$T$3:$T$722,MATCH($A357,'03 Raw Data'!$S$3:$S$722,0)),""))</f>
        <v/>
      </c>
    </row>
    <row r="358">
      <c r="A358" s="23">
        <f>IFERROR(IF(OR('03 Raw Data'!A356="",'03 Raw Data'!A356=0),"",'03 Raw Data'!A356),"")</f>
        <v/>
      </c>
      <c r="B358" s="24">
        <f>IF($A358="","",IFERROR(INDEX('03 Raw Data'!$B$3:$B$722,MATCH($A358,'03 Raw Data'!$A$3:$A$722,0)),""))</f>
        <v/>
      </c>
      <c r="C358" s="24">
        <f>IF($A358="","",IFERROR(INDEX('03 Raw Data'!$E$3:$E$722,MATCH($A358,'03 Raw Data'!$D$3:$D$722,0)),""))</f>
        <v/>
      </c>
      <c r="D358" s="24">
        <f>IF($A358="","",IFERROR(INDEX('03 Raw Data'!$H$3:$H$722,MATCH($A358,'03 Raw Data'!$G$3:$G$722,0)),""))</f>
        <v/>
      </c>
      <c r="E358" s="24">
        <f>IF($A358="","",IFERROR(INDEX('03 Raw Data'!$K$3:$K$722,MATCH($A358,'03 Raw Data'!$J$3:$J$722,0)),""))</f>
        <v/>
      </c>
      <c r="F358" s="24">
        <f>IF($A358="","",IFERROR(INDEX('03 Raw Data'!$N$3:$N$722,MATCH($A358,'03 Raw Data'!$M$3:$M$722,0)),""))</f>
        <v/>
      </c>
      <c r="G358" s="24">
        <f>IF($A358="","",IFERROR(INDEX('03 Raw Data'!$Q$3:$Q$722,MATCH($A358,'03 Raw Data'!$P$3:$P$722,0)),""))</f>
        <v/>
      </c>
      <c r="H358" s="24">
        <f>IF($A358="","",IFERROR(INDEX('03 Raw Data'!$T$3:$T$722,MATCH($A358,'03 Raw Data'!$S$3:$S$722,0)),""))</f>
        <v/>
      </c>
    </row>
    <row r="359">
      <c r="A359" s="23">
        <f>IFERROR(IF(OR('03 Raw Data'!A357="",'03 Raw Data'!A357=0),"",'03 Raw Data'!A357),"")</f>
        <v/>
      </c>
      <c r="B359" s="24">
        <f>IF($A359="","",IFERROR(INDEX('03 Raw Data'!$B$3:$B$722,MATCH($A359,'03 Raw Data'!$A$3:$A$722,0)),""))</f>
        <v/>
      </c>
      <c r="C359" s="24">
        <f>IF($A359="","",IFERROR(INDEX('03 Raw Data'!$E$3:$E$722,MATCH($A359,'03 Raw Data'!$D$3:$D$722,0)),""))</f>
        <v/>
      </c>
      <c r="D359" s="24">
        <f>IF($A359="","",IFERROR(INDEX('03 Raw Data'!$H$3:$H$722,MATCH($A359,'03 Raw Data'!$G$3:$G$722,0)),""))</f>
        <v/>
      </c>
      <c r="E359" s="24">
        <f>IF($A359="","",IFERROR(INDEX('03 Raw Data'!$K$3:$K$722,MATCH($A359,'03 Raw Data'!$J$3:$J$722,0)),""))</f>
        <v/>
      </c>
      <c r="F359" s="24">
        <f>IF($A359="","",IFERROR(INDEX('03 Raw Data'!$N$3:$N$722,MATCH($A359,'03 Raw Data'!$M$3:$M$722,0)),""))</f>
        <v/>
      </c>
      <c r="G359" s="24">
        <f>IF($A359="","",IFERROR(INDEX('03 Raw Data'!$Q$3:$Q$722,MATCH($A359,'03 Raw Data'!$P$3:$P$722,0)),""))</f>
        <v/>
      </c>
      <c r="H359" s="24">
        <f>IF($A359="","",IFERROR(INDEX('03 Raw Data'!$T$3:$T$722,MATCH($A359,'03 Raw Data'!$S$3:$S$722,0)),""))</f>
        <v/>
      </c>
    </row>
    <row r="360">
      <c r="A360" s="23">
        <f>IFERROR(IF(OR('03 Raw Data'!A358="",'03 Raw Data'!A358=0),"",'03 Raw Data'!A358),"")</f>
        <v/>
      </c>
      <c r="B360" s="24">
        <f>IF($A360="","",IFERROR(INDEX('03 Raw Data'!$B$3:$B$722,MATCH($A360,'03 Raw Data'!$A$3:$A$722,0)),""))</f>
        <v/>
      </c>
      <c r="C360" s="24">
        <f>IF($A360="","",IFERROR(INDEX('03 Raw Data'!$E$3:$E$722,MATCH($A360,'03 Raw Data'!$D$3:$D$722,0)),""))</f>
        <v/>
      </c>
      <c r="D360" s="24">
        <f>IF($A360="","",IFERROR(INDEX('03 Raw Data'!$H$3:$H$722,MATCH($A360,'03 Raw Data'!$G$3:$G$722,0)),""))</f>
        <v/>
      </c>
      <c r="E360" s="24">
        <f>IF($A360="","",IFERROR(INDEX('03 Raw Data'!$K$3:$K$722,MATCH($A360,'03 Raw Data'!$J$3:$J$722,0)),""))</f>
        <v/>
      </c>
      <c r="F360" s="24">
        <f>IF($A360="","",IFERROR(INDEX('03 Raw Data'!$N$3:$N$722,MATCH($A360,'03 Raw Data'!$M$3:$M$722,0)),""))</f>
        <v/>
      </c>
      <c r="G360" s="24">
        <f>IF($A360="","",IFERROR(INDEX('03 Raw Data'!$Q$3:$Q$722,MATCH($A360,'03 Raw Data'!$P$3:$P$722,0)),""))</f>
        <v/>
      </c>
      <c r="H360" s="24">
        <f>IF($A360="","",IFERROR(INDEX('03 Raw Data'!$T$3:$T$722,MATCH($A360,'03 Raw Data'!$S$3:$S$722,0)),""))</f>
        <v/>
      </c>
    </row>
    <row r="361">
      <c r="A361" s="23">
        <f>IFERROR(IF(OR('03 Raw Data'!A359="",'03 Raw Data'!A359=0),"",'03 Raw Data'!A359),"")</f>
        <v/>
      </c>
      <c r="B361" s="24">
        <f>IF($A361="","",IFERROR(INDEX('03 Raw Data'!$B$3:$B$722,MATCH($A361,'03 Raw Data'!$A$3:$A$722,0)),""))</f>
        <v/>
      </c>
      <c r="C361" s="24">
        <f>IF($A361="","",IFERROR(INDEX('03 Raw Data'!$E$3:$E$722,MATCH($A361,'03 Raw Data'!$D$3:$D$722,0)),""))</f>
        <v/>
      </c>
      <c r="D361" s="24">
        <f>IF($A361="","",IFERROR(INDEX('03 Raw Data'!$H$3:$H$722,MATCH($A361,'03 Raw Data'!$G$3:$G$722,0)),""))</f>
        <v/>
      </c>
      <c r="E361" s="24">
        <f>IF($A361="","",IFERROR(INDEX('03 Raw Data'!$K$3:$K$722,MATCH($A361,'03 Raw Data'!$J$3:$J$722,0)),""))</f>
        <v/>
      </c>
      <c r="F361" s="24">
        <f>IF($A361="","",IFERROR(INDEX('03 Raw Data'!$N$3:$N$722,MATCH($A361,'03 Raw Data'!$M$3:$M$722,0)),""))</f>
        <v/>
      </c>
      <c r="G361" s="24">
        <f>IF($A361="","",IFERROR(INDEX('03 Raw Data'!$Q$3:$Q$722,MATCH($A361,'03 Raw Data'!$P$3:$P$722,0)),""))</f>
        <v/>
      </c>
      <c r="H361" s="24">
        <f>IF($A361="","",IFERROR(INDEX('03 Raw Data'!$T$3:$T$722,MATCH($A361,'03 Raw Data'!$S$3:$S$722,0)),""))</f>
        <v/>
      </c>
    </row>
    <row r="362">
      <c r="A362" s="23">
        <f>IFERROR(IF(OR('03 Raw Data'!A360="",'03 Raw Data'!A360=0),"",'03 Raw Data'!A360),"")</f>
        <v/>
      </c>
      <c r="B362" s="24">
        <f>IF($A362="","",IFERROR(INDEX('03 Raw Data'!$B$3:$B$722,MATCH($A362,'03 Raw Data'!$A$3:$A$722,0)),""))</f>
        <v/>
      </c>
      <c r="C362" s="24">
        <f>IF($A362="","",IFERROR(INDEX('03 Raw Data'!$E$3:$E$722,MATCH($A362,'03 Raw Data'!$D$3:$D$722,0)),""))</f>
        <v/>
      </c>
      <c r="D362" s="24">
        <f>IF($A362="","",IFERROR(INDEX('03 Raw Data'!$H$3:$H$722,MATCH($A362,'03 Raw Data'!$G$3:$G$722,0)),""))</f>
        <v/>
      </c>
      <c r="E362" s="24">
        <f>IF($A362="","",IFERROR(INDEX('03 Raw Data'!$K$3:$K$722,MATCH($A362,'03 Raw Data'!$J$3:$J$722,0)),""))</f>
        <v/>
      </c>
      <c r="F362" s="24">
        <f>IF($A362="","",IFERROR(INDEX('03 Raw Data'!$N$3:$N$722,MATCH($A362,'03 Raw Data'!$M$3:$M$722,0)),""))</f>
        <v/>
      </c>
      <c r="G362" s="24">
        <f>IF($A362="","",IFERROR(INDEX('03 Raw Data'!$Q$3:$Q$722,MATCH($A362,'03 Raw Data'!$P$3:$P$722,0)),""))</f>
        <v/>
      </c>
      <c r="H362" s="24">
        <f>IF($A362="","",IFERROR(INDEX('03 Raw Data'!$T$3:$T$722,MATCH($A362,'03 Raw Data'!$S$3:$S$722,0)),""))</f>
        <v/>
      </c>
    </row>
    <row r="363">
      <c r="A363" s="23">
        <f>IFERROR(IF(OR('03 Raw Data'!A361="",'03 Raw Data'!A361=0),"",'03 Raw Data'!A361),"")</f>
        <v/>
      </c>
      <c r="B363" s="24">
        <f>IF($A363="","",IFERROR(INDEX('03 Raw Data'!$B$3:$B$722,MATCH($A363,'03 Raw Data'!$A$3:$A$722,0)),""))</f>
        <v/>
      </c>
      <c r="C363" s="24">
        <f>IF($A363="","",IFERROR(INDEX('03 Raw Data'!$E$3:$E$722,MATCH($A363,'03 Raw Data'!$D$3:$D$722,0)),""))</f>
        <v/>
      </c>
      <c r="D363" s="24">
        <f>IF($A363="","",IFERROR(INDEX('03 Raw Data'!$H$3:$H$722,MATCH($A363,'03 Raw Data'!$G$3:$G$722,0)),""))</f>
        <v/>
      </c>
      <c r="E363" s="24">
        <f>IF($A363="","",IFERROR(INDEX('03 Raw Data'!$K$3:$K$722,MATCH($A363,'03 Raw Data'!$J$3:$J$722,0)),""))</f>
        <v/>
      </c>
      <c r="F363" s="24">
        <f>IF($A363="","",IFERROR(INDEX('03 Raw Data'!$N$3:$N$722,MATCH($A363,'03 Raw Data'!$M$3:$M$722,0)),""))</f>
        <v/>
      </c>
      <c r="G363" s="24">
        <f>IF($A363="","",IFERROR(INDEX('03 Raw Data'!$Q$3:$Q$722,MATCH($A363,'03 Raw Data'!$P$3:$P$722,0)),""))</f>
        <v/>
      </c>
      <c r="H363" s="24">
        <f>IF($A363="","",IFERROR(INDEX('03 Raw Data'!$T$3:$T$722,MATCH($A363,'03 Raw Data'!$S$3:$S$722,0)),""))</f>
        <v/>
      </c>
    </row>
    <row r="364">
      <c r="A364" s="23">
        <f>IFERROR(IF(OR('03 Raw Data'!A362="",'03 Raw Data'!A362=0),"",'03 Raw Data'!A362),"")</f>
        <v/>
      </c>
      <c r="B364" s="24">
        <f>IF($A364="","",IFERROR(INDEX('03 Raw Data'!$B$3:$B$722,MATCH($A364,'03 Raw Data'!$A$3:$A$722,0)),""))</f>
        <v/>
      </c>
      <c r="C364" s="24">
        <f>IF($A364="","",IFERROR(INDEX('03 Raw Data'!$E$3:$E$722,MATCH($A364,'03 Raw Data'!$D$3:$D$722,0)),""))</f>
        <v/>
      </c>
      <c r="D364" s="24">
        <f>IF($A364="","",IFERROR(INDEX('03 Raw Data'!$H$3:$H$722,MATCH($A364,'03 Raw Data'!$G$3:$G$722,0)),""))</f>
        <v/>
      </c>
      <c r="E364" s="24">
        <f>IF($A364="","",IFERROR(INDEX('03 Raw Data'!$K$3:$K$722,MATCH($A364,'03 Raw Data'!$J$3:$J$722,0)),""))</f>
        <v/>
      </c>
      <c r="F364" s="24">
        <f>IF($A364="","",IFERROR(INDEX('03 Raw Data'!$N$3:$N$722,MATCH($A364,'03 Raw Data'!$M$3:$M$722,0)),""))</f>
        <v/>
      </c>
      <c r="G364" s="24">
        <f>IF($A364="","",IFERROR(INDEX('03 Raw Data'!$Q$3:$Q$722,MATCH($A364,'03 Raw Data'!$P$3:$P$722,0)),""))</f>
        <v/>
      </c>
      <c r="H364" s="24">
        <f>IF($A364="","",IFERROR(INDEX('03 Raw Data'!$T$3:$T$722,MATCH($A364,'03 Raw Data'!$S$3:$S$722,0)),""))</f>
        <v/>
      </c>
    </row>
    <row r="365">
      <c r="A365" s="23">
        <f>IFERROR(IF(OR('03 Raw Data'!A363="",'03 Raw Data'!A363=0),"",'03 Raw Data'!A363),"")</f>
        <v/>
      </c>
      <c r="B365" s="24">
        <f>IF($A365="","",IFERROR(INDEX('03 Raw Data'!$B$3:$B$722,MATCH($A365,'03 Raw Data'!$A$3:$A$722,0)),""))</f>
        <v/>
      </c>
      <c r="C365" s="24">
        <f>IF($A365="","",IFERROR(INDEX('03 Raw Data'!$E$3:$E$722,MATCH($A365,'03 Raw Data'!$D$3:$D$722,0)),""))</f>
        <v/>
      </c>
      <c r="D365" s="24">
        <f>IF($A365="","",IFERROR(INDEX('03 Raw Data'!$H$3:$H$722,MATCH($A365,'03 Raw Data'!$G$3:$G$722,0)),""))</f>
        <v/>
      </c>
      <c r="E365" s="24">
        <f>IF($A365="","",IFERROR(INDEX('03 Raw Data'!$K$3:$K$722,MATCH($A365,'03 Raw Data'!$J$3:$J$722,0)),""))</f>
        <v/>
      </c>
      <c r="F365" s="24">
        <f>IF($A365="","",IFERROR(INDEX('03 Raw Data'!$N$3:$N$722,MATCH($A365,'03 Raw Data'!$M$3:$M$722,0)),""))</f>
        <v/>
      </c>
      <c r="G365" s="24">
        <f>IF($A365="","",IFERROR(INDEX('03 Raw Data'!$Q$3:$Q$722,MATCH($A365,'03 Raw Data'!$P$3:$P$722,0)),""))</f>
        <v/>
      </c>
      <c r="H365" s="24">
        <f>IF($A365="","",IFERROR(INDEX('03 Raw Data'!$T$3:$T$722,MATCH($A365,'03 Raw Data'!$S$3:$S$722,0)),""))</f>
        <v/>
      </c>
    </row>
    <row r="366">
      <c r="A366" s="23">
        <f>IFERROR(IF(OR('03 Raw Data'!A364="",'03 Raw Data'!A364=0),"",'03 Raw Data'!A364),"")</f>
        <v/>
      </c>
      <c r="B366" s="24">
        <f>IF($A366="","",IFERROR(INDEX('03 Raw Data'!$B$3:$B$722,MATCH($A366,'03 Raw Data'!$A$3:$A$722,0)),""))</f>
        <v/>
      </c>
      <c r="C366" s="24">
        <f>IF($A366="","",IFERROR(INDEX('03 Raw Data'!$E$3:$E$722,MATCH($A366,'03 Raw Data'!$D$3:$D$722,0)),""))</f>
        <v/>
      </c>
      <c r="D366" s="24">
        <f>IF($A366="","",IFERROR(INDEX('03 Raw Data'!$H$3:$H$722,MATCH($A366,'03 Raw Data'!$G$3:$G$722,0)),""))</f>
        <v/>
      </c>
      <c r="E366" s="24">
        <f>IF($A366="","",IFERROR(INDEX('03 Raw Data'!$K$3:$K$722,MATCH($A366,'03 Raw Data'!$J$3:$J$722,0)),""))</f>
        <v/>
      </c>
      <c r="F366" s="24">
        <f>IF($A366="","",IFERROR(INDEX('03 Raw Data'!$N$3:$N$722,MATCH($A366,'03 Raw Data'!$M$3:$M$722,0)),""))</f>
        <v/>
      </c>
      <c r="G366" s="24">
        <f>IF($A366="","",IFERROR(INDEX('03 Raw Data'!$Q$3:$Q$722,MATCH($A366,'03 Raw Data'!$P$3:$P$722,0)),""))</f>
        <v/>
      </c>
      <c r="H366" s="24">
        <f>IF($A366="","",IFERROR(INDEX('03 Raw Data'!$T$3:$T$722,MATCH($A366,'03 Raw Data'!$S$3:$S$722,0)),""))</f>
        <v/>
      </c>
    </row>
    <row r="367">
      <c r="A367" s="23">
        <f>IFERROR(IF(OR('03 Raw Data'!A365="",'03 Raw Data'!A365=0),"",'03 Raw Data'!A365),"")</f>
        <v/>
      </c>
      <c r="B367" s="24">
        <f>IF($A367="","",IFERROR(INDEX('03 Raw Data'!$B$3:$B$722,MATCH($A367,'03 Raw Data'!$A$3:$A$722,0)),""))</f>
        <v/>
      </c>
      <c r="C367" s="24">
        <f>IF($A367="","",IFERROR(INDEX('03 Raw Data'!$E$3:$E$722,MATCH($A367,'03 Raw Data'!$D$3:$D$722,0)),""))</f>
        <v/>
      </c>
      <c r="D367" s="24">
        <f>IF($A367="","",IFERROR(INDEX('03 Raw Data'!$H$3:$H$722,MATCH($A367,'03 Raw Data'!$G$3:$G$722,0)),""))</f>
        <v/>
      </c>
      <c r="E367" s="24">
        <f>IF($A367="","",IFERROR(INDEX('03 Raw Data'!$K$3:$K$722,MATCH($A367,'03 Raw Data'!$J$3:$J$722,0)),""))</f>
        <v/>
      </c>
      <c r="F367" s="24">
        <f>IF($A367="","",IFERROR(INDEX('03 Raw Data'!$N$3:$N$722,MATCH($A367,'03 Raw Data'!$M$3:$M$722,0)),""))</f>
        <v/>
      </c>
      <c r="G367" s="24">
        <f>IF($A367="","",IFERROR(INDEX('03 Raw Data'!$Q$3:$Q$722,MATCH($A367,'03 Raw Data'!$P$3:$P$722,0)),""))</f>
        <v/>
      </c>
      <c r="H367" s="24">
        <f>IF($A367="","",IFERROR(INDEX('03 Raw Data'!$T$3:$T$722,MATCH($A367,'03 Raw Data'!$S$3:$S$722,0)),""))</f>
        <v/>
      </c>
    </row>
    <row r="368">
      <c r="A368" s="23">
        <f>IFERROR(IF(OR('03 Raw Data'!A366="",'03 Raw Data'!A366=0),"",'03 Raw Data'!A366),"")</f>
        <v/>
      </c>
      <c r="B368" s="24">
        <f>IF($A368="","",IFERROR(INDEX('03 Raw Data'!$B$3:$B$722,MATCH($A368,'03 Raw Data'!$A$3:$A$722,0)),""))</f>
        <v/>
      </c>
      <c r="C368" s="24">
        <f>IF($A368="","",IFERROR(INDEX('03 Raw Data'!$E$3:$E$722,MATCH($A368,'03 Raw Data'!$D$3:$D$722,0)),""))</f>
        <v/>
      </c>
      <c r="D368" s="24">
        <f>IF($A368="","",IFERROR(INDEX('03 Raw Data'!$H$3:$H$722,MATCH($A368,'03 Raw Data'!$G$3:$G$722,0)),""))</f>
        <v/>
      </c>
      <c r="E368" s="24">
        <f>IF($A368="","",IFERROR(INDEX('03 Raw Data'!$K$3:$K$722,MATCH($A368,'03 Raw Data'!$J$3:$J$722,0)),""))</f>
        <v/>
      </c>
      <c r="F368" s="24">
        <f>IF($A368="","",IFERROR(INDEX('03 Raw Data'!$N$3:$N$722,MATCH($A368,'03 Raw Data'!$M$3:$M$722,0)),""))</f>
        <v/>
      </c>
      <c r="G368" s="24">
        <f>IF($A368="","",IFERROR(INDEX('03 Raw Data'!$Q$3:$Q$722,MATCH($A368,'03 Raw Data'!$P$3:$P$722,0)),""))</f>
        <v/>
      </c>
      <c r="H368" s="24">
        <f>IF($A368="","",IFERROR(INDEX('03 Raw Data'!$T$3:$T$722,MATCH($A368,'03 Raw Data'!$S$3:$S$722,0)),""))</f>
        <v/>
      </c>
    </row>
    <row r="369">
      <c r="A369" s="23">
        <f>IFERROR(IF(OR('03 Raw Data'!A367="",'03 Raw Data'!A367=0),"",'03 Raw Data'!A367),"")</f>
        <v/>
      </c>
      <c r="B369" s="24">
        <f>IF($A369="","",IFERROR(INDEX('03 Raw Data'!$B$3:$B$722,MATCH($A369,'03 Raw Data'!$A$3:$A$722,0)),""))</f>
        <v/>
      </c>
      <c r="C369" s="24">
        <f>IF($A369="","",IFERROR(INDEX('03 Raw Data'!$E$3:$E$722,MATCH($A369,'03 Raw Data'!$D$3:$D$722,0)),""))</f>
        <v/>
      </c>
      <c r="D369" s="24">
        <f>IF($A369="","",IFERROR(INDEX('03 Raw Data'!$H$3:$H$722,MATCH($A369,'03 Raw Data'!$G$3:$G$722,0)),""))</f>
        <v/>
      </c>
      <c r="E369" s="24">
        <f>IF($A369="","",IFERROR(INDEX('03 Raw Data'!$K$3:$K$722,MATCH($A369,'03 Raw Data'!$J$3:$J$722,0)),""))</f>
        <v/>
      </c>
      <c r="F369" s="24">
        <f>IF($A369="","",IFERROR(INDEX('03 Raw Data'!$N$3:$N$722,MATCH($A369,'03 Raw Data'!$M$3:$M$722,0)),""))</f>
        <v/>
      </c>
      <c r="G369" s="24">
        <f>IF($A369="","",IFERROR(INDEX('03 Raw Data'!$Q$3:$Q$722,MATCH($A369,'03 Raw Data'!$P$3:$P$722,0)),""))</f>
        <v/>
      </c>
      <c r="H369" s="24">
        <f>IF($A369="","",IFERROR(INDEX('03 Raw Data'!$T$3:$T$722,MATCH($A369,'03 Raw Data'!$S$3:$S$722,0)),""))</f>
        <v/>
      </c>
    </row>
    <row r="370">
      <c r="A370" s="23">
        <f>IFERROR(IF(OR('03 Raw Data'!A368="",'03 Raw Data'!A368=0),"",'03 Raw Data'!A368),"")</f>
        <v/>
      </c>
      <c r="B370" s="24">
        <f>IF($A370="","",IFERROR(INDEX('03 Raw Data'!$B$3:$B$722,MATCH($A370,'03 Raw Data'!$A$3:$A$722,0)),""))</f>
        <v/>
      </c>
      <c r="C370" s="24">
        <f>IF($A370="","",IFERROR(INDEX('03 Raw Data'!$E$3:$E$722,MATCH($A370,'03 Raw Data'!$D$3:$D$722,0)),""))</f>
        <v/>
      </c>
      <c r="D370" s="24">
        <f>IF($A370="","",IFERROR(INDEX('03 Raw Data'!$H$3:$H$722,MATCH($A370,'03 Raw Data'!$G$3:$G$722,0)),""))</f>
        <v/>
      </c>
      <c r="E370" s="24">
        <f>IF($A370="","",IFERROR(INDEX('03 Raw Data'!$K$3:$K$722,MATCH($A370,'03 Raw Data'!$J$3:$J$722,0)),""))</f>
        <v/>
      </c>
      <c r="F370" s="24">
        <f>IF($A370="","",IFERROR(INDEX('03 Raw Data'!$N$3:$N$722,MATCH($A370,'03 Raw Data'!$M$3:$M$722,0)),""))</f>
        <v/>
      </c>
      <c r="G370" s="24">
        <f>IF($A370="","",IFERROR(INDEX('03 Raw Data'!$Q$3:$Q$722,MATCH($A370,'03 Raw Data'!$P$3:$P$722,0)),""))</f>
        <v/>
      </c>
      <c r="H370" s="24">
        <f>IF($A370="","",IFERROR(INDEX('03 Raw Data'!$T$3:$T$722,MATCH($A370,'03 Raw Data'!$S$3:$S$722,0)),""))</f>
        <v/>
      </c>
    </row>
    <row r="371">
      <c r="A371" s="23">
        <f>IFERROR(IF(OR('03 Raw Data'!A369="",'03 Raw Data'!A369=0),"",'03 Raw Data'!A369),"")</f>
        <v/>
      </c>
      <c r="B371" s="24">
        <f>IF($A371="","",IFERROR(INDEX('03 Raw Data'!$B$3:$B$722,MATCH($A371,'03 Raw Data'!$A$3:$A$722,0)),""))</f>
        <v/>
      </c>
      <c r="C371" s="24">
        <f>IF($A371="","",IFERROR(INDEX('03 Raw Data'!$E$3:$E$722,MATCH($A371,'03 Raw Data'!$D$3:$D$722,0)),""))</f>
        <v/>
      </c>
      <c r="D371" s="24">
        <f>IF($A371="","",IFERROR(INDEX('03 Raw Data'!$H$3:$H$722,MATCH($A371,'03 Raw Data'!$G$3:$G$722,0)),""))</f>
        <v/>
      </c>
      <c r="E371" s="24">
        <f>IF($A371="","",IFERROR(INDEX('03 Raw Data'!$K$3:$K$722,MATCH($A371,'03 Raw Data'!$J$3:$J$722,0)),""))</f>
        <v/>
      </c>
      <c r="F371" s="24">
        <f>IF($A371="","",IFERROR(INDEX('03 Raw Data'!$N$3:$N$722,MATCH($A371,'03 Raw Data'!$M$3:$M$722,0)),""))</f>
        <v/>
      </c>
      <c r="G371" s="24">
        <f>IF($A371="","",IFERROR(INDEX('03 Raw Data'!$Q$3:$Q$722,MATCH($A371,'03 Raw Data'!$P$3:$P$722,0)),""))</f>
        <v/>
      </c>
      <c r="H371" s="24">
        <f>IF($A371="","",IFERROR(INDEX('03 Raw Data'!$T$3:$T$722,MATCH($A371,'03 Raw Data'!$S$3:$S$722,0)),""))</f>
        <v/>
      </c>
    </row>
    <row r="372">
      <c r="A372" s="23">
        <f>IFERROR(IF(OR('03 Raw Data'!A370="",'03 Raw Data'!A370=0),"",'03 Raw Data'!A370),"")</f>
        <v/>
      </c>
      <c r="B372" s="24">
        <f>IF($A372="","",IFERROR(INDEX('03 Raw Data'!$B$3:$B$722,MATCH($A372,'03 Raw Data'!$A$3:$A$722,0)),""))</f>
        <v/>
      </c>
      <c r="C372" s="24">
        <f>IF($A372="","",IFERROR(INDEX('03 Raw Data'!$E$3:$E$722,MATCH($A372,'03 Raw Data'!$D$3:$D$722,0)),""))</f>
        <v/>
      </c>
      <c r="D372" s="24">
        <f>IF($A372="","",IFERROR(INDEX('03 Raw Data'!$H$3:$H$722,MATCH($A372,'03 Raw Data'!$G$3:$G$722,0)),""))</f>
        <v/>
      </c>
      <c r="E372" s="24">
        <f>IF($A372="","",IFERROR(INDEX('03 Raw Data'!$K$3:$K$722,MATCH($A372,'03 Raw Data'!$J$3:$J$722,0)),""))</f>
        <v/>
      </c>
      <c r="F372" s="24">
        <f>IF($A372="","",IFERROR(INDEX('03 Raw Data'!$N$3:$N$722,MATCH($A372,'03 Raw Data'!$M$3:$M$722,0)),""))</f>
        <v/>
      </c>
      <c r="G372" s="24">
        <f>IF($A372="","",IFERROR(INDEX('03 Raw Data'!$Q$3:$Q$722,MATCH($A372,'03 Raw Data'!$P$3:$P$722,0)),""))</f>
        <v/>
      </c>
      <c r="H372" s="24">
        <f>IF($A372="","",IFERROR(INDEX('03 Raw Data'!$T$3:$T$722,MATCH($A372,'03 Raw Data'!$S$3:$S$722,0)),""))</f>
        <v/>
      </c>
    </row>
    <row r="373">
      <c r="A373" s="23">
        <f>IFERROR(IF(OR('03 Raw Data'!A371="",'03 Raw Data'!A371=0),"",'03 Raw Data'!A371),"")</f>
        <v/>
      </c>
      <c r="B373" s="24">
        <f>IF($A373="","",IFERROR(INDEX('03 Raw Data'!$B$3:$B$722,MATCH($A373,'03 Raw Data'!$A$3:$A$722,0)),""))</f>
        <v/>
      </c>
      <c r="C373" s="24">
        <f>IF($A373="","",IFERROR(INDEX('03 Raw Data'!$E$3:$E$722,MATCH($A373,'03 Raw Data'!$D$3:$D$722,0)),""))</f>
        <v/>
      </c>
      <c r="D373" s="24">
        <f>IF($A373="","",IFERROR(INDEX('03 Raw Data'!$H$3:$H$722,MATCH($A373,'03 Raw Data'!$G$3:$G$722,0)),""))</f>
        <v/>
      </c>
      <c r="E373" s="24">
        <f>IF($A373="","",IFERROR(INDEX('03 Raw Data'!$K$3:$K$722,MATCH($A373,'03 Raw Data'!$J$3:$J$722,0)),""))</f>
        <v/>
      </c>
      <c r="F373" s="24">
        <f>IF($A373="","",IFERROR(INDEX('03 Raw Data'!$N$3:$N$722,MATCH($A373,'03 Raw Data'!$M$3:$M$722,0)),""))</f>
        <v/>
      </c>
      <c r="G373" s="24">
        <f>IF($A373="","",IFERROR(INDEX('03 Raw Data'!$Q$3:$Q$722,MATCH($A373,'03 Raw Data'!$P$3:$P$722,0)),""))</f>
        <v/>
      </c>
      <c r="H373" s="24">
        <f>IF($A373="","",IFERROR(INDEX('03 Raw Data'!$T$3:$T$722,MATCH($A373,'03 Raw Data'!$S$3:$S$722,0)),""))</f>
        <v/>
      </c>
    </row>
    <row r="374">
      <c r="A374" s="23">
        <f>IFERROR(IF(OR('03 Raw Data'!A372="",'03 Raw Data'!A372=0),"",'03 Raw Data'!A372),"")</f>
        <v/>
      </c>
      <c r="B374" s="24">
        <f>IF($A374="","",IFERROR(INDEX('03 Raw Data'!$B$3:$B$722,MATCH($A374,'03 Raw Data'!$A$3:$A$722,0)),""))</f>
        <v/>
      </c>
      <c r="C374" s="24">
        <f>IF($A374="","",IFERROR(INDEX('03 Raw Data'!$E$3:$E$722,MATCH($A374,'03 Raw Data'!$D$3:$D$722,0)),""))</f>
        <v/>
      </c>
      <c r="D374" s="24">
        <f>IF($A374="","",IFERROR(INDEX('03 Raw Data'!$H$3:$H$722,MATCH($A374,'03 Raw Data'!$G$3:$G$722,0)),""))</f>
        <v/>
      </c>
      <c r="E374" s="24">
        <f>IF($A374="","",IFERROR(INDEX('03 Raw Data'!$K$3:$K$722,MATCH($A374,'03 Raw Data'!$J$3:$J$722,0)),""))</f>
        <v/>
      </c>
      <c r="F374" s="24">
        <f>IF($A374="","",IFERROR(INDEX('03 Raw Data'!$N$3:$N$722,MATCH($A374,'03 Raw Data'!$M$3:$M$722,0)),""))</f>
        <v/>
      </c>
      <c r="G374" s="24">
        <f>IF($A374="","",IFERROR(INDEX('03 Raw Data'!$Q$3:$Q$722,MATCH($A374,'03 Raw Data'!$P$3:$P$722,0)),""))</f>
        <v/>
      </c>
      <c r="H374" s="24">
        <f>IF($A374="","",IFERROR(INDEX('03 Raw Data'!$T$3:$T$722,MATCH($A374,'03 Raw Data'!$S$3:$S$722,0)),""))</f>
        <v/>
      </c>
    </row>
    <row r="375">
      <c r="A375" s="23">
        <f>IFERROR(IF(OR('03 Raw Data'!A373="",'03 Raw Data'!A373=0),"",'03 Raw Data'!A373),"")</f>
        <v/>
      </c>
      <c r="B375" s="24">
        <f>IF($A375="","",IFERROR(INDEX('03 Raw Data'!$B$3:$B$722,MATCH($A375,'03 Raw Data'!$A$3:$A$722,0)),""))</f>
        <v/>
      </c>
      <c r="C375" s="24">
        <f>IF($A375="","",IFERROR(INDEX('03 Raw Data'!$E$3:$E$722,MATCH($A375,'03 Raw Data'!$D$3:$D$722,0)),""))</f>
        <v/>
      </c>
      <c r="D375" s="24">
        <f>IF($A375="","",IFERROR(INDEX('03 Raw Data'!$H$3:$H$722,MATCH($A375,'03 Raw Data'!$G$3:$G$722,0)),""))</f>
        <v/>
      </c>
      <c r="E375" s="24">
        <f>IF($A375="","",IFERROR(INDEX('03 Raw Data'!$K$3:$K$722,MATCH($A375,'03 Raw Data'!$J$3:$J$722,0)),""))</f>
        <v/>
      </c>
      <c r="F375" s="24">
        <f>IF($A375="","",IFERROR(INDEX('03 Raw Data'!$N$3:$N$722,MATCH($A375,'03 Raw Data'!$M$3:$M$722,0)),""))</f>
        <v/>
      </c>
      <c r="G375" s="24">
        <f>IF($A375="","",IFERROR(INDEX('03 Raw Data'!$Q$3:$Q$722,MATCH($A375,'03 Raw Data'!$P$3:$P$722,0)),""))</f>
        <v/>
      </c>
      <c r="H375" s="24">
        <f>IF($A375="","",IFERROR(INDEX('03 Raw Data'!$T$3:$T$722,MATCH($A375,'03 Raw Data'!$S$3:$S$722,0)),""))</f>
        <v/>
      </c>
    </row>
    <row r="376">
      <c r="A376" s="23">
        <f>IFERROR(IF(OR('03 Raw Data'!A374="",'03 Raw Data'!A374=0),"",'03 Raw Data'!A374),"")</f>
        <v/>
      </c>
      <c r="B376" s="24">
        <f>IF($A376="","",IFERROR(INDEX('03 Raw Data'!$B$3:$B$722,MATCH($A376,'03 Raw Data'!$A$3:$A$722,0)),""))</f>
        <v/>
      </c>
      <c r="C376" s="24">
        <f>IF($A376="","",IFERROR(INDEX('03 Raw Data'!$E$3:$E$722,MATCH($A376,'03 Raw Data'!$D$3:$D$722,0)),""))</f>
        <v/>
      </c>
      <c r="D376" s="24">
        <f>IF($A376="","",IFERROR(INDEX('03 Raw Data'!$H$3:$H$722,MATCH($A376,'03 Raw Data'!$G$3:$G$722,0)),""))</f>
        <v/>
      </c>
      <c r="E376" s="24">
        <f>IF($A376="","",IFERROR(INDEX('03 Raw Data'!$K$3:$K$722,MATCH($A376,'03 Raw Data'!$J$3:$J$722,0)),""))</f>
        <v/>
      </c>
      <c r="F376" s="24">
        <f>IF($A376="","",IFERROR(INDEX('03 Raw Data'!$N$3:$N$722,MATCH($A376,'03 Raw Data'!$M$3:$M$722,0)),""))</f>
        <v/>
      </c>
      <c r="G376" s="24">
        <f>IF($A376="","",IFERROR(INDEX('03 Raw Data'!$Q$3:$Q$722,MATCH($A376,'03 Raw Data'!$P$3:$P$722,0)),""))</f>
        <v/>
      </c>
      <c r="H376" s="24">
        <f>IF($A376="","",IFERROR(INDEX('03 Raw Data'!$T$3:$T$722,MATCH($A376,'03 Raw Data'!$S$3:$S$722,0)),""))</f>
        <v/>
      </c>
    </row>
    <row r="377">
      <c r="A377" s="23">
        <f>IFERROR(IF(OR('03 Raw Data'!A375="",'03 Raw Data'!A375=0),"",'03 Raw Data'!A375),"")</f>
        <v/>
      </c>
      <c r="B377" s="24">
        <f>IF($A377="","",IFERROR(INDEX('03 Raw Data'!$B$3:$B$722,MATCH($A377,'03 Raw Data'!$A$3:$A$722,0)),""))</f>
        <v/>
      </c>
      <c r="C377" s="24">
        <f>IF($A377="","",IFERROR(INDEX('03 Raw Data'!$E$3:$E$722,MATCH($A377,'03 Raw Data'!$D$3:$D$722,0)),""))</f>
        <v/>
      </c>
      <c r="D377" s="24">
        <f>IF($A377="","",IFERROR(INDEX('03 Raw Data'!$H$3:$H$722,MATCH($A377,'03 Raw Data'!$G$3:$G$722,0)),""))</f>
        <v/>
      </c>
      <c r="E377" s="24">
        <f>IF($A377="","",IFERROR(INDEX('03 Raw Data'!$K$3:$K$722,MATCH($A377,'03 Raw Data'!$J$3:$J$722,0)),""))</f>
        <v/>
      </c>
      <c r="F377" s="24">
        <f>IF($A377="","",IFERROR(INDEX('03 Raw Data'!$N$3:$N$722,MATCH($A377,'03 Raw Data'!$M$3:$M$722,0)),""))</f>
        <v/>
      </c>
      <c r="G377" s="24">
        <f>IF($A377="","",IFERROR(INDEX('03 Raw Data'!$Q$3:$Q$722,MATCH($A377,'03 Raw Data'!$P$3:$P$722,0)),""))</f>
        <v/>
      </c>
      <c r="H377" s="24">
        <f>IF($A377="","",IFERROR(INDEX('03 Raw Data'!$T$3:$T$722,MATCH($A377,'03 Raw Data'!$S$3:$S$722,0)),""))</f>
        <v/>
      </c>
    </row>
    <row r="378">
      <c r="A378" s="23">
        <f>IFERROR(IF(OR('03 Raw Data'!A376="",'03 Raw Data'!A376=0),"",'03 Raw Data'!A376),"")</f>
        <v/>
      </c>
      <c r="B378" s="24">
        <f>IF($A378="","",IFERROR(INDEX('03 Raw Data'!$B$3:$B$722,MATCH($A378,'03 Raw Data'!$A$3:$A$722,0)),""))</f>
        <v/>
      </c>
      <c r="C378" s="24">
        <f>IF($A378="","",IFERROR(INDEX('03 Raw Data'!$E$3:$E$722,MATCH($A378,'03 Raw Data'!$D$3:$D$722,0)),""))</f>
        <v/>
      </c>
      <c r="D378" s="24">
        <f>IF($A378="","",IFERROR(INDEX('03 Raw Data'!$H$3:$H$722,MATCH($A378,'03 Raw Data'!$G$3:$G$722,0)),""))</f>
        <v/>
      </c>
      <c r="E378" s="24">
        <f>IF($A378="","",IFERROR(INDEX('03 Raw Data'!$K$3:$K$722,MATCH($A378,'03 Raw Data'!$J$3:$J$722,0)),""))</f>
        <v/>
      </c>
      <c r="F378" s="24">
        <f>IF($A378="","",IFERROR(INDEX('03 Raw Data'!$N$3:$N$722,MATCH($A378,'03 Raw Data'!$M$3:$M$722,0)),""))</f>
        <v/>
      </c>
      <c r="G378" s="24">
        <f>IF($A378="","",IFERROR(INDEX('03 Raw Data'!$Q$3:$Q$722,MATCH($A378,'03 Raw Data'!$P$3:$P$722,0)),""))</f>
        <v/>
      </c>
      <c r="H378" s="24">
        <f>IF($A378="","",IFERROR(INDEX('03 Raw Data'!$T$3:$T$722,MATCH($A378,'03 Raw Data'!$S$3:$S$722,0)),""))</f>
        <v/>
      </c>
    </row>
    <row r="379">
      <c r="A379" s="23">
        <f>IFERROR(IF(OR('03 Raw Data'!A377="",'03 Raw Data'!A377=0),"",'03 Raw Data'!A377),"")</f>
        <v/>
      </c>
      <c r="B379" s="24">
        <f>IF($A379="","",IFERROR(INDEX('03 Raw Data'!$B$3:$B$722,MATCH($A379,'03 Raw Data'!$A$3:$A$722,0)),""))</f>
        <v/>
      </c>
      <c r="C379" s="24">
        <f>IF($A379="","",IFERROR(INDEX('03 Raw Data'!$E$3:$E$722,MATCH($A379,'03 Raw Data'!$D$3:$D$722,0)),""))</f>
        <v/>
      </c>
      <c r="D379" s="24">
        <f>IF($A379="","",IFERROR(INDEX('03 Raw Data'!$H$3:$H$722,MATCH($A379,'03 Raw Data'!$G$3:$G$722,0)),""))</f>
        <v/>
      </c>
      <c r="E379" s="24">
        <f>IF($A379="","",IFERROR(INDEX('03 Raw Data'!$K$3:$K$722,MATCH($A379,'03 Raw Data'!$J$3:$J$722,0)),""))</f>
        <v/>
      </c>
      <c r="F379" s="24">
        <f>IF($A379="","",IFERROR(INDEX('03 Raw Data'!$N$3:$N$722,MATCH($A379,'03 Raw Data'!$M$3:$M$722,0)),""))</f>
        <v/>
      </c>
      <c r="G379" s="24">
        <f>IF($A379="","",IFERROR(INDEX('03 Raw Data'!$Q$3:$Q$722,MATCH($A379,'03 Raw Data'!$P$3:$P$722,0)),""))</f>
        <v/>
      </c>
      <c r="H379" s="24">
        <f>IF($A379="","",IFERROR(INDEX('03 Raw Data'!$T$3:$T$722,MATCH($A379,'03 Raw Data'!$S$3:$S$722,0)),""))</f>
        <v/>
      </c>
    </row>
    <row r="380">
      <c r="A380" s="23">
        <f>IFERROR(IF(OR('03 Raw Data'!A378="",'03 Raw Data'!A378=0),"",'03 Raw Data'!A378),"")</f>
        <v/>
      </c>
      <c r="B380" s="24">
        <f>IF($A380="","",IFERROR(INDEX('03 Raw Data'!$B$3:$B$722,MATCH($A380,'03 Raw Data'!$A$3:$A$722,0)),""))</f>
        <v/>
      </c>
      <c r="C380" s="24">
        <f>IF($A380="","",IFERROR(INDEX('03 Raw Data'!$E$3:$E$722,MATCH($A380,'03 Raw Data'!$D$3:$D$722,0)),""))</f>
        <v/>
      </c>
      <c r="D380" s="24">
        <f>IF($A380="","",IFERROR(INDEX('03 Raw Data'!$H$3:$H$722,MATCH($A380,'03 Raw Data'!$G$3:$G$722,0)),""))</f>
        <v/>
      </c>
      <c r="E380" s="24">
        <f>IF($A380="","",IFERROR(INDEX('03 Raw Data'!$K$3:$K$722,MATCH($A380,'03 Raw Data'!$J$3:$J$722,0)),""))</f>
        <v/>
      </c>
      <c r="F380" s="24">
        <f>IF($A380="","",IFERROR(INDEX('03 Raw Data'!$N$3:$N$722,MATCH($A380,'03 Raw Data'!$M$3:$M$722,0)),""))</f>
        <v/>
      </c>
      <c r="G380" s="24">
        <f>IF($A380="","",IFERROR(INDEX('03 Raw Data'!$Q$3:$Q$722,MATCH($A380,'03 Raw Data'!$P$3:$P$722,0)),""))</f>
        <v/>
      </c>
      <c r="H380" s="24">
        <f>IF($A380="","",IFERROR(INDEX('03 Raw Data'!$T$3:$T$722,MATCH($A380,'03 Raw Data'!$S$3:$S$722,0)),""))</f>
        <v/>
      </c>
    </row>
    <row r="381">
      <c r="A381" s="23">
        <f>IFERROR(IF(OR('03 Raw Data'!A379="",'03 Raw Data'!A379=0),"",'03 Raw Data'!A379),"")</f>
        <v/>
      </c>
      <c r="B381" s="24">
        <f>IF($A381="","",IFERROR(INDEX('03 Raw Data'!$B$3:$B$722,MATCH($A381,'03 Raw Data'!$A$3:$A$722,0)),""))</f>
        <v/>
      </c>
      <c r="C381" s="24">
        <f>IF($A381="","",IFERROR(INDEX('03 Raw Data'!$E$3:$E$722,MATCH($A381,'03 Raw Data'!$D$3:$D$722,0)),""))</f>
        <v/>
      </c>
      <c r="D381" s="24">
        <f>IF($A381="","",IFERROR(INDEX('03 Raw Data'!$H$3:$H$722,MATCH($A381,'03 Raw Data'!$G$3:$G$722,0)),""))</f>
        <v/>
      </c>
      <c r="E381" s="24">
        <f>IF($A381="","",IFERROR(INDEX('03 Raw Data'!$K$3:$K$722,MATCH($A381,'03 Raw Data'!$J$3:$J$722,0)),""))</f>
        <v/>
      </c>
      <c r="F381" s="24">
        <f>IF($A381="","",IFERROR(INDEX('03 Raw Data'!$N$3:$N$722,MATCH($A381,'03 Raw Data'!$M$3:$M$722,0)),""))</f>
        <v/>
      </c>
      <c r="G381" s="24">
        <f>IF($A381="","",IFERROR(INDEX('03 Raw Data'!$Q$3:$Q$722,MATCH($A381,'03 Raw Data'!$P$3:$P$722,0)),""))</f>
        <v/>
      </c>
      <c r="H381" s="24">
        <f>IF($A381="","",IFERROR(INDEX('03 Raw Data'!$T$3:$T$722,MATCH($A381,'03 Raw Data'!$S$3:$S$722,0)),""))</f>
        <v/>
      </c>
    </row>
    <row r="382">
      <c r="A382" s="23">
        <f>IFERROR(IF(OR('03 Raw Data'!A380="",'03 Raw Data'!A380=0),"",'03 Raw Data'!A380),"")</f>
        <v/>
      </c>
      <c r="B382" s="24">
        <f>IF($A382="","",IFERROR(INDEX('03 Raw Data'!$B$3:$B$722,MATCH($A382,'03 Raw Data'!$A$3:$A$722,0)),""))</f>
        <v/>
      </c>
      <c r="C382" s="24">
        <f>IF($A382="","",IFERROR(INDEX('03 Raw Data'!$E$3:$E$722,MATCH($A382,'03 Raw Data'!$D$3:$D$722,0)),""))</f>
        <v/>
      </c>
      <c r="D382" s="24">
        <f>IF($A382="","",IFERROR(INDEX('03 Raw Data'!$H$3:$H$722,MATCH($A382,'03 Raw Data'!$G$3:$G$722,0)),""))</f>
        <v/>
      </c>
      <c r="E382" s="24">
        <f>IF($A382="","",IFERROR(INDEX('03 Raw Data'!$K$3:$K$722,MATCH($A382,'03 Raw Data'!$J$3:$J$722,0)),""))</f>
        <v/>
      </c>
      <c r="F382" s="24">
        <f>IF($A382="","",IFERROR(INDEX('03 Raw Data'!$N$3:$N$722,MATCH($A382,'03 Raw Data'!$M$3:$M$722,0)),""))</f>
        <v/>
      </c>
      <c r="G382" s="24">
        <f>IF($A382="","",IFERROR(INDEX('03 Raw Data'!$Q$3:$Q$722,MATCH($A382,'03 Raw Data'!$P$3:$P$722,0)),""))</f>
        <v/>
      </c>
      <c r="H382" s="24">
        <f>IF($A382="","",IFERROR(INDEX('03 Raw Data'!$T$3:$T$722,MATCH($A382,'03 Raw Data'!$S$3:$S$722,0)),""))</f>
        <v/>
      </c>
    </row>
    <row r="383">
      <c r="A383" s="23">
        <f>IFERROR(IF(OR('03 Raw Data'!A381="",'03 Raw Data'!A381=0),"",'03 Raw Data'!A381),"")</f>
        <v/>
      </c>
      <c r="B383" s="24">
        <f>IF($A383="","",IFERROR(INDEX('03 Raw Data'!$B$3:$B$722,MATCH($A383,'03 Raw Data'!$A$3:$A$722,0)),""))</f>
        <v/>
      </c>
      <c r="C383" s="24">
        <f>IF($A383="","",IFERROR(INDEX('03 Raw Data'!$E$3:$E$722,MATCH($A383,'03 Raw Data'!$D$3:$D$722,0)),""))</f>
        <v/>
      </c>
      <c r="D383" s="24">
        <f>IF($A383="","",IFERROR(INDEX('03 Raw Data'!$H$3:$H$722,MATCH($A383,'03 Raw Data'!$G$3:$G$722,0)),""))</f>
        <v/>
      </c>
      <c r="E383" s="24">
        <f>IF($A383="","",IFERROR(INDEX('03 Raw Data'!$K$3:$K$722,MATCH($A383,'03 Raw Data'!$J$3:$J$722,0)),""))</f>
        <v/>
      </c>
      <c r="F383" s="24">
        <f>IF($A383="","",IFERROR(INDEX('03 Raw Data'!$N$3:$N$722,MATCH($A383,'03 Raw Data'!$M$3:$M$722,0)),""))</f>
        <v/>
      </c>
      <c r="G383" s="24">
        <f>IF($A383="","",IFERROR(INDEX('03 Raw Data'!$Q$3:$Q$722,MATCH($A383,'03 Raw Data'!$P$3:$P$722,0)),""))</f>
        <v/>
      </c>
      <c r="H383" s="24">
        <f>IF($A383="","",IFERROR(INDEX('03 Raw Data'!$T$3:$T$722,MATCH($A383,'03 Raw Data'!$S$3:$S$722,0)),""))</f>
        <v/>
      </c>
    </row>
    <row r="384">
      <c r="A384" s="23">
        <f>IFERROR(IF(OR('03 Raw Data'!A382="",'03 Raw Data'!A382=0),"",'03 Raw Data'!A382),"")</f>
        <v/>
      </c>
      <c r="B384" s="24">
        <f>IF($A384="","",IFERROR(INDEX('03 Raw Data'!$B$3:$B$722,MATCH($A384,'03 Raw Data'!$A$3:$A$722,0)),""))</f>
        <v/>
      </c>
      <c r="C384" s="24">
        <f>IF($A384="","",IFERROR(INDEX('03 Raw Data'!$E$3:$E$722,MATCH($A384,'03 Raw Data'!$D$3:$D$722,0)),""))</f>
        <v/>
      </c>
      <c r="D384" s="24">
        <f>IF($A384="","",IFERROR(INDEX('03 Raw Data'!$H$3:$H$722,MATCH($A384,'03 Raw Data'!$G$3:$G$722,0)),""))</f>
        <v/>
      </c>
      <c r="E384" s="24">
        <f>IF($A384="","",IFERROR(INDEX('03 Raw Data'!$K$3:$K$722,MATCH($A384,'03 Raw Data'!$J$3:$J$722,0)),""))</f>
        <v/>
      </c>
      <c r="F384" s="24">
        <f>IF($A384="","",IFERROR(INDEX('03 Raw Data'!$N$3:$N$722,MATCH($A384,'03 Raw Data'!$M$3:$M$722,0)),""))</f>
        <v/>
      </c>
      <c r="G384" s="24">
        <f>IF($A384="","",IFERROR(INDEX('03 Raw Data'!$Q$3:$Q$722,MATCH($A384,'03 Raw Data'!$P$3:$P$722,0)),""))</f>
        <v/>
      </c>
      <c r="H384" s="24">
        <f>IF($A384="","",IFERROR(INDEX('03 Raw Data'!$T$3:$T$722,MATCH($A384,'03 Raw Data'!$S$3:$S$722,0)),""))</f>
        <v/>
      </c>
    </row>
    <row r="385">
      <c r="A385" s="23">
        <f>IFERROR(IF(OR('03 Raw Data'!A383="",'03 Raw Data'!A383=0),"",'03 Raw Data'!A383),"")</f>
        <v/>
      </c>
      <c r="B385" s="24">
        <f>IF($A385="","",IFERROR(INDEX('03 Raw Data'!$B$3:$B$722,MATCH($A385,'03 Raw Data'!$A$3:$A$722,0)),""))</f>
        <v/>
      </c>
      <c r="C385" s="24">
        <f>IF($A385="","",IFERROR(INDEX('03 Raw Data'!$E$3:$E$722,MATCH($A385,'03 Raw Data'!$D$3:$D$722,0)),""))</f>
        <v/>
      </c>
      <c r="D385" s="24">
        <f>IF($A385="","",IFERROR(INDEX('03 Raw Data'!$H$3:$H$722,MATCH($A385,'03 Raw Data'!$G$3:$G$722,0)),""))</f>
        <v/>
      </c>
      <c r="E385" s="24">
        <f>IF($A385="","",IFERROR(INDEX('03 Raw Data'!$K$3:$K$722,MATCH($A385,'03 Raw Data'!$J$3:$J$722,0)),""))</f>
        <v/>
      </c>
      <c r="F385" s="24">
        <f>IF($A385="","",IFERROR(INDEX('03 Raw Data'!$N$3:$N$722,MATCH($A385,'03 Raw Data'!$M$3:$M$722,0)),""))</f>
        <v/>
      </c>
      <c r="G385" s="24">
        <f>IF($A385="","",IFERROR(INDEX('03 Raw Data'!$Q$3:$Q$722,MATCH($A385,'03 Raw Data'!$P$3:$P$722,0)),""))</f>
        <v/>
      </c>
      <c r="H385" s="24">
        <f>IF($A385="","",IFERROR(INDEX('03 Raw Data'!$T$3:$T$722,MATCH($A385,'03 Raw Data'!$S$3:$S$722,0)),""))</f>
        <v/>
      </c>
    </row>
    <row r="386">
      <c r="A386" s="23">
        <f>IFERROR(IF(OR('03 Raw Data'!A384="",'03 Raw Data'!A384=0),"",'03 Raw Data'!A384),"")</f>
        <v/>
      </c>
      <c r="B386" s="24">
        <f>IF($A386="","",IFERROR(INDEX('03 Raw Data'!$B$3:$B$722,MATCH($A386,'03 Raw Data'!$A$3:$A$722,0)),""))</f>
        <v/>
      </c>
      <c r="C386" s="24">
        <f>IF($A386="","",IFERROR(INDEX('03 Raw Data'!$E$3:$E$722,MATCH($A386,'03 Raw Data'!$D$3:$D$722,0)),""))</f>
        <v/>
      </c>
      <c r="D386" s="24">
        <f>IF($A386="","",IFERROR(INDEX('03 Raw Data'!$H$3:$H$722,MATCH($A386,'03 Raw Data'!$G$3:$G$722,0)),""))</f>
        <v/>
      </c>
      <c r="E386" s="24">
        <f>IF($A386="","",IFERROR(INDEX('03 Raw Data'!$K$3:$K$722,MATCH($A386,'03 Raw Data'!$J$3:$J$722,0)),""))</f>
        <v/>
      </c>
      <c r="F386" s="24">
        <f>IF($A386="","",IFERROR(INDEX('03 Raw Data'!$N$3:$N$722,MATCH($A386,'03 Raw Data'!$M$3:$M$722,0)),""))</f>
        <v/>
      </c>
      <c r="G386" s="24">
        <f>IF($A386="","",IFERROR(INDEX('03 Raw Data'!$Q$3:$Q$722,MATCH($A386,'03 Raw Data'!$P$3:$P$722,0)),""))</f>
        <v/>
      </c>
      <c r="H386" s="24">
        <f>IF($A386="","",IFERROR(INDEX('03 Raw Data'!$T$3:$T$722,MATCH($A386,'03 Raw Data'!$S$3:$S$722,0)),""))</f>
        <v/>
      </c>
    </row>
    <row r="387">
      <c r="A387" s="23">
        <f>IFERROR(IF(OR('03 Raw Data'!A385="",'03 Raw Data'!A385=0),"",'03 Raw Data'!A385),"")</f>
        <v/>
      </c>
      <c r="B387" s="24">
        <f>IF($A387="","",IFERROR(INDEX('03 Raw Data'!$B$3:$B$722,MATCH($A387,'03 Raw Data'!$A$3:$A$722,0)),""))</f>
        <v/>
      </c>
      <c r="C387" s="24">
        <f>IF($A387="","",IFERROR(INDEX('03 Raw Data'!$E$3:$E$722,MATCH($A387,'03 Raw Data'!$D$3:$D$722,0)),""))</f>
        <v/>
      </c>
      <c r="D387" s="24">
        <f>IF($A387="","",IFERROR(INDEX('03 Raw Data'!$H$3:$H$722,MATCH($A387,'03 Raw Data'!$G$3:$G$722,0)),""))</f>
        <v/>
      </c>
      <c r="E387" s="24">
        <f>IF($A387="","",IFERROR(INDEX('03 Raw Data'!$K$3:$K$722,MATCH($A387,'03 Raw Data'!$J$3:$J$722,0)),""))</f>
        <v/>
      </c>
      <c r="F387" s="24">
        <f>IF($A387="","",IFERROR(INDEX('03 Raw Data'!$N$3:$N$722,MATCH($A387,'03 Raw Data'!$M$3:$M$722,0)),""))</f>
        <v/>
      </c>
      <c r="G387" s="24">
        <f>IF($A387="","",IFERROR(INDEX('03 Raw Data'!$Q$3:$Q$722,MATCH($A387,'03 Raw Data'!$P$3:$P$722,0)),""))</f>
        <v/>
      </c>
      <c r="H387" s="24">
        <f>IF($A387="","",IFERROR(INDEX('03 Raw Data'!$T$3:$T$722,MATCH($A387,'03 Raw Data'!$S$3:$S$722,0)),""))</f>
        <v/>
      </c>
    </row>
    <row r="388">
      <c r="A388" s="23">
        <f>IFERROR(IF(OR('03 Raw Data'!A386="",'03 Raw Data'!A386=0),"",'03 Raw Data'!A386),"")</f>
        <v/>
      </c>
      <c r="B388" s="24">
        <f>IF($A388="","",IFERROR(INDEX('03 Raw Data'!$B$3:$B$722,MATCH($A388,'03 Raw Data'!$A$3:$A$722,0)),""))</f>
        <v/>
      </c>
      <c r="C388" s="24">
        <f>IF($A388="","",IFERROR(INDEX('03 Raw Data'!$E$3:$E$722,MATCH($A388,'03 Raw Data'!$D$3:$D$722,0)),""))</f>
        <v/>
      </c>
      <c r="D388" s="24">
        <f>IF($A388="","",IFERROR(INDEX('03 Raw Data'!$H$3:$H$722,MATCH($A388,'03 Raw Data'!$G$3:$G$722,0)),""))</f>
        <v/>
      </c>
      <c r="E388" s="24">
        <f>IF($A388="","",IFERROR(INDEX('03 Raw Data'!$K$3:$K$722,MATCH($A388,'03 Raw Data'!$J$3:$J$722,0)),""))</f>
        <v/>
      </c>
      <c r="F388" s="24">
        <f>IF($A388="","",IFERROR(INDEX('03 Raw Data'!$N$3:$N$722,MATCH($A388,'03 Raw Data'!$M$3:$M$722,0)),""))</f>
        <v/>
      </c>
      <c r="G388" s="24">
        <f>IF($A388="","",IFERROR(INDEX('03 Raw Data'!$Q$3:$Q$722,MATCH($A388,'03 Raw Data'!$P$3:$P$722,0)),""))</f>
        <v/>
      </c>
      <c r="H388" s="24">
        <f>IF($A388="","",IFERROR(INDEX('03 Raw Data'!$T$3:$T$722,MATCH($A388,'03 Raw Data'!$S$3:$S$722,0)),""))</f>
        <v/>
      </c>
    </row>
    <row r="389">
      <c r="A389" s="23">
        <f>IFERROR(IF(OR('03 Raw Data'!A387="",'03 Raw Data'!A387=0),"",'03 Raw Data'!A387),"")</f>
        <v/>
      </c>
      <c r="B389" s="24">
        <f>IF($A389="","",IFERROR(INDEX('03 Raw Data'!$B$3:$B$722,MATCH($A389,'03 Raw Data'!$A$3:$A$722,0)),""))</f>
        <v/>
      </c>
      <c r="C389" s="24">
        <f>IF($A389="","",IFERROR(INDEX('03 Raw Data'!$E$3:$E$722,MATCH($A389,'03 Raw Data'!$D$3:$D$722,0)),""))</f>
        <v/>
      </c>
      <c r="D389" s="24">
        <f>IF($A389="","",IFERROR(INDEX('03 Raw Data'!$H$3:$H$722,MATCH($A389,'03 Raw Data'!$G$3:$G$722,0)),""))</f>
        <v/>
      </c>
      <c r="E389" s="24">
        <f>IF($A389="","",IFERROR(INDEX('03 Raw Data'!$K$3:$K$722,MATCH($A389,'03 Raw Data'!$J$3:$J$722,0)),""))</f>
        <v/>
      </c>
      <c r="F389" s="24">
        <f>IF($A389="","",IFERROR(INDEX('03 Raw Data'!$N$3:$N$722,MATCH($A389,'03 Raw Data'!$M$3:$M$722,0)),""))</f>
        <v/>
      </c>
      <c r="G389" s="24">
        <f>IF($A389="","",IFERROR(INDEX('03 Raw Data'!$Q$3:$Q$722,MATCH($A389,'03 Raw Data'!$P$3:$P$722,0)),""))</f>
        <v/>
      </c>
      <c r="H389" s="24">
        <f>IF($A389="","",IFERROR(INDEX('03 Raw Data'!$T$3:$T$722,MATCH($A389,'03 Raw Data'!$S$3:$S$722,0)),""))</f>
        <v/>
      </c>
    </row>
    <row r="390">
      <c r="A390" s="23">
        <f>IFERROR(IF(OR('03 Raw Data'!A388="",'03 Raw Data'!A388=0),"",'03 Raw Data'!A388),"")</f>
        <v/>
      </c>
      <c r="B390" s="24">
        <f>IF($A390="","",IFERROR(INDEX('03 Raw Data'!$B$3:$B$722,MATCH($A390,'03 Raw Data'!$A$3:$A$722,0)),""))</f>
        <v/>
      </c>
      <c r="C390" s="24">
        <f>IF($A390="","",IFERROR(INDEX('03 Raw Data'!$E$3:$E$722,MATCH($A390,'03 Raw Data'!$D$3:$D$722,0)),""))</f>
        <v/>
      </c>
      <c r="D390" s="24">
        <f>IF($A390="","",IFERROR(INDEX('03 Raw Data'!$H$3:$H$722,MATCH($A390,'03 Raw Data'!$G$3:$G$722,0)),""))</f>
        <v/>
      </c>
      <c r="E390" s="24">
        <f>IF($A390="","",IFERROR(INDEX('03 Raw Data'!$K$3:$K$722,MATCH($A390,'03 Raw Data'!$J$3:$J$722,0)),""))</f>
        <v/>
      </c>
      <c r="F390" s="24">
        <f>IF($A390="","",IFERROR(INDEX('03 Raw Data'!$N$3:$N$722,MATCH($A390,'03 Raw Data'!$M$3:$M$722,0)),""))</f>
        <v/>
      </c>
      <c r="G390" s="24">
        <f>IF($A390="","",IFERROR(INDEX('03 Raw Data'!$Q$3:$Q$722,MATCH($A390,'03 Raw Data'!$P$3:$P$722,0)),""))</f>
        <v/>
      </c>
      <c r="H390" s="24">
        <f>IF($A390="","",IFERROR(INDEX('03 Raw Data'!$T$3:$T$722,MATCH($A390,'03 Raw Data'!$S$3:$S$722,0)),""))</f>
        <v/>
      </c>
    </row>
    <row r="391">
      <c r="A391" s="23">
        <f>IFERROR(IF(OR('03 Raw Data'!A389="",'03 Raw Data'!A389=0),"",'03 Raw Data'!A389),"")</f>
        <v/>
      </c>
      <c r="B391" s="24">
        <f>IF($A391="","",IFERROR(INDEX('03 Raw Data'!$B$3:$B$722,MATCH($A391,'03 Raw Data'!$A$3:$A$722,0)),""))</f>
        <v/>
      </c>
      <c r="C391" s="24">
        <f>IF($A391="","",IFERROR(INDEX('03 Raw Data'!$E$3:$E$722,MATCH($A391,'03 Raw Data'!$D$3:$D$722,0)),""))</f>
        <v/>
      </c>
      <c r="D391" s="24">
        <f>IF($A391="","",IFERROR(INDEX('03 Raw Data'!$H$3:$H$722,MATCH($A391,'03 Raw Data'!$G$3:$G$722,0)),""))</f>
        <v/>
      </c>
      <c r="E391" s="24">
        <f>IF($A391="","",IFERROR(INDEX('03 Raw Data'!$K$3:$K$722,MATCH($A391,'03 Raw Data'!$J$3:$J$722,0)),""))</f>
        <v/>
      </c>
      <c r="F391" s="24">
        <f>IF($A391="","",IFERROR(INDEX('03 Raw Data'!$N$3:$N$722,MATCH($A391,'03 Raw Data'!$M$3:$M$722,0)),""))</f>
        <v/>
      </c>
      <c r="G391" s="24">
        <f>IF($A391="","",IFERROR(INDEX('03 Raw Data'!$Q$3:$Q$722,MATCH($A391,'03 Raw Data'!$P$3:$P$722,0)),""))</f>
        <v/>
      </c>
      <c r="H391" s="24">
        <f>IF($A391="","",IFERROR(INDEX('03 Raw Data'!$T$3:$T$722,MATCH($A391,'03 Raw Data'!$S$3:$S$722,0)),""))</f>
        <v/>
      </c>
    </row>
    <row r="392">
      <c r="A392" s="23">
        <f>IFERROR(IF(OR('03 Raw Data'!A390="",'03 Raw Data'!A390=0),"",'03 Raw Data'!A390),"")</f>
        <v/>
      </c>
      <c r="B392" s="24">
        <f>IF($A392="","",IFERROR(INDEX('03 Raw Data'!$B$3:$B$722,MATCH($A392,'03 Raw Data'!$A$3:$A$722,0)),""))</f>
        <v/>
      </c>
      <c r="C392" s="24">
        <f>IF($A392="","",IFERROR(INDEX('03 Raw Data'!$E$3:$E$722,MATCH($A392,'03 Raw Data'!$D$3:$D$722,0)),""))</f>
        <v/>
      </c>
      <c r="D392" s="24">
        <f>IF($A392="","",IFERROR(INDEX('03 Raw Data'!$H$3:$H$722,MATCH($A392,'03 Raw Data'!$G$3:$G$722,0)),""))</f>
        <v/>
      </c>
      <c r="E392" s="24">
        <f>IF($A392="","",IFERROR(INDEX('03 Raw Data'!$K$3:$K$722,MATCH($A392,'03 Raw Data'!$J$3:$J$722,0)),""))</f>
        <v/>
      </c>
      <c r="F392" s="24">
        <f>IF($A392="","",IFERROR(INDEX('03 Raw Data'!$N$3:$N$722,MATCH($A392,'03 Raw Data'!$M$3:$M$722,0)),""))</f>
        <v/>
      </c>
      <c r="G392" s="24">
        <f>IF($A392="","",IFERROR(INDEX('03 Raw Data'!$Q$3:$Q$722,MATCH($A392,'03 Raw Data'!$P$3:$P$722,0)),""))</f>
        <v/>
      </c>
      <c r="H392" s="24">
        <f>IF($A392="","",IFERROR(INDEX('03 Raw Data'!$T$3:$T$722,MATCH($A392,'03 Raw Data'!$S$3:$S$722,0)),""))</f>
        <v/>
      </c>
    </row>
    <row r="393">
      <c r="A393" s="23">
        <f>IFERROR(IF(OR('03 Raw Data'!A391="",'03 Raw Data'!A391=0),"",'03 Raw Data'!A391),"")</f>
        <v/>
      </c>
      <c r="B393" s="24">
        <f>IF($A393="","",IFERROR(INDEX('03 Raw Data'!$B$3:$B$722,MATCH($A393,'03 Raw Data'!$A$3:$A$722,0)),""))</f>
        <v/>
      </c>
      <c r="C393" s="24">
        <f>IF($A393="","",IFERROR(INDEX('03 Raw Data'!$E$3:$E$722,MATCH($A393,'03 Raw Data'!$D$3:$D$722,0)),""))</f>
        <v/>
      </c>
      <c r="D393" s="24">
        <f>IF($A393="","",IFERROR(INDEX('03 Raw Data'!$H$3:$H$722,MATCH($A393,'03 Raw Data'!$G$3:$G$722,0)),""))</f>
        <v/>
      </c>
      <c r="E393" s="24">
        <f>IF($A393="","",IFERROR(INDEX('03 Raw Data'!$K$3:$K$722,MATCH($A393,'03 Raw Data'!$J$3:$J$722,0)),""))</f>
        <v/>
      </c>
      <c r="F393" s="24">
        <f>IF($A393="","",IFERROR(INDEX('03 Raw Data'!$N$3:$N$722,MATCH($A393,'03 Raw Data'!$M$3:$M$722,0)),""))</f>
        <v/>
      </c>
      <c r="G393" s="24">
        <f>IF($A393="","",IFERROR(INDEX('03 Raw Data'!$Q$3:$Q$722,MATCH($A393,'03 Raw Data'!$P$3:$P$722,0)),""))</f>
        <v/>
      </c>
      <c r="H393" s="24">
        <f>IF($A393="","",IFERROR(INDEX('03 Raw Data'!$T$3:$T$722,MATCH($A393,'03 Raw Data'!$S$3:$S$722,0)),""))</f>
        <v/>
      </c>
    </row>
    <row r="394">
      <c r="A394" s="23">
        <f>IFERROR(IF(OR('03 Raw Data'!A392="",'03 Raw Data'!A392=0),"",'03 Raw Data'!A392),"")</f>
        <v/>
      </c>
      <c r="B394" s="24">
        <f>IF($A394="","",IFERROR(INDEX('03 Raw Data'!$B$3:$B$722,MATCH($A394,'03 Raw Data'!$A$3:$A$722,0)),""))</f>
        <v/>
      </c>
      <c r="C394" s="24">
        <f>IF($A394="","",IFERROR(INDEX('03 Raw Data'!$E$3:$E$722,MATCH($A394,'03 Raw Data'!$D$3:$D$722,0)),""))</f>
        <v/>
      </c>
      <c r="D394" s="24">
        <f>IF($A394="","",IFERROR(INDEX('03 Raw Data'!$H$3:$H$722,MATCH($A394,'03 Raw Data'!$G$3:$G$722,0)),""))</f>
        <v/>
      </c>
      <c r="E394" s="24">
        <f>IF($A394="","",IFERROR(INDEX('03 Raw Data'!$K$3:$K$722,MATCH($A394,'03 Raw Data'!$J$3:$J$722,0)),""))</f>
        <v/>
      </c>
      <c r="F394" s="24">
        <f>IF($A394="","",IFERROR(INDEX('03 Raw Data'!$N$3:$N$722,MATCH($A394,'03 Raw Data'!$M$3:$M$722,0)),""))</f>
        <v/>
      </c>
      <c r="G394" s="24">
        <f>IF($A394="","",IFERROR(INDEX('03 Raw Data'!$Q$3:$Q$722,MATCH($A394,'03 Raw Data'!$P$3:$P$722,0)),""))</f>
        <v/>
      </c>
      <c r="H394" s="24">
        <f>IF($A394="","",IFERROR(INDEX('03 Raw Data'!$T$3:$T$722,MATCH($A394,'03 Raw Data'!$S$3:$S$722,0)),""))</f>
        <v/>
      </c>
    </row>
    <row r="395">
      <c r="A395" s="23">
        <f>IFERROR(IF(OR('03 Raw Data'!A393="",'03 Raw Data'!A393=0),"",'03 Raw Data'!A393),"")</f>
        <v/>
      </c>
      <c r="B395" s="24">
        <f>IF($A395="","",IFERROR(INDEX('03 Raw Data'!$B$3:$B$722,MATCH($A395,'03 Raw Data'!$A$3:$A$722,0)),""))</f>
        <v/>
      </c>
      <c r="C395" s="24">
        <f>IF($A395="","",IFERROR(INDEX('03 Raw Data'!$E$3:$E$722,MATCH($A395,'03 Raw Data'!$D$3:$D$722,0)),""))</f>
        <v/>
      </c>
      <c r="D395" s="24">
        <f>IF($A395="","",IFERROR(INDEX('03 Raw Data'!$H$3:$H$722,MATCH($A395,'03 Raw Data'!$G$3:$G$722,0)),""))</f>
        <v/>
      </c>
      <c r="E395" s="24">
        <f>IF($A395="","",IFERROR(INDEX('03 Raw Data'!$K$3:$K$722,MATCH($A395,'03 Raw Data'!$J$3:$J$722,0)),""))</f>
        <v/>
      </c>
      <c r="F395" s="24">
        <f>IF($A395="","",IFERROR(INDEX('03 Raw Data'!$N$3:$N$722,MATCH($A395,'03 Raw Data'!$M$3:$M$722,0)),""))</f>
        <v/>
      </c>
      <c r="G395" s="24">
        <f>IF($A395="","",IFERROR(INDEX('03 Raw Data'!$Q$3:$Q$722,MATCH($A395,'03 Raw Data'!$P$3:$P$722,0)),""))</f>
        <v/>
      </c>
      <c r="H395" s="24">
        <f>IF($A395="","",IFERROR(INDEX('03 Raw Data'!$T$3:$T$722,MATCH($A395,'03 Raw Data'!$S$3:$S$722,0)),""))</f>
        <v/>
      </c>
    </row>
    <row r="396">
      <c r="A396" s="23">
        <f>IFERROR(IF(OR('03 Raw Data'!A394="",'03 Raw Data'!A394=0),"",'03 Raw Data'!A394),"")</f>
        <v/>
      </c>
      <c r="B396" s="24">
        <f>IF($A396="","",IFERROR(INDEX('03 Raw Data'!$B$3:$B$722,MATCH($A396,'03 Raw Data'!$A$3:$A$722,0)),""))</f>
        <v/>
      </c>
      <c r="C396" s="24">
        <f>IF($A396="","",IFERROR(INDEX('03 Raw Data'!$E$3:$E$722,MATCH($A396,'03 Raw Data'!$D$3:$D$722,0)),""))</f>
        <v/>
      </c>
      <c r="D396" s="24">
        <f>IF($A396="","",IFERROR(INDEX('03 Raw Data'!$H$3:$H$722,MATCH($A396,'03 Raw Data'!$G$3:$G$722,0)),""))</f>
        <v/>
      </c>
      <c r="E396" s="24">
        <f>IF($A396="","",IFERROR(INDEX('03 Raw Data'!$K$3:$K$722,MATCH($A396,'03 Raw Data'!$J$3:$J$722,0)),""))</f>
        <v/>
      </c>
      <c r="F396" s="24">
        <f>IF($A396="","",IFERROR(INDEX('03 Raw Data'!$N$3:$N$722,MATCH($A396,'03 Raw Data'!$M$3:$M$722,0)),""))</f>
        <v/>
      </c>
      <c r="G396" s="24">
        <f>IF($A396="","",IFERROR(INDEX('03 Raw Data'!$Q$3:$Q$722,MATCH($A396,'03 Raw Data'!$P$3:$P$722,0)),""))</f>
        <v/>
      </c>
      <c r="H396" s="24">
        <f>IF($A396="","",IFERROR(INDEX('03 Raw Data'!$T$3:$T$722,MATCH($A396,'03 Raw Data'!$S$3:$S$722,0)),""))</f>
        <v/>
      </c>
    </row>
    <row r="397">
      <c r="A397" s="23">
        <f>IFERROR(IF(OR('03 Raw Data'!A395="",'03 Raw Data'!A395=0),"",'03 Raw Data'!A395),"")</f>
        <v/>
      </c>
      <c r="B397" s="24">
        <f>IF($A397="","",IFERROR(INDEX('03 Raw Data'!$B$3:$B$722,MATCH($A397,'03 Raw Data'!$A$3:$A$722,0)),""))</f>
        <v/>
      </c>
      <c r="C397" s="24">
        <f>IF($A397="","",IFERROR(INDEX('03 Raw Data'!$E$3:$E$722,MATCH($A397,'03 Raw Data'!$D$3:$D$722,0)),""))</f>
        <v/>
      </c>
      <c r="D397" s="24">
        <f>IF($A397="","",IFERROR(INDEX('03 Raw Data'!$H$3:$H$722,MATCH($A397,'03 Raw Data'!$G$3:$G$722,0)),""))</f>
        <v/>
      </c>
      <c r="E397" s="24">
        <f>IF($A397="","",IFERROR(INDEX('03 Raw Data'!$K$3:$K$722,MATCH($A397,'03 Raw Data'!$J$3:$J$722,0)),""))</f>
        <v/>
      </c>
      <c r="F397" s="24">
        <f>IF($A397="","",IFERROR(INDEX('03 Raw Data'!$N$3:$N$722,MATCH($A397,'03 Raw Data'!$M$3:$M$722,0)),""))</f>
        <v/>
      </c>
      <c r="G397" s="24">
        <f>IF($A397="","",IFERROR(INDEX('03 Raw Data'!$Q$3:$Q$722,MATCH($A397,'03 Raw Data'!$P$3:$P$722,0)),""))</f>
        <v/>
      </c>
      <c r="H397" s="24">
        <f>IF($A397="","",IFERROR(INDEX('03 Raw Data'!$T$3:$T$722,MATCH($A397,'03 Raw Data'!$S$3:$S$722,0)),""))</f>
        <v/>
      </c>
    </row>
    <row r="398">
      <c r="A398" s="23">
        <f>IFERROR(IF(OR('03 Raw Data'!A396="",'03 Raw Data'!A396=0),"",'03 Raw Data'!A396),"")</f>
        <v/>
      </c>
      <c r="B398" s="24">
        <f>IF($A398="","",IFERROR(INDEX('03 Raw Data'!$B$3:$B$722,MATCH($A398,'03 Raw Data'!$A$3:$A$722,0)),""))</f>
        <v/>
      </c>
      <c r="C398" s="24">
        <f>IF($A398="","",IFERROR(INDEX('03 Raw Data'!$E$3:$E$722,MATCH($A398,'03 Raw Data'!$D$3:$D$722,0)),""))</f>
        <v/>
      </c>
      <c r="D398" s="24">
        <f>IF($A398="","",IFERROR(INDEX('03 Raw Data'!$H$3:$H$722,MATCH($A398,'03 Raw Data'!$G$3:$G$722,0)),""))</f>
        <v/>
      </c>
      <c r="E398" s="24">
        <f>IF($A398="","",IFERROR(INDEX('03 Raw Data'!$K$3:$K$722,MATCH($A398,'03 Raw Data'!$J$3:$J$722,0)),""))</f>
        <v/>
      </c>
      <c r="F398" s="24">
        <f>IF($A398="","",IFERROR(INDEX('03 Raw Data'!$N$3:$N$722,MATCH($A398,'03 Raw Data'!$M$3:$M$722,0)),""))</f>
        <v/>
      </c>
      <c r="G398" s="24">
        <f>IF($A398="","",IFERROR(INDEX('03 Raw Data'!$Q$3:$Q$722,MATCH($A398,'03 Raw Data'!$P$3:$P$722,0)),""))</f>
        <v/>
      </c>
      <c r="H398" s="24">
        <f>IF($A398="","",IFERROR(INDEX('03 Raw Data'!$T$3:$T$722,MATCH($A398,'03 Raw Data'!$S$3:$S$722,0)),""))</f>
        <v/>
      </c>
    </row>
    <row r="399">
      <c r="A399" s="23">
        <f>IFERROR(IF(OR('03 Raw Data'!A397="",'03 Raw Data'!A397=0),"",'03 Raw Data'!A397),"")</f>
        <v/>
      </c>
      <c r="B399" s="24">
        <f>IF($A399="","",IFERROR(INDEX('03 Raw Data'!$B$3:$B$722,MATCH($A399,'03 Raw Data'!$A$3:$A$722,0)),""))</f>
        <v/>
      </c>
      <c r="C399" s="24">
        <f>IF($A399="","",IFERROR(INDEX('03 Raw Data'!$E$3:$E$722,MATCH($A399,'03 Raw Data'!$D$3:$D$722,0)),""))</f>
        <v/>
      </c>
      <c r="D399" s="24">
        <f>IF($A399="","",IFERROR(INDEX('03 Raw Data'!$H$3:$H$722,MATCH($A399,'03 Raw Data'!$G$3:$G$722,0)),""))</f>
        <v/>
      </c>
      <c r="E399" s="24">
        <f>IF($A399="","",IFERROR(INDEX('03 Raw Data'!$K$3:$K$722,MATCH($A399,'03 Raw Data'!$J$3:$J$722,0)),""))</f>
        <v/>
      </c>
      <c r="F399" s="24">
        <f>IF($A399="","",IFERROR(INDEX('03 Raw Data'!$N$3:$N$722,MATCH($A399,'03 Raw Data'!$M$3:$M$722,0)),""))</f>
        <v/>
      </c>
      <c r="G399" s="24">
        <f>IF($A399="","",IFERROR(INDEX('03 Raw Data'!$Q$3:$Q$722,MATCH($A399,'03 Raw Data'!$P$3:$P$722,0)),""))</f>
        <v/>
      </c>
      <c r="H399" s="24">
        <f>IF($A399="","",IFERROR(INDEX('03 Raw Data'!$T$3:$T$722,MATCH($A399,'03 Raw Data'!$S$3:$S$722,0)),""))</f>
        <v/>
      </c>
    </row>
    <row r="400">
      <c r="A400" s="23">
        <f>IFERROR(IF(OR('03 Raw Data'!A398="",'03 Raw Data'!A398=0),"",'03 Raw Data'!A398),"")</f>
        <v/>
      </c>
      <c r="B400" s="24">
        <f>IF($A400="","",IFERROR(INDEX('03 Raw Data'!$B$3:$B$722,MATCH($A400,'03 Raw Data'!$A$3:$A$722,0)),""))</f>
        <v/>
      </c>
      <c r="C400" s="24">
        <f>IF($A400="","",IFERROR(INDEX('03 Raw Data'!$E$3:$E$722,MATCH($A400,'03 Raw Data'!$D$3:$D$722,0)),""))</f>
        <v/>
      </c>
      <c r="D400" s="24">
        <f>IF($A400="","",IFERROR(INDEX('03 Raw Data'!$H$3:$H$722,MATCH($A400,'03 Raw Data'!$G$3:$G$722,0)),""))</f>
        <v/>
      </c>
      <c r="E400" s="24">
        <f>IF($A400="","",IFERROR(INDEX('03 Raw Data'!$K$3:$K$722,MATCH($A400,'03 Raw Data'!$J$3:$J$722,0)),""))</f>
        <v/>
      </c>
      <c r="F400" s="24">
        <f>IF($A400="","",IFERROR(INDEX('03 Raw Data'!$N$3:$N$722,MATCH($A400,'03 Raw Data'!$M$3:$M$722,0)),""))</f>
        <v/>
      </c>
      <c r="G400" s="24">
        <f>IF($A400="","",IFERROR(INDEX('03 Raw Data'!$Q$3:$Q$722,MATCH($A400,'03 Raw Data'!$P$3:$P$722,0)),""))</f>
        <v/>
      </c>
      <c r="H400" s="24">
        <f>IF($A400="","",IFERROR(INDEX('03 Raw Data'!$T$3:$T$722,MATCH($A400,'03 Raw Data'!$S$3:$S$722,0)),""))</f>
        <v/>
      </c>
    </row>
    <row r="401">
      <c r="A401" s="23">
        <f>IFERROR(IF(OR('03 Raw Data'!A399="",'03 Raw Data'!A399=0),"",'03 Raw Data'!A399),"")</f>
        <v/>
      </c>
      <c r="B401" s="24">
        <f>IF($A401="","",IFERROR(INDEX('03 Raw Data'!$B$3:$B$722,MATCH($A401,'03 Raw Data'!$A$3:$A$722,0)),""))</f>
        <v/>
      </c>
      <c r="C401" s="24">
        <f>IF($A401="","",IFERROR(INDEX('03 Raw Data'!$E$3:$E$722,MATCH($A401,'03 Raw Data'!$D$3:$D$722,0)),""))</f>
        <v/>
      </c>
      <c r="D401" s="24">
        <f>IF($A401="","",IFERROR(INDEX('03 Raw Data'!$H$3:$H$722,MATCH($A401,'03 Raw Data'!$G$3:$G$722,0)),""))</f>
        <v/>
      </c>
      <c r="E401" s="24">
        <f>IF($A401="","",IFERROR(INDEX('03 Raw Data'!$K$3:$K$722,MATCH($A401,'03 Raw Data'!$J$3:$J$722,0)),""))</f>
        <v/>
      </c>
      <c r="F401" s="24">
        <f>IF($A401="","",IFERROR(INDEX('03 Raw Data'!$N$3:$N$722,MATCH($A401,'03 Raw Data'!$M$3:$M$722,0)),""))</f>
        <v/>
      </c>
      <c r="G401" s="24">
        <f>IF($A401="","",IFERROR(INDEX('03 Raw Data'!$Q$3:$Q$722,MATCH($A401,'03 Raw Data'!$P$3:$P$722,0)),""))</f>
        <v/>
      </c>
      <c r="H401" s="24">
        <f>IF($A401="","",IFERROR(INDEX('03 Raw Data'!$T$3:$T$722,MATCH($A401,'03 Raw Data'!$S$3:$S$722,0)),""))</f>
        <v/>
      </c>
    </row>
    <row r="402">
      <c r="A402" s="23">
        <f>IFERROR(IF(OR('03 Raw Data'!A400="",'03 Raw Data'!A400=0),"",'03 Raw Data'!A400),"")</f>
        <v/>
      </c>
      <c r="B402" s="24">
        <f>IF($A402="","",IFERROR(INDEX('03 Raw Data'!$B$3:$B$722,MATCH($A402,'03 Raw Data'!$A$3:$A$722,0)),""))</f>
        <v/>
      </c>
      <c r="C402" s="24">
        <f>IF($A402="","",IFERROR(INDEX('03 Raw Data'!$E$3:$E$722,MATCH($A402,'03 Raw Data'!$D$3:$D$722,0)),""))</f>
        <v/>
      </c>
      <c r="D402" s="24">
        <f>IF($A402="","",IFERROR(INDEX('03 Raw Data'!$H$3:$H$722,MATCH($A402,'03 Raw Data'!$G$3:$G$722,0)),""))</f>
        <v/>
      </c>
      <c r="E402" s="24">
        <f>IF($A402="","",IFERROR(INDEX('03 Raw Data'!$K$3:$K$722,MATCH($A402,'03 Raw Data'!$J$3:$J$722,0)),""))</f>
        <v/>
      </c>
      <c r="F402" s="24">
        <f>IF($A402="","",IFERROR(INDEX('03 Raw Data'!$N$3:$N$722,MATCH($A402,'03 Raw Data'!$M$3:$M$722,0)),""))</f>
        <v/>
      </c>
      <c r="G402" s="24">
        <f>IF($A402="","",IFERROR(INDEX('03 Raw Data'!$Q$3:$Q$722,MATCH($A402,'03 Raw Data'!$P$3:$P$722,0)),""))</f>
        <v/>
      </c>
      <c r="H402" s="24">
        <f>IF($A402="","",IFERROR(INDEX('03 Raw Data'!$T$3:$T$722,MATCH($A402,'03 Raw Data'!$S$3:$S$722,0)),""))</f>
        <v/>
      </c>
    </row>
    <row r="403">
      <c r="A403" s="23">
        <f>IFERROR(IF(OR('03 Raw Data'!A401="",'03 Raw Data'!A401=0),"",'03 Raw Data'!A401),"")</f>
        <v/>
      </c>
      <c r="B403" s="24">
        <f>IF($A403="","",IFERROR(INDEX('03 Raw Data'!$B$3:$B$722,MATCH($A403,'03 Raw Data'!$A$3:$A$722,0)),""))</f>
        <v/>
      </c>
      <c r="C403" s="24">
        <f>IF($A403="","",IFERROR(INDEX('03 Raw Data'!$E$3:$E$722,MATCH($A403,'03 Raw Data'!$D$3:$D$722,0)),""))</f>
        <v/>
      </c>
      <c r="D403" s="24">
        <f>IF($A403="","",IFERROR(INDEX('03 Raw Data'!$H$3:$H$722,MATCH($A403,'03 Raw Data'!$G$3:$G$722,0)),""))</f>
        <v/>
      </c>
      <c r="E403" s="24">
        <f>IF($A403="","",IFERROR(INDEX('03 Raw Data'!$K$3:$K$722,MATCH($A403,'03 Raw Data'!$J$3:$J$722,0)),""))</f>
        <v/>
      </c>
      <c r="F403" s="24">
        <f>IF($A403="","",IFERROR(INDEX('03 Raw Data'!$N$3:$N$722,MATCH($A403,'03 Raw Data'!$M$3:$M$722,0)),""))</f>
        <v/>
      </c>
      <c r="G403" s="24">
        <f>IF($A403="","",IFERROR(INDEX('03 Raw Data'!$Q$3:$Q$722,MATCH($A403,'03 Raw Data'!$P$3:$P$722,0)),""))</f>
        <v/>
      </c>
      <c r="H403" s="24">
        <f>IF($A403="","",IFERROR(INDEX('03 Raw Data'!$T$3:$T$722,MATCH($A403,'03 Raw Data'!$S$3:$S$722,0)),""))</f>
        <v/>
      </c>
    </row>
    <row r="404">
      <c r="A404" s="23">
        <f>IFERROR(IF(OR('03 Raw Data'!A402="",'03 Raw Data'!A402=0),"",'03 Raw Data'!A402),"")</f>
        <v/>
      </c>
      <c r="B404" s="24">
        <f>IF($A404="","",IFERROR(INDEX('03 Raw Data'!$B$3:$B$722,MATCH($A404,'03 Raw Data'!$A$3:$A$722,0)),""))</f>
        <v/>
      </c>
      <c r="C404" s="24">
        <f>IF($A404="","",IFERROR(INDEX('03 Raw Data'!$E$3:$E$722,MATCH($A404,'03 Raw Data'!$D$3:$D$722,0)),""))</f>
        <v/>
      </c>
      <c r="D404" s="24">
        <f>IF($A404="","",IFERROR(INDEX('03 Raw Data'!$H$3:$H$722,MATCH($A404,'03 Raw Data'!$G$3:$G$722,0)),""))</f>
        <v/>
      </c>
      <c r="E404" s="24">
        <f>IF($A404="","",IFERROR(INDEX('03 Raw Data'!$K$3:$K$722,MATCH($A404,'03 Raw Data'!$J$3:$J$722,0)),""))</f>
        <v/>
      </c>
      <c r="F404" s="24">
        <f>IF($A404="","",IFERROR(INDEX('03 Raw Data'!$N$3:$N$722,MATCH($A404,'03 Raw Data'!$M$3:$M$722,0)),""))</f>
        <v/>
      </c>
      <c r="G404" s="24">
        <f>IF($A404="","",IFERROR(INDEX('03 Raw Data'!$Q$3:$Q$722,MATCH($A404,'03 Raw Data'!$P$3:$P$722,0)),""))</f>
        <v/>
      </c>
      <c r="H404" s="24">
        <f>IF($A404="","",IFERROR(INDEX('03 Raw Data'!$T$3:$T$722,MATCH($A404,'03 Raw Data'!$S$3:$S$722,0)),""))</f>
        <v/>
      </c>
    </row>
    <row r="405">
      <c r="A405" s="23">
        <f>IFERROR(IF(OR('03 Raw Data'!A403="",'03 Raw Data'!A403=0),"",'03 Raw Data'!A403),"")</f>
        <v/>
      </c>
      <c r="B405" s="24">
        <f>IF($A405="","",IFERROR(INDEX('03 Raw Data'!$B$3:$B$722,MATCH($A405,'03 Raw Data'!$A$3:$A$722,0)),""))</f>
        <v/>
      </c>
      <c r="C405" s="24">
        <f>IF($A405="","",IFERROR(INDEX('03 Raw Data'!$E$3:$E$722,MATCH($A405,'03 Raw Data'!$D$3:$D$722,0)),""))</f>
        <v/>
      </c>
      <c r="D405" s="24">
        <f>IF($A405="","",IFERROR(INDEX('03 Raw Data'!$H$3:$H$722,MATCH($A405,'03 Raw Data'!$G$3:$G$722,0)),""))</f>
        <v/>
      </c>
      <c r="E405" s="24">
        <f>IF($A405="","",IFERROR(INDEX('03 Raw Data'!$K$3:$K$722,MATCH($A405,'03 Raw Data'!$J$3:$J$722,0)),""))</f>
        <v/>
      </c>
      <c r="F405" s="24">
        <f>IF($A405="","",IFERROR(INDEX('03 Raw Data'!$N$3:$N$722,MATCH($A405,'03 Raw Data'!$M$3:$M$722,0)),""))</f>
        <v/>
      </c>
      <c r="G405" s="24">
        <f>IF($A405="","",IFERROR(INDEX('03 Raw Data'!$Q$3:$Q$722,MATCH($A405,'03 Raw Data'!$P$3:$P$722,0)),""))</f>
        <v/>
      </c>
      <c r="H405" s="24">
        <f>IF($A405="","",IFERROR(INDEX('03 Raw Data'!$T$3:$T$722,MATCH($A405,'03 Raw Data'!$S$3:$S$722,0)),""))</f>
        <v/>
      </c>
    </row>
    <row r="406">
      <c r="A406" s="23">
        <f>IFERROR(IF(OR('03 Raw Data'!A404="",'03 Raw Data'!A404=0),"",'03 Raw Data'!A404),"")</f>
        <v/>
      </c>
      <c r="B406" s="24">
        <f>IF($A406="","",IFERROR(INDEX('03 Raw Data'!$B$3:$B$722,MATCH($A406,'03 Raw Data'!$A$3:$A$722,0)),""))</f>
        <v/>
      </c>
      <c r="C406" s="24">
        <f>IF($A406="","",IFERROR(INDEX('03 Raw Data'!$E$3:$E$722,MATCH($A406,'03 Raw Data'!$D$3:$D$722,0)),""))</f>
        <v/>
      </c>
      <c r="D406" s="24">
        <f>IF($A406="","",IFERROR(INDEX('03 Raw Data'!$H$3:$H$722,MATCH($A406,'03 Raw Data'!$G$3:$G$722,0)),""))</f>
        <v/>
      </c>
      <c r="E406" s="24">
        <f>IF($A406="","",IFERROR(INDEX('03 Raw Data'!$K$3:$K$722,MATCH($A406,'03 Raw Data'!$J$3:$J$722,0)),""))</f>
        <v/>
      </c>
      <c r="F406" s="24">
        <f>IF($A406="","",IFERROR(INDEX('03 Raw Data'!$N$3:$N$722,MATCH($A406,'03 Raw Data'!$M$3:$M$722,0)),""))</f>
        <v/>
      </c>
      <c r="G406" s="24">
        <f>IF($A406="","",IFERROR(INDEX('03 Raw Data'!$Q$3:$Q$722,MATCH($A406,'03 Raw Data'!$P$3:$P$722,0)),""))</f>
        <v/>
      </c>
      <c r="H406" s="24">
        <f>IF($A406="","",IFERROR(INDEX('03 Raw Data'!$T$3:$T$722,MATCH($A406,'03 Raw Data'!$S$3:$S$722,0)),""))</f>
        <v/>
      </c>
    </row>
    <row r="407">
      <c r="A407" s="23">
        <f>IFERROR(IF(OR('03 Raw Data'!A405="",'03 Raw Data'!A405=0),"",'03 Raw Data'!A405),"")</f>
        <v/>
      </c>
      <c r="B407" s="24">
        <f>IF($A407="","",IFERROR(INDEX('03 Raw Data'!$B$3:$B$722,MATCH($A407,'03 Raw Data'!$A$3:$A$722,0)),""))</f>
        <v/>
      </c>
      <c r="C407" s="24">
        <f>IF($A407="","",IFERROR(INDEX('03 Raw Data'!$E$3:$E$722,MATCH($A407,'03 Raw Data'!$D$3:$D$722,0)),""))</f>
        <v/>
      </c>
      <c r="D407" s="24">
        <f>IF($A407="","",IFERROR(INDEX('03 Raw Data'!$H$3:$H$722,MATCH($A407,'03 Raw Data'!$G$3:$G$722,0)),""))</f>
        <v/>
      </c>
      <c r="E407" s="24">
        <f>IF($A407="","",IFERROR(INDEX('03 Raw Data'!$K$3:$K$722,MATCH($A407,'03 Raw Data'!$J$3:$J$722,0)),""))</f>
        <v/>
      </c>
      <c r="F407" s="24">
        <f>IF($A407="","",IFERROR(INDEX('03 Raw Data'!$N$3:$N$722,MATCH($A407,'03 Raw Data'!$M$3:$M$722,0)),""))</f>
        <v/>
      </c>
      <c r="G407" s="24">
        <f>IF($A407="","",IFERROR(INDEX('03 Raw Data'!$Q$3:$Q$722,MATCH($A407,'03 Raw Data'!$P$3:$P$722,0)),""))</f>
        <v/>
      </c>
      <c r="H407" s="24">
        <f>IF($A407="","",IFERROR(INDEX('03 Raw Data'!$T$3:$T$722,MATCH($A407,'03 Raw Data'!$S$3:$S$722,0)),""))</f>
        <v/>
      </c>
    </row>
    <row r="408">
      <c r="A408" s="23">
        <f>IFERROR(IF(OR('03 Raw Data'!A406="",'03 Raw Data'!A406=0),"",'03 Raw Data'!A406),"")</f>
        <v/>
      </c>
      <c r="B408" s="24">
        <f>IF($A408="","",IFERROR(INDEX('03 Raw Data'!$B$3:$B$722,MATCH($A408,'03 Raw Data'!$A$3:$A$722,0)),""))</f>
        <v/>
      </c>
      <c r="C408" s="24">
        <f>IF($A408="","",IFERROR(INDEX('03 Raw Data'!$E$3:$E$722,MATCH($A408,'03 Raw Data'!$D$3:$D$722,0)),""))</f>
        <v/>
      </c>
      <c r="D408" s="24">
        <f>IF($A408="","",IFERROR(INDEX('03 Raw Data'!$H$3:$H$722,MATCH($A408,'03 Raw Data'!$G$3:$G$722,0)),""))</f>
        <v/>
      </c>
      <c r="E408" s="24">
        <f>IF($A408="","",IFERROR(INDEX('03 Raw Data'!$K$3:$K$722,MATCH($A408,'03 Raw Data'!$J$3:$J$722,0)),""))</f>
        <v/>
      </c>
      <c r="F408" s="24">
        <f>IF($A408="","",IFERROR(INDEX('03 Raw Data'!$N$3:$N$722,MATCH($A408,'03 Raw Data'!$M$3:$M$722,0)),""))</f>
        <v/>
      </c>
      <c r="G408" s="24">
        <f>IF($A408="","",IFERROR(INDEX('03 Raw Data'!$Q$3:$Q$722,MATCH($A408,'03 Raw Data'!$P$3:$P$722,0)),""))</f>
        <v/>
      </c>
      <c r="H408" s="24">
        <f>IF($A408="","",IFERROR(INDEX('03 Raw Data'!$T$3:$T$722,MATCH($A408,'03 Raw Data'!$S$3:$S$722,0)),""))</f>
        <v/>
      </c>
    </row>
    <row r="409">
      <c r="A409" s="23">
        <f>IFERROR(IF(OR('03 Raw Data'!A407="",'03 Raw Data'!A407=0),"",'03 Raw Data'!A407),"")</f>
        <v/>
      </c>
      <c r="B409" s="24">
        <f>IF($A409="","",IFERROR(INDEX('03 Raw Data'!$B$3:$B$722,MATCH($A409,'03 Raw Data'!$A$3:$A$722,0)),""))</f>
        <v/>
      </c>
      <c r="C409" s="24">
        <f>IF($A409="","",IFERROR(INDEX('03 Raw Data'!$E$3:$E$722,MATCH($A409,'03 Raw Data'!$D$3:$D$722,0)),""))</f>
        <v/>
      </c>
      <c r="D409" s="24">
        <f>IF($A409="","",IFERROR(INDEX('03 Raw Data'!$H$3:$H$722,MATCH($A409,'03 Raw Data'!$G$3:$G$722,0)),""))</f>
        <v/>
      </c>
      <c r="E409" s="24">
        <f>IF($A409="","",IFERROR(INDEX('03 Raw Data'!$K$3:$K$722,MATCH($A409,'03 Raw Data'!$J$3:$J$722,0)),""))</f>
        <v/>
      </c>
      <c r="F409" s="24">
        <f>IF($A409="","",IFERROR(INDEX('03 Raw Data'!$N$3:$N$722,MATCH($A409,'03 Raw Data'!$M$3:$M$722,0)),""))</f>
        <v/>
      </c>
      <c r="G409" s="24">
        <f>IF($A409="","",IFERROR(INDEX('03 Raw Data'!$Q$3:$Q$722,MATCH($A409,'03 Raw Data'!$P$3:$P$722,0)),""))</f>
        <v/>
      </c>
      <c r="H409" s="24">
        <f>IF($A409="","",IFERROR(INDEX('03 Raw Data'!$T$3:$T$722,MATCH($A409,'03 Raw Data'!$S$3:$S$722,0)),""))</f>
        <v/>
      </c>
    </row>
    <row r="410">
      <c r="A410" s="23">
        <f>IFERROR(IF(OR('03 Raw Data'!A408="",'03 Raw Data'!A408=0),"",'03 Raw Data'!A408),"")</f>
        <v/>
      </c>
      <c r="B410" s="24">
        <f>IF($A410="","",IFERROR(INDEX('03 Raw Data'!$B$3:$B$722,MATCH($A410,'03 Raw Data'!$A$3:$A$722,0)),""))</f>
        <v/>
      </c>
      <c r="C410" s="24">
        <f>IF($A410="","",IFERROR(INDEX('03 Raw Data'!$E$3:$E$722,MATCH($A410,'03 Raw Data'!$D$3:$D$722,0)),""))</f>
        <v/>
      </c>
      <c r="D410" s="24">
        <f>IF($A410="","",IFERROR(INDEX('03 Raw Data'!$H$3:$H$722,MATCH($A410,'03 Raw Data'!$G$3:$G$722,0)),""))</f>
        <v/>
      </c>
      <c r="E410" s="24">
        <f>IF($A410="","",IFERROR(INDEX('03 Raw Data'!$K$3:$K$722,MATCH($A410,'03 Raw Data'!$J$3:$J$722,0)),""))</f>
        <v/>
      </c>
      <c r="F410" s="24">
        <f>IF($A410="","",IFERROR(INDEX('03 Raw Data'!$N$3:$N$722,MATCH($A410,'03 Raw Data'!$M$3:$M$722,0)),""))</f>
        <v/>
      </c>
      <c r="G410" s="24">
        <f>IF($A410="","",IFERROR(INDEX('03 Raw Data'!$Q$3:$Q$722,MATCH($A410,'03 Raw Data'!$P$3:$P$722,0)),""))</f>
        <v/>
      </c>
      <c r="H410" s="24">
        <f>IF($A410="","",IFERROR(INDEX('03 Raw Data'!$T$3:$T$722,MATCH($A410,'03 Raw Data'!$S$3:$S$722,0)),""))</f>
        <v/>
      </c>
    </row>
    <row r="411">
      <c r="A411" s="23">
        <f>IFERROR(IF(OR('03 Raw Data'!A409="",'03 Raw Data'!A409=0),"",'03 Raw Data'!A409),"")</f>
        <v/>
      </c>
      <c r="B411" s="24">
        <f>IF($A411="","",IFERROR(INDEX('03 Raw Data'!$B$3:$B$722,MATCH($A411,'03 Raw Data'!$A$3:$A$722,0)),""))</f>
        <v/>
      </c>
      <c r="C411" s="24">
        <f>IF($A411="","",IFERROR(INDEX('03 Raw Data'!$E$3:$E$722,MATCH($A411,'03 Raw Data'!$D$3:$D$722,0)),""))</f>
        <v/>
      </c>
      <c r="D411" s="24">
        <f>IF($A411="","",IFERROR(INDEX('03 Raw Data'!$H$3:$H$722,MATCH($A411,'03 Raw Data'!$G$3:$G$722,0)),""))</f>
        <v/>
      </c>
      <c r="E411" s="24">
        <f>IF($A411="","",IFERROR(INDEX('03 Raw Data'!$K$3:$K$722,MATCH($A411,'03 Raw Data'!$J$3:$J$722,0)),""))</f>
        <v/>
      </c>
      <c r="F411" s="24">
        <f>IF($A411="","",IFERROR(INDEX('03 Raw Data'!$N$3:$N$722,MATCH($A411,'03 Raw Data'!$M$3:$M$722,0)),""))</f>
        <v/>
      </c>
      <c r="G411" s="24">
        <f>IF($A411="","",IFERROR(INDEX('03 Raw Data'!$Q$3:$Q$722,MATCH($A411,'03 Raw Data'!$P$3:$P$722,0)),""))</f>
        <v/>
      </c>
      <c r="H411" s="24">
        <f>IF($A411="","",IFERROR(INDEX('03 Raw Data'!$T$3:$T$722,MATCH($A411,'03 Raw Data'!$S$3:$S$722,0)),""))</f>
        <v/>
      </c>
    </row>
    <row r="412">
      <c r="A412" s="23">
        <f>IFERROR(IF(OR('03 Raw Data'!A410="",'03 Raw Data'!A410=0),"",'03 Raw Data'!A410),"")</f>
        <v/>
      </c>
      <c r="B412" s="24">
        <f>IF($A412="","",IFERROR(INDEX('03 Raw Data'!$B$3:$B$722,MATCH($A412,'03 Raw Data'!$A$3:$A$722,0)),""))</f>
        <v/>
      </c>
      <c r="C412" s="24">
        <f>IF($A412="","",IFERROR(INDEX('03 Raw Data'!$E$3:$E$722,MATCH($A412,'03 Raw Data'!$D$3:$D$722,0)),""))</f>
        <v/>
      </c>
      <c r="D412" s="24">
        <f>IF($A412="","",IFERROR(INDEX('03 Raw Data'!$H$3:$H$722,MATCH($A412,'03 Raw Data'!$G$3:$G$722,0)),""))</f>
        <v/>
      </c>
      <c r="E412" s="24">
        <f>IF($A412="","",IFERROR(INDEX('03 Raw Data'!$K$3:$K$722,MATCH($A412,'03 Raw Data'!$J$3:$J$722,0)),""))</f>
        <v/>
      </c>
      <c r="F412" s="24">
        <f>IF($A412="","",IFERROR(INDEX('03 Raw Data'!$N$3:$N$722,MATCH($A412,'03 Raw Data'!$M$3:$M$722,0)),""))</f>
        <v/>
      </c>
      <c r="G412" s="24">
        <f>IF($A412="","",IFERROR(INDEX('03 Raw Data'!$Q$3:$Q$722,MATCH($A412,'03 Raw Data'!$P$3:$P$722,0)),""))</f>
        <v/>
      </c>
      <c r="H412" s="24">
        <f>IF($A412="","",IFERROR(INDEX('03 Raw Data'!$T$3:$T$722,MATCH($A412,'03 Raw Data'!$S$3:$S$722,0)),""))</f>
        <v/>
      </c>
    </row>
    <row r="413">
      <c r="A413" s="23">
        <f>IFERROR(IF(OR('03 Raw Data'!A411="",'03 Raw Data'!A411=0),"",'03 Raw Data'!A411),"")</f>
        <v/>
      </c>
      <c r="B413" s="24">
        <f>IF($A413="","",IFERROR(INDEX('03 Raw Data'!$B$3:$B$722,MATCH($A413,'03 Raw Data'!$A$3:$A$722,0)),""))</f>
        <v/>
      </c>
      <c r="C413" s="24">
        <f>IF($A413="","",IFERROR(INDEX('03 Raw Data'!$E$3:$E$722,MATCH($A413,'03 Raw Data'!$D$3:$D$722,0)),""))</f>
        <v/>
      </c>
      <c r="D413" s="24">
        <f>IF($A413="","",IFERROR(INDEX('03 Raw Data'!$H$3:$H$722,MATCH($A413,'03 Raw Data'!$G$3:$G$722,0)),""))</f>
        <v/>
      </c>
      <c r="E413" s="24">
        <f>IF($A413="","",IFERROR(INDEX('03 Raw Data'!$K$3:$K$722,MATCH($A413,'03 Raw Data'!$J$3:$J$722,0)),""))</f>
        <v/>
      </c>
      <c r="F413" s="24">
        <f>IF($A413="","",IFERROR(INDEX('03 Raw Data'!$N$3:$N$722,MATCH($A413,'03 Raw Data'!$M$3:$M$722,0)),""))</f>
        <v/>
      </c>
      <c r="G413" s="24">
        <f>IF($A413="","",IFERROR(INDEX('03 Raw Data'!$Q$3:$Q$722,MATCH($A413,'03 Raw Data'!$P$3:$P$722,0)),""))</f>
        <v/>
      </c>
      <c r="H413" s="24">
        <f>IF($A413="","",IFERROR(INDEX('03 Raw Data'!$T$3:$T$722,MATCH($A413,'03 Raw Data'!$S$3:$S$722,0)),""))</f>
        <v/>
      </c>
    </row>
    <row r="414">
      <c r="A414" s="23">
        <f>IFERROR(IF(OR('03 Raw Data'!A412="",'03 Raw Data'!A412=0),"",'03 Raw Data'!A412),"")</f>
        <v/>
      </c>
      <c r="B414" s="24">
        <f>IF($A414="","",IFERROR(INDEX('03 Raw Data'!$B$3:$B$722,MATCH($A414,'03 Raw Data'!$A$3:$A$722,0)),""))</f>
        <v/>
      </c>
      <c r="C414" s="24">
        <f>IF($A414="","",IFERROR(INDEX('03 Raw Data'!$E$3:$E$722,MATCH($A414,'03 Raw Data'!$D$3:$D$722,0)),""))</f>
        <v/>
      </c>
      <c r="D414" s="24">
        <f>IF($A414="","",IFERROR(INDEX('03 Raw Data'!$H$3:$H$722,MATCH($A414,'03 Raw Data'!$G$3:$G$722,0)),""))</f>
        <v/>
      </c>
      <c r="E414" s="24">
        <f>IF($A414="","",IFERROR(INDEX('03 Raw Data'!$K$3:$K$722,MATCH($A414,'03 Raw Data'!$J$3:$J$722,0)),""))</f>
        <v/>
      </c>
      <c r="F414" s="24">
        <f>IF($A414="","",IFERROR(INDEX('03 Raw Data'!$N$3:$N$722,MATCH($A414,'03 Raw Data'!$M$3:$M$722,0)),""))</f>
        <v/>
      </c>
      <c r="G414" s="24">
        <f>IF($A414="","",IFERROR(INDEX('03 Raw Data'!$Q$3:$Q$722,MATCH($A414,'03 Raw Data'!$P$3:$P$722,0)),""))</f>
        <v/>
      </c>
      <c r="H414" s="24">
        <f>IF($A414="","",IFERROR(INDEX('03 Raw Data'!$T$3:$T$722,MATCH($A414,'03 Raw Data'!$S$3:$S$722,0)),""))</f>
        <v/>
      </c>
    </row>
    <row r="415">
      <c r="A415" s="23">
        <f>IFERROR(IF(OR('03 Raw Data'!A413="",'03 Raw Data'!A413=0),"",'03 Raw Data'!A413),"")</f>
        <v/>
      </c>
      <c r="B415" s="24">
        <f>IF($A415="","",IFERROR(INDEX('03 Raw Data'!$B$3:$B$722,MATCH($A415,'03 Raw Data'!$A$3:$A$722,0)),""))</f>
        <v/>
      </c>
      <c r="C415" s="24">
        <f>IF($A415="","",IFERROR(INDEX('03 Raw Data'!$E$3:$E$722,MATCH($A415,'03 Raw Data'!$D$3:$D$722,0)),""))</f>
        <v/>
      </c>
      <c r="D415" s="24">
        <f>IF($A415="","",IFERROR(INDEX('03 Raw Data'!$H$3:$H$722,MATCH($A415,'03 Raw Data'!$G$3:$G$722,0)),""))</f>
        <v/>
      </c>
      <c r="E415" s="24">
        <f>IF($A415="","",IFERROR(INDEX('03 Raw Data'!$K$3:$K$722,MATCH($A415,'03 Raw Data'!$J$3:$J$722,0)),""))</f>
        <v/>
      </c>
      <c r="F415" s="24">
        <f>IF($A415="","",IFERROR(INDEX('03 Raw Data'!$N$3:$N$722,MATCH($A415,'03 Raw Data'!$M$3:$M$722,0)),""))</f>
        <v/>
      </c>
      <c r="G415" s="24">
        <f>IF($A415="","",IFERROR(INDEX('03 Raw Data'!$Q$3:$Q$722,MATCH($A415,'03 Raw Data'!$P$3:$P$722,0)),""))</f>
        <v/>
      </c>
      <c r="H415" s="24">
        <f>IF($A415="","",IFERROR(INDEX('03 Raw Data'!$T$3:$T$722,MATCH($A415,'03 Raw Data'!$S$3:$S$722,0)),""))</f>
        <v/>
      </c>
    </row>
    <row r="416">
      <c r="A416" s="23">
        <f>IFERROR(IF(OR('03 Raw Data'!A414="",'03 Raw Data'!A414=0),"",'03 Raw Data'!A414),"")</f>
        <v/>
      </c>
      <c r="B416" s="24">
        <f>IF($A416="","",IFERROR(INDEX('03 Raw Data'!$B$3:$B$722,MATCH($A416,'03 Raw Data'!$A$3:$A$722,0)),""))</f>
        <v/>
      </c>
      <c r="C416" s="24">
        <f>IF($A416="","",IFERROR(INDEX('03 Raw Data'!$E$3:$E$722,MATCH($A416,'03 Raw Data'!$D$3:$D$722,0)),""))</f>
        <v/>
      </c>
      <c r="D416" s="24">
        <f>IF($A416="","",IFERROR(INDEX('03 Raw Data'!$H$3:$H$722,MATCH($A416,'03 Raw Data'!$G$3:$G$722,0)),""))</f>
        <v/>
      </c>
      <c r="E416" s="24">
        <f>IF($A416="","",IFERROR(INDEX('03 Raw Data'!$K$3:$K$722,MATCH($A416,'03 Raw Data'!$J$3:$J$722,0)),""))</f>
        <v/>
      </c>
      <c r="F416" s="24">
        <f>IF($A416="","",IFERROR(INDEX('03 Raw Data'!$N$3:$N$722,MATCH($A416,'03 Raw Data'!$M$3:$M$722,0)),""))</f>
        <v/>
      </c>
      <c r="G416" s="24">
        <f>IF($A416="","",IFERROR(INDEX('03 Raw Data'!$Q$3:$Q$722,MATCH($A416,'03 Raw Data'!$P$3:$P$722,0)),""))</f>
        <v/>
      </c>
      <c r="H416" s="24">
        <f>IF($A416="","",IFERROR(INDEX('03 Raw Data'!$T$3:$T$722,MATCH($A416,'03 Raw Data'!$S$3:$S$722,0)),""))</f>
        <v/>
      </c>
    </row>
    <row r="417">
      <c r="A417" s="23">
        <f>IFERROR(IF(OR('03 Raw Data'!A415="",'03 Raw Data'!A415=0),"",'03 Raw Data'!A415),"")</f>
        <v/>
      </c>
      <c r="B417" s="24">
        <f>IF($A417="","",IFERROR(INDEX('03 Raw Data'!$B$3:$B$722,MATCH($A417,'03 Raw Data'!$A$3:$A$722,0)),""))</f>
        <v/>
      </c>
      <c r="C417" s="24">
        <f>IF($A417="","",IFERROR(INDEX('03 Raw Data'!$E$3:$E$722,MATCH($A417,'03 Raw Data'!$D$3:$D$722,0)),""))</f>
        <v/>
      </c>
      <c r="D417" s="24">
        <f>IF($A417="","",IFERROR(INDEX('03 Raw Data'!$H$3:$H$722,MATCH($A417,'03 Raw Data'!$G$3:$G$722,0)),""))</f>
        <v/>
      </c>
      <c r="E417" s="24">
        <f>IF($A417="","",IFERROR(INDEX('03 Raw Data'!$K$3:$K$722,MATCH($A417,'03 Raw Data'!$J$3:$J$722,0)),""))</f>
        <v/>
      </c>
      <c r="F417" s="24">
        <f>IF($A417="","",IFERROR(INDEX('03 Raw Data'!$N$3:$N$722,MATCH($A417,'03 Raw Data'!$M$3:$M$722,0)),""))</f>
        <v/>
      </c>
      <c r="G417" s="24">
        <f>IF($A417="","",IFERROR(INDEX('03 Raw Data'!$Q$3:$Q$722,MATCH($A417,'03 Raw Data'!$P$3:$P$722,0)),""))</f>
        <v/>
      </c>
      <c r="H417" s="24">
        <f>IF($A417="","",IFERROR(INDEX('03 Raw Data'!$T$3:$T$722,MATCH($A417,'03 Raw Data'!$S$3:$S$722,0)),""))</f>
        <v/>
      </c>
    </row>
    <row r="418">
      <c r="A418" s="23">
        <f>IFERROR(IF(OR('03 Raw Data'!A416="",'03 Raw Data'!A416=0),"",'03 Raw Data'!A416),"")</f>
        <v/>
      </c>
      <c r="B418" s="24">
        <f>IF($A418="","",IFERROR(INDEX('03 Raw Data'!$B$3:$B$722,MATCH($A418,'03 Raw Data'!$A$3:$A$722,0)),""))</f>
        <v/>
      </c>
      <c r="C418" s="24">
        <f>IF($A418="","",IFERROR(INDEX('03 Raw Data'!$E$3:$E$722,MATCH($A418,'03 Raw Data'!$D$3:$D$722,0)),""))</f>
        <v/>
      </c>
      <c r="D418" s="24">
        <f>IF($A418="","",IFERROR(INDEX('03 Raw Data'!$H$3:$H$722,MATCH($A418,'03 Raw Data'!$G$3:$G$722,0)),""))</f>
        <v/>
      </c>
      <c r="E418" s="24">
        <f>IF($A418="","",IFERROR(INDEX('03 Raw Data'!$K$3:$K$722,MATCH($A418,'03 Raw Data'!$J$3:$J$722,0)),""))</f>
        <v/>
      </c>
      <c r="F418" s="24">
        <f>IF($A418="","",IFERROR(INDEX('03 Raw Data'!$N$3:$N$722,MATCH($A418,'03 Raw Data'!$M$3:$M$722,0)),""))</f>
        <v/>
      </c>
      <c r="G418" s="24">
        <f>IF($A418="","",IFERROR(INDEX('03 Raw Data'!$Q$3:$Q$722,MATCH($A418,'03 Raw Data'!$P$3:$P$722,0)),""))</f>
        <v/>
      </c>
      <c r="H418" s="24">
        <f>IF($A418="","",IFERROR(INDEX('03 Raw Data'!$T$3:$T$722,MATCH($A418,'03 Raw Data'!$S$3:$S$722,0)),""))</f>
        <v/>
      </c>
    </row>
    <row r="419">
      <c r="A419" s="23">
        <f>IFERROR(IF(OR('03 Raw Data'!A417="",'03 Raw Data'!A417=0),"",'03 Raw Data'!A417),"")</f>
        <v/>
      </c>
      <c r="B419" s="24">
        <f>IF($A419="","",IFERROR(INDEX('03 Raw Data'!$B$3:$B$722,MATCH($A419,'03 Raw Data'!$A$3:$A$722,0)),""))</f>
        <v/>
      </c>
      <c r="C419" s="24">
        <f>IF($A419="","",IFERROR(INDEX('03 Raw Data'!$E$3:$E$722,MATCH($A419,'03 Raw Data'!$D$3:$D$722,0)),""))</f>
        <v/>
      </c>
      <c r="D419" s="24">
        <f>IF($A419="","",IFERROR(INDEX('03 Raw Data'!$H$3:$H$722,MATCH($A419,'03 Raw Data'!$G$3:$G$722,0)),""))</f>
        <v/>
      </c>
      <c r="E419" s="24">
        <f>IF($A419="","",IFERROR(INDEX('03 Raw Data'!$K$3:$K$722,MATCH($A419,'03 Raw Data'!$J$3:$J$722,0)),""))</f>
        <v/>
      </c>
      <c r="F419" s="24">
        <f>IF($A419="","",IFERROR(INDEX('03 Raw Data'!$N$3:$N$722,MATCH($A419,'03 Raw Data'!$M$3:$M$722,0)),""))</f>
        <v/>
      </c>
      <c r="G419" s="24">
        <f>IF($A419="","",IFERROR(INDEX('03 Raw Data'!$Q$3:$Q$722,MATCH($A419,'03 Raw Data'!$P$3:$P$722,0)),""))</f>
        <v/>
      </c>
      <c r="H419" s="24">
        <f>IF($A419="","",IFERROR(INDEX('03 Raw Data'!$T$3:$T$722,MATCH($A419,'03 Raw Data'!$S$3:$S$722,0)),""))</f>
        <v/>
      </c>
    </row>
    <row r="420">
      <c r="A420" s="23">
        <f>IFERROR(IF(OR('03 Raw Data'!A418="",'03 Raw Data'!A418=0),"",'03 Raw Data'!A418),"")</f>
        <v/>
      </c>
      <c r="B420" s="24">
        <f>IF($A420="","",IFERROR(INDEX('03 Raw Data'!$B$3:$B$722,MATCH($A420,'03 Raw Data'!$A$3:$A$722,0)),""))</f>
        <v/>
      </c>
      <c r="C420" s="24">
        <f>IF($A420="","",IFERROR(INDEX('03 Raw Data'!$E$3:$E$722,MATCH($A420,'03 Raw Data'!$D$3:$D$722,0)),""))</f>
        <v/>
      </c>
      <c r="D420" s="24">
        <f>IF($A420="","",IFERROR(INDEX('03 Raw Data'!$H$3:$H$722,MATCH($A420,'03 Raw Data'!$G$3:$G$722,0)),""))</f>
        <v/>
      </c>
      <c r="E420" s="24">
        <f>IF($A420="","",IFERROR(INDEX('03 Raw Data'!$K$3:$K$722,MATCH($A420,'03 Raw Data'!$J$3:$J$722,0)),""))</f>
        <v/>
      </c>
      <c r="F420" s="24">
        <f>IF($A420="","",IFERROR(INDEX('03 Raw Data'!$N$3:$N$722,MATCH($A420,'03 Raw Data'!$M$3:$M$722,0)),""))</f>
        <v/>
      </c>
      <c r="G420" s="24">
        <f>IF($A420="","",IFERROR(INDEX('03 Raw Data'!$Q$3:$Q$722,MATCH($A420,'03 Raw Data'!$P$3:$P$722,0)),""))</f>
        <v/>
      </c>
      <c r="H420" s="24">
        <f>IF($A420="","",IFERROR(INDEX('03 Raw Data'!$T$3:$T$722,MATCH($A420,'03 Raw Data'!$S$3:$S$722,0)),""))</f>
        <v/>
      </c>
    </row>
    <row r="421">
      <c r="A421" s="23">
        <f>IFERROR(IF(OR('03 Raw Data'!A419="",'03 Raw Data'!A419=0),"",'03 Raw Data'!A419),"")</f>
        <v/>
      </c>
      <c r="B421" s="24">
        <f>IF($A421="","",IFERROR(INDEX('03 Raw Data'!$B$3:$B$722,MATCH($A421,'03 Raw Data'!$A$3:$A$722,0)),""))</f>
        <v/>
      </c>
      <c r="C421" s="24">
        <f>IF($A421="","",IFERROR(INDEX('03 Raw Data'!$E$3:$E$722,MATCH($A421,'03 Raw Data'!$D$3:$D$722,0)),""))</f>
        <v/>
      </c>
      <c r="D421" s="24">
        <f>IF($A421="","",IFERROR(INDEX('03 Raw Data'!$H$3:$H$722,MATCH($A421,'03 Raw Data'!$G$3:$G$722,0)),""))</f>
        <v/>
      </c>
      <c r="E421" s="24">
        <f>IF($A421="","",IFERROR(INDEX('03 Raw Data'!$K$3:$K$722,MATCH($A421,'03 Raw Data'!$J$3:$J$722,0)),""))</f>
        <v/>
      </c>
      <c r="F421" s="24">
        <f>IF($A421="","",IFERROR(INDEX('03 Raw Data'!$N$3:$N$722,MATCH($A421,'03 Raw Data'!$M$3:$M$722,0)),""))</f>
        <v/>
      </c>
      <c r="G421" s="24">
        <f>IF($A421="","",IFERROR(INDEX('03 Raw Data'!$Q$3:$Q$722,MATCH($A421,'03 Raw Data'!$P$3:$P$722,0)),""))</f>
        <v/>
      </c>
      <c r="H421" s="24">
        <f>IF($A421="","",IFERROR(INDEX('03 Raw Data'!$T$3:$T$722,MATCH($A421,'03 Raw Data'!$S$3:$S$722,0)),""))</f>
        <v/>
      </c>
    </row>
    <row r="422">
      <c r="A422" s="23">
        <f>IFERROR(IF(OR('03 Raw Data'!A420="",'03 Raw Data'!A420=0),"",'03 Raw Data'!A420),"")</f>
        <v/>
      </c>
      <c r="B422" s="24">
        <f>IF($A422="","",IFERROR(INDEX('03 Raw Data'!$B$3:$B$722,MATCH($A422,'03 Raw Data'!$A$3:$A$722,0)),""))</f>
        <v/>
      </c>
      <c r="C422" s="24">
        <f>IF($A422="","",IFERROR(INDEX('03 Raw Data'!$E$3:$E$722,MATCH($A422,'03 Raw Data'!$D$3:$D$722,0)),""))</f>
        <v/>
      </c>
      <c r="D422" s="24">
        <f>IF($A422="","",IFERROR(INDEX('03 Raw Data'!$H$3:$H$722,MATCH($A422,'03 Raw Data'!$G$3:$G$722,0)),""))</f>
        <v/>
      </c>
      <c r="E422" s="24">
        <f>IF($A422="","",IFERROR(INDEX('03 Raw Data'!$K$3:$K$722,MATCH($A422,'03 Raw Data'!$J$3:$J$722,0)),""))</f>
        <v/>
      </c>
      <c r="F422" s="24">
        <f>IF($A422="","",IFERROR(INDEX('03 Raw Data'!$N$3:$N$722,MATCH($A422,'03 Raw Data'!$M$3:$M$722,0)),""))</f>
        <v/>
      </c>
      <c r="G422" s="24">
        <f>IF($A422="","",IFERROR(INDEX('03 Raw Data'!$Q$3:$Q$722,MATCH($A422,'03 Raw Data'!$P$3:$P$722,0)),""))</f>
        <v/>
      </c>
      <c r="H422" s="24">
        <f>IF($A422="","",IFERROR(INDEX('03 Raw Data'!$T$3:$T$722,MATCH($A422,'03 Raw Data'!$S$3:$S$722,0)),""))</f>
        <v/>
      </c>
    </row>
    <row r="423">
      <c r="A423" s="23">
        <f>IFERROR(IF(OR('03 Raw Data'!A421="",'03 Raw Data'!A421=0),"",'03 Raw Data'!A421),"")</f>
        <v/>
      </c>
      <c r="B423" s="24">
        <f>IF($A423="","",IFERROR(INDEX('03 Raw Data'!$B$3:$B$722,MATCH($A423,'03 Raw Data'!$A$3:$A$722,0)),""))</f>
        <v/>
      </c>
      <c r="C423" s="24">
        <f>IF($A423="","",IFERROR(INDEX('03 Raw Data'!$E$3:$E$722,MATCH($A423,'03 Raw Data'!$D$3:$D$722,0)),""))</f>
        <v/>
      </c>
      <c r="D423" s="24">
        <f>IF($A423="","",IFERROR(INDEX('03 Raw Data'!$H$3:$H$722,MATCH($A423,'03 Raw Data'!$G$3:$G$722,0)),""))</f>
        <v/>
      </c>
      <c r="E423" s="24">
        <f>IF($A423="","",IFERROR(INDEX('03 Raw Data'!$K$3:$K$722,MATCH($A423,'03 Raw Data'!$J$3:$J$722,0)),""))</f>
        <v/>
      </c>
      <c r="F423" s="24">
        <f>IF($A423="","",IFERROR(INDEX('03 Raw Data'!$N$3:$N$722,MATCH($A423,'03 Raw Data'!$M$3:$M$722,0)),""))</f>
        <v/>
      </c>
      <c r="G423" s="24">
        <f>IF($A423="","",IFERROR(INDEX('03 Raw Data'!$Q$3:$Q$722,MATCH($A423,'03 Raw Data'!$P$3:$P$722,0)),""))</f>
        <v/>
      </c>
      <c r="H423" s="24">
        <f>IF($A423="","",IFERROR(INDEX('03 Raw Data'!$T$3:$T$722,MATCH($A423,'03 Raw Data'!$S$3:$S$722,0)),""))</f>
        <v/>
      </c>
    </row>
    <row r="424">
      <c r="A424" s="23">
        <f>IFERROR(IF(OR('03 Raw Data'!A422="",'03 Raw Data'!A422=0),"",'03 Raw Data'!A422),"")</f>
        <v/>
      </c>
      <c r="B424" s="24">
        <f>IF($A424="","",IFERROR(INDEX('03 Raw Data'!$B$3:$B$722,MATCH($A424,'03 Raw Data'!$A$3:$A$722,0)),""))</f>
        <v/>
      </c>
      <c r="C424" s="24">
        <f>IF($A424="","",IFERROR(INDEX('03 Raw Data'!$E$3:$E$722,MATCH($A424,'03 Raw Data'!$D$3:$D$722,0)),""))</f>
        <v/>
      </c>
      <c r="D424" s="24">
        <f>IF($A424="","",IFERROR(INDEX('03 Raw Data'!$H$3:$H$722,MATCH($A424,'03 Raw Data'!$G$3:$G$722,0)),""))</f>
        <v/>
      </c>
      <c r="E424" s="24">
        <f>IF($A424="","",IFERROR(INDEX('03 Raw Data'!$K$3:$K$722,MATCH($A424,'03 Raw Data'!$J$3:$J$722,0)),""))</f>
        <v/>
      </c>
      <c r="F424" s="24">
        <f>IF($A424="","",IFERROR(INDEX('03 Raw Data'!$N$3:$N$722,MATCH($A424,'03 Raw Data'!$M$3:$M$722,0)),""))</f>
        <v/>
      </c>
      <c r="G424" s="24">
        <f>IF($A424="","",IFERROR(INDEX('03 Raw Data'!$Q$3:$Q$722,MATCH($A424,'03 Raw Data'!$P$3:$P$722,0)),""))</f>
        <v/>
      </c>
      <c r="H424" s="24">
        <f>IF($A424="","",IFERROR(INDEX('03 Raw Data'!$T$3:$T$722,MATCH($A424,'03 Raw Data'!$S$3:$S$722,0)),""))</f>
        <v/>
      </c>
    </row>
    <row r="425">
      <c r="A425" s="23">
        <f>IFERROR(IF(OR('03 Raw Data'!A423="",'03 Raw Data'!A423=0),"",'03 Raw Data'!A423),"")</f>
        <v/>
      </c>
      <c r="B425" s="24">
        <f>IF($A425="","",IFERROR(INDEX('03 Raw Data'!$B$3:$B$722,MATCH($A425,'03 Raw Data'!$A$3:$A$722,0)),""))</f>
        <v/>
      </c>
      <c r="C425" s="24">
        <f>IF($A425="","",IFERROR(INDEX('03 Raw Data'!$E$3:$E$722,MATCH($A425,'03 Raw Data'!$D$3:$D$722,0)),""))</f>
        <v/>
      </c>
      <c r="D425" s="24">
        <f>IF($A425="","",IFERROR(INDEX('03 Raw Data'!$H$3:$H$722,MATCH($A425,'03 Raw Data'!$G$3:$G$722,0)),""))</f>
        <v/>
      </c>
      <c r="E425" s="24">
        <f>IF($A425="","",IFERROR(INDEX('03 Raw Data'!$K$3:$K$722,MATCH($A425,'03 Raw Data'!$J$3:$J$722,0)),""))</f>
        <v/>
      </c>
      <c r="F425" s="24">
        <f>IF($A425="","",IFERROR(INDEX('03 Raw Data'!$N$3:$N$722,MATCH($A425,'03 Raw Data'!$M$3:$M$722,0)),""))</f>
        <v/>
      </c>
      <c r="G425" s="24">
        <f>IF($A425="","",IFERROR(INDEX('03 Raw Data'!$Q$3:$Q$722,MATCH($A425,'03 Raw Data'!$P$3:$P$722,0)),""))</f>
        <v/>
      </c>
      <c r="H425" s="24">
        <f>IF($A425="","",IFERROR(INDEX('03 Raw Data'!$T$3:$T$722,MATCH($A425,'03 Raw Data'!$S$3:$S$722,0)),""))</f>
        <v/>
      </c>
    </row>
    <row r="426">
      <c r="A426" s="23">
        <f>IFERROR(IF(OR('03 Raw Data'!A424="",'03 Raw Data'!A424=0),"",'03 Raw Data'!A424),"")</f>
        <v/>
      </c>
      <c r="B426" s="24">
        <f>IF($A426="","",IFERROR(INDEX('03 Raw Data'!$B$3:$B$722,MATCH($A426,'03 Raw Data'!$A$3:$A$722,0)),""))</f>
        <v/>
      </c>
      <c r="C426" s="24">
        <f>IF($A426="","",IFERROR(INDEX('03 Raw Data'!$E$3:$E$722,MATCH($A426,'03 Raw Data'!$D$3:$D$722,0)),""))</f>
        <v/>
      </c>
      <c r="D426" s="24">
        <f>IF($A426="","",IFERROR(INDEX('03 Raw Data'!$H$3:$H$722,MATCH($A426,'03 Raw Data'!$G$3:$G$722,0)),""))</f>
        <v/>
      </c>
      <c r="E426" s="24">
        <f>IF($A426="","",IFERROR(INDEX('03 Raw Data'!$K$3:$K$722,MATCH($A426,'03 Raw Data'!$J$3:$J$722,0)),""))</f>
        <v/>
      </c>
      <c r="F426" s="24">
        <f>IF($A426="","",IFERROR(INDEX('03 Raw Data'!$N$3:$N$722,MATCH($A426,'03 Raw Data'!$M$3:$M$722,0)),""))</f>
        <v/>
      </c>
      <c r="G426" s="24">
        <f>IF($A426="","",IFERROR(INDEX('03 Raw Data'!$Q$3:$Q$722,MATCH($A426,'03 Raw Data'!$P$3:$P$722,0)),""))</f>
        <v/>
      </c>
      <c r="H426" s="24">
        <f>IF($A426="","",IFERROR(INDEX('03 Raw Data'!$T$3:$T$722,MATCH($A426,'03 Raw Data'!$S$3:$S$722,0)),""))</f>
        <v/>
      </c>
    </row>
    <row r="427">
      <c r="A427" s="23">
        <f>IFERROR(IF(OR('03 Raw Data'!A425="",'03 Raw Data'!A425=0),"",'03 Raw Data'!A425),"")</f>
        <v/>
      </c>
      <c r="B427" s="24">
        <f>IF($A427="","",IFERROR(INDEX('03 Raw Data'!$B$3:$B$722,MATCH($A427,'03 Raw Data'!$A$3:$A$722,0)),""))</f>
        <v/>
      </c>
      <c r="C427" s="24">
        <f>IF($A427="","",IFERROR(INDEX('03 Raw Data'!$E$3:$E$722,MATCH($A427,'03 Raw Data'!$D$3:$D$722,0)),""))</f>
        <v/>
      </c>
      <c r="D427" s="24">
        <f>IF($A427="","",IFERROR(INDEX('03 Raw Data'!$H$3:$H$722,MATCH($A427,'03 Raw Data'!$G$3:$G$722,0)),""))</f>
        <v/>
      </c>
      <c r="E427" s="24">
        <f>IF($A427="","",IFERROR(INDEX('03 Raw Data'!$K$3:$K$722,MATCH($A427,'03 Raw Data'!$J$3:$J$722,0)),""))</f>
        <v/>
      </c>
      <c r="F427" s="24">
        <f>IF($A427="","",IFERROR(INDEX('03 Raw Data'!$N$3:$N$722,MATCH($A427,'03 Raw Data'!$M$3:$M$722,0)),""))</f>
        <v/>
      </c>
      <c r="G427" s="24">
        <f>IF($A427="","",IFERROR(INDEX('03 Raw Data'!$Q$3:$Q$722,MATCH($A427,'03 Raw Data'!$P$3:$P$722,0)),""))</f>
        <v/>
      </c>
      <c r="H427" s="24">
        <f>IF($A427="","",IFERROR(INDEX('03 Raw Data'!$T$3:$T$722,MATCH($A427,'03 Raw Data'!$S$3:$S$722,0)),""))</f>
        <v/>
      </c>
    </row>
    <row r="428">
      <c r="A428" s="23">
        <f>IFERROR(IF(OR('03 Raw Data'!A426="",'03 Raw Data'!A426=0),"",'03 Raw Data'!A426),"")</f>
        <v/>
      </c>
      <c r="B428" s="24">
        <f>IF($A428="","",IFERROR(INDEX('03 Raw Data'!$B$3:$B$722,MATCH($A428,'03 Raw Data'!$A$3:$A$722,0)),""))</f>
        <v/>
      </c>
      <c r="C428" s="24">
        <f>IF($A428="","",IFERROR(INDEX('03 Raw Data'!$E$3:$E$722,MATCH($A428,'03 Raw Data'!$D$3:$D$722,0)),""))</f>
        <v/>
      </c>
      <c r="D428" s="24">
        <f>IF($A428="","",IFERROR(INDEX('03 Raw Data'!$H$3:$H$722,MATCH($A428,'03 Raw Data'!$G$3:$G$722,0)),""))</f>
        <v/>
      </c>
      <c r="E428" s="24">
        <f>IF($A428="","",IFERROR(INDEX('03 Raw Data'!$K$3:$K$722,MATCH($A428,'03 Raw Data'!$J$3:$J$722,0)),""))</f>
        <v/>
      </c>
      <c r="F428" s="24">
        <f>IF($A428="","",IFERROR(INDEX('03 Raw Data'!$N$3:$N$722,MATCH($A428,'03 Raw Data'!$M$3:$M$722,0)),""))</f>
        <v/>
      </c>
      <c r="G428" s="24">
        <f>IF($A428="","",IFERROR(INDEX('03 Raw Data'!$Q$3:$Q$722,MATCH($A428,'03 Raw Data'!$P$3:$P$722,0)),""))</f>
        <v/>
      </c>
      <c r="H428" s="24">
        <f>IF($A428="","",IFERROR(INDEX('03 Raw Data'!$T$3:$T$722,MATCH($A428,'03 Raw Data'!$S$3:$S$722,0)),""))</f>
        <v/>
      </c>
    </row>
    <row r="429">
      <c r="A429" s="23">
        <f>IFERROR(IF(OR('03 Raw Data'!A427="",'03 Raw Data'!A427=0),"",'03 Raw Data'!A427),"")</f>
        <v/>
      </c>
      <c r="B429" s="24">
        <f>IF($A429="","",IFERROR(INDEX('03 Raw Data'!$B$3:$B$722,MATCH($A429,'03 Raw Data'!$A$3:$A$722,0)),""))</f>
        <v/>
      </c>
      <c r="C429" s="24">
        <f>IF($A429="","",IFERROR(INDEX('03 Raw Data'!$E$3:$E$722,MATCH($A429,'03 Raw Data'!$D$3:$D$722,0)),""))</f>
        <v/>
      </c>
      <c r="D429" s="24">
        <f>IF($A429="","",IFERROR(INDEX('03 Raw Data'!$H$3:$H$722,MATCH($A429,'03 Raw Data'!$G$3:$G$722,0)),""))</f>
        <v/>
      </c>
      <c r="E429" s="24">
        <f>IF($A429="","",IFERROR(INDEX('03 Raw Data'!$K$3:$K$722,MATCH($A429,'03 Raw Data'!$J$3:$J$722,0)),""))</f>
        <v/>
      </c>
      <c r="F429" s="24">
        <f>IF($A429="","",IFERROR(INDEX('03 Raw Data'!$N$3:$N$722,MATCH($A429,'03 Raw Data'!$M$3:$M$722,0)),""))</f>
        <v/>
      </c>
      <c r="G429" s="24">
        <f>IF($A429="","",IFERROR(INDEX('03 Raw Data'!$Q$3:$Q$722,MATCH($A429,'03 Raw Data'!$P$3:$P$722,0)),""))</f>
        <v/>
      </c>
      <c r="H429" s="24">
        <f>IF($A429="","",IFERROR(INDEX('03 Raw Data'!$T$3:$T$722,MATCH($A429,'03 Raw Data'!$S$3:$S$722,0)),""))</f>
        <v/>
      </c>
    </row>
    <row r="430">
      <c r="A430" s="23">
        <f>IFERROR(IF(OR('03 Raw Data'!A428="",'03 Raw Data'!A428=0),"",'03 Raw Data'!A428),"")</f>
        <v/>
      </c>
      <c r="B430" s="24">
        <f>IF($A430="","",IFERROR(INDEX('03 Raw Data'!$B$3:$B$722,MATCH($A430,'03 Raw Data'!$A$3:$A$722,0)),""))</f>
        <v/>
      </c>
      <c r="C430" s="24">
        <f>IF($A430="","",IFERROR(INDEX('03 Raw Data'!$E$3:$E$722,MATCH($A430,'03 Raw Data'!$D$3:$D$722,0)),""))</f>
        <v/>
      </c>
      <c r="D430" s="24">
        <f>IF($A430="","",IFERROR(INDEX('03 Raw Data'!$H$3:$H$722,MATCH($A430,'03 Raw Data'!$G$3:$G$722,0)),""))</f>
        <v/>
      </c>
      <c r="E430" s="24">
        <f>IF($A430="","",IFERROR(INDEX('03 Raw Data'!$K$3:$K$722,MATCH($A430,'03 Raw Data'!$J$3:$J$722,0)),""))</f>
        <v/>
      </c>
      <c r="F430" s="24">
        <f>IF($A430="","",IFERROR(INDEX('03 Raw Data'!$N$3:$N$722,MATCH($A430,'03 Raw Data'!$M$3:$M$722,0)),""))</f>
        <v/>
      </c>
      <c r="G430" s="24">
        <f>IF($A430="","",IFERROR(INDEX('03 Raw Data'!$Q$3:$Q$722,MATCH($A430,'03 Raw Data'!$P$3:$P$722,0)),""))</f>
        <v/>
      </c>
      <c r="H430" s="24">
        <f>IF($A430="","",IFERROR(INDEX('03 Raw Data'!$T$3:$T$722,MATCH($A430,'03 Raw Data'!$S$3:$S$722,0)),""))</f>
        <v/>
      </c>
    </row>
    <row r="431">
      <c r="A431" s="23">
        <f>IFERROR(IF(OR('03 Raw Data'!A429="",'03 Raw Data'!A429=0),"",'03 Raw Data'!A429),"")</f>
        <v/>
      </c>
      <c r="B431" s="24">
        <f>IF($A431="","",IFERROR(INDEX('03 Raw Data'!$B$3:$B$722,MATCH($A431,'03 Raw Data'!$A$3:$A$722,0)),""))</f>
        <v/>
      </c>
      <c r="C431" s="24">
        <f>IF($A431="","",IFERROR(INDEX('03 Raw Data'!$E$3:$E$722,MATCH($A431,'03 Raw Data'!$D$3:$D$722,0)),""))</f>
        <v/>
      </c>
      <c r="D431" s="24">
        <f>IF($A431="","",IFERROR(INDEX('03 Raw Data'!$H$3:$H$722,MATCH($A431,'03 Raw Data'!$G$3:$G$722,0)),""))</f>
        <v/>
      </c>
      <c r="E431" s="24">
        <f>IF($A431="","",IFERROR(INDEX('03 Raw Data'!$K$3:$K$722,MATCH($A431,'03 Raw Data'!$J$3:$J$722,0)),""))</f>
        <v/>
      </c>
      <c r="F431" s="24">
        <f>IF($A431="","",IFERROR(INDEX('03 Raw Data'!$N$3:$N$722,MATCH($A431,'03 Raw Data'!$M$3:$M$722,0)),""))</f>
        <v/>
      </c>
      <c r="G431" s="24">
        <f>IF($A431="","",IFERROR(INDEX('03 Raw Data'!$Q$3:$Q$722,MATCH($A431,'03 Raw Data'!$P$3:$P$722,0)),""))</f>
        <v/>
      </c>
      <c r="H431" s="24">
        <f>IF($A431="","",IFERROR(INDEX('03 Raw Data'!$T$3:$T$722,MATCH($A431,'03 Raw Data'!$S$3:$S$722,0)),""))</f>
        <v/>
      </c>
    </row>
    <row r="432">
      <c r="A432" s="23">
        <f>IFERROR(IF(OR('03 Raw Data'!A430="",'03 Raw Data'!A430=0),"",'03 Raw Data'!A430),"")</f>
        <v/>
      </c>
      <c r="B432" s="24">
        <f>IF($A432="","",IFERROR(INDEX('03 Raw Data'!$B$3:$B$722,MATCH($A432,'03 Raw Data'!$A$3:$A$722,0)),""))</f>
        <v/>
      </c>
      <c r="C432" s="24">
        <f>IF($A432="","",IFERROR(INDEX('03 Raw Data'!$E$3:$E$722,MATCH($A432,'03 Raw Data'!$D$3:$D$722,0)),""))</f>
        <v/>
      </c>
      <c r="D432" s="24">
        <f>IF($A432="","",IFERROR(INDEX('03 Raw Data'!$H$3:$H$722,MATCH($A432,'03 Raw Data'!$G$3:$G$722,0)),""))</f>
        <v/>
      </c>
      <c r="E432" s="24">
        <f>IF($A432="","",IFERROR(INDEX('03 Raw Data'!$K$3:$K$722,MATCH($A432,'03 Raw Data'!$J$3:$J$722,0)),""))</f>
        <v/>
      </c>
      <c r="F432" s="24">
        <f>IF($A432="","",IFERROR(INDEX('03 Raw Data'!$N$3:$N$722,MATCH($A432,'03 Raw Data'!$M$3:$M$722,0)),""))</f>
        <v/>
      </c>
      <c r="G432" s="24">
        <f>IF($A432="","",IFERROR(INDEX('03 Raw Data'!$Q$3:$Q$722,MATCH($A432,'03 Raw Data'!$P$3:$P$722,0)),""))</f>
        <v/>
      </c>
      <c r="H432" s="24">
        <f>IF($A432="","",IFERROR(INDEX('03 Raw Data'!$T$3:$T$722,MATCH($A432,'03 Raw Data'!$S$3:$S$722,0)),""))</f>
        <v/>
      </c>
    </row>
    <row r="433">
      <c r="A433" s="23">
        <f>IFERROR(IF(OR('03 Raw Data'!A431="",'03 Raw Data'!A431=0),"",'03 Raw Data'!A431),"")</f>
        <v/>
      </c>
      <c r="B433" s="24">
        <f>IF($A433="","",IFERROR(INDEX('03 Raw Data'!$B$3:$B$722,MATCH($A433,'03 Raw Data'!$A$3:$A$722,0)),""))</f>
        <v/>
      </c>
      <c r="C433" s="24">
        <f>IF($A433="","",IFERROR(INDEX('03 Raw Data'!$E$3:$E$722,MATCH($A433,'03 Raw Data'!$D$3:$D$722,0)),""))</f>
        <v/>
      </c>
      <c r="D433" s="24">
        <f>IF($A433="","",IFERROR(INDEX('03 Raw Data'!$H$3:$H$722,MATCH($A433,'03 Raw Data'!$G$3:$G$722,0)),""))</f>
        <v/>
      </c>
      <c r="E433" s="24">
        <f>IF($A433="","",IFERROR(INDEX('03 Raw Data'!$K$3:$K$722,MATCH($A433,'03 Raw Data'!$J$3:$J$722,0)),""))</f>
        <v/>
      </c>
      <c r="F433" s="24">
        <f>IF($A433="","",IFERROR(INDEX('03 Raw Data'!$N$3:$N$722,MATCH($A433,'03 Raw Data'!$M$3:$M$722,0)),""))</f>
        <v/>
      </c>
      <c r="G433" s="24">
        <f>IF($A433="","",IFERROR(INDEX('03 Raw Data'!$Q$3:$Q$722,MATCH($A433,'03 Raw Data'!$P$3:$P$722,0)),""))</f>
        <v/>
      </c>
      <c r="H433" s="24">
        <f>IF($A433="","",IFERROR(INDEX('03 Raw Data'!$T$3:$T$722,MATCH($A433,'03 Raw Data'!$S$3:$S$722,0)),""))</f>
        <v/>
      </c>
    </row>
    <row r="434">
      <c r="A434" s="23">
        <f>IFERROR(IF(OR('03 Raw Data'!A432="",'03 Raw Data'!A432=0),"",'03 Raw Data'!A432),"")</f>
        <v/>
      </c>
      <c r="B434" s="24">
        <f>IF($A434="","",IFERROR(INDEX('03 Raw Data'!$B$3:$B$722,MATCH($A434,'03 Raw Data'!$A$3:$A$722,0)),""))</f>
        <v/>
      </c>
      <c r="C434" s="24">
        <f>IF($A434="","",IFERROR(INDEX('03 Raw Data'!$E$3:$E$722,MATCH($A434,'03 Raw Data'!$D$3:$D$722,0)),""))</f>
        <v/>
      </c>
      <c r="D434" s="24">
        <f>IF($A434="","",IFERROR(INDEX('03 Raw Data'!$H$3:$H$722,MATCH($A434,'03 Raw Data'!$G$3:$G$722,0)),""))</f>
        <v/>
      </c>
      <c r="E434" s="24">
        <f>IF($A434="","",IFERROR(INDEX('03 Raw Data'!$K$3:$K$722,MATCH($A434,'03 Raw Data'!$J$3:$J$722,0)),""))</f>
        <v/>
      </c>
      <c r="F434" s="24">
        <f>IF($A434="","",IFERROR(INDEX('03 Raw Data'!$N$3:$N$722,MATCH($A434,'03 Raw Data'!$M$3:$M$722,0)),""))</f>
        <v/>
      </c>
      <c r="G434" s="24">
        <f>IF($A434="","",IFERROR(INDEX('03 Raw Data'!$Q$3:$Q$722,MATCH($A434,'03 Raw Data'!$P$3:$P$722,0)),""))</f>
        <v/>
      </c>
      <c r="H434" s="24">
        <f>IF($A434="","",IFERROR(INDEX('03 Raw Data'!$T$3:$T$722,MATCH($A434,'03 Raw Data'!$S$3:$S$722,0)),""))</f>
        <v/>
      </c>
    </row>
    <row r="435">
      <c r="A435" s="23">
        <f>IFERROR(IF(OR('03 Raw Data'!A433="",'03 Raw Data'!A433=0),"",'03 Raw Data'!A433),"")</f>
        <v/>
      </c>
      <c r="B435" s="24">
        <f>IF($A435="","",IFERROR(INDEX('03 Raw Data'!$B$3:$B$722,MATCH($A435,'03 Raw Data'!$A$3:$A$722,0)),""))</f>
        <v/>
      </c>
      <c r="C435" s="24">
        <f>IF($A435="","",IFERROR(INDEX('03 Raw Data'!$E$3:$E$722,MATCH($A435,'03 Raw Data'!$D$3:$D$722,0)),""))</f>
        <v/>
      </c>
      <c r="D435" s="24">
        <f>IF($A435="","",IFERROR(INDEX('03 Raw Data'!$H$3:$H$722,MATCH($A435,'03 Raw Data'!$G$3:$G$722,0)),""))</f>
        <v/>
      </c>
      <c r="E435" s="24">
        <f>IF($A435="","",IFERROR(INDEX('03 Raw Data'!$K$3:$K$722,MATCH($A435,'03 Raw Data'!$J$3:$J$722,0)),""))</f>
        <v/>
      </c>
      <c r="F435" s="24">
        <f>IF($A435="","",IFERROR(INDEX('03 Raw Data'!$N$3:$N$722,MATCH($A435,'03 Raw Data'!$M$3:$M$722,0)),""))</f>
        <v/>
      </c>
      <c r="G435" s="24">
        <f>IF($A435="","",IFERROR(INDEX('03 Raw Data'!$Q$3:$Q$722,MATCH($A435,'03 Raw Data'!$P$3:$P$722,0)),""))</f>
        <v/>
      </c>
      <c r="H435" s="24">
        <f>IF($A435="","",IFERROR(INDEX('03 Raw Data'!$T$3:$T$722,MATCH($A435,'03 Raw Data'!$S$3:$S$722,0)),""))</f>
        <v/>
      </c>
    </row>
    <row r="436">
      <c r="A436" s="23">
        <f>IFERROR(IF(OR('03 Raw Data'!A434="",'03 Raw Data'!A434=0),"",'03 Raw Data'!A434),"")</f>
        <v/>
      </c>
      <c r="B436" s="24">
        <f>IF($A436="","",IFERROR(INDEX('03 Raw Data'!$B$3:$B$722,MATCH($A436,'03 Raw Data'!$A$3:$A$722,0)),""))</f>
        <v/>
      </c>
      <c r="C436" s="24">
        <f>IF($A436="","",IFERROR(INDEX('03 Raw Data'!$E$3:$E$722,MATCH($A436,'03 Raw Data'!$D$3:$D$722,0)),""))</f>
        <v/>
      </c>
      <c r="D436" s="24">
        <f>IF($A436="","",IFERROR(INDEX('03 Raw Data'!$H$3:$H$722,MATCH($A436,'03 Raw Data'!$G$3:$G$722,0)),""))</f>
        <v/>
      </c>
      <c r="E436" s="24">
        <f>IF($A436="","",IFERROR(INDEX('03 Raw Data'!$K$3:$K$722,MATCH($A436,'03 Raw Data'!$J$3:$J$722,0)),""))</f>
        <v/>
      </c>
      <c r="F436" s="24">
        <f>IF($A436="","",IFERROR(INDEX('03 Raw Data'!$N$3:$N$722,MATCH($A436,'03 Raw Data'!$M$3:$M$722,0)),""))</f>
        <v/>
      </c>
      <c r="G436" s="24">
        <f>IF($A436="","",IFERROR(INDEX('03 Raw Data'!$Q$3:$Q$722,MATCH($A436,'03 Raw Data'!$P$3:$P$722,0)),""))</f>
        <v/>
      </c>
      <c r="H436" s="24">
        <f>IF($A436="","",IFERROR(INDEX('03 Raw Data'!$T$3:$T$722,MATCH($A436,'03 Raw Data'!$S$3:$S$722,0)),""))</f>
        <v/>
      </c>
    </row>
    <row r="437">
      <c r="A437" s="23">
        <f>IFERROR(IF(OR('03 Raw Data'!A435="",'03 Raw Data'!A435=0),"",'03 Raw Data'!A435),"")</f>
        <v/>
      </c>
      <c r="B437" s="24">
        <f>IF($A437="","",IFERROR(INDEX('03 Raw Data'!$B$3:$B$722,MATCH($A437,'03 Raw Data'!$A$3:$A$722,0)),""))</f>
        <v/>
      </c>
      <c r="C437" s="24">
        <f>IF($A437="","",IFERROR(INDEX('03 Raw Data'!$E$3:$E$722,MATCH($A437,'03 Raw Data'!$D$3:$D$722,0)),""))</f>
        <v/>
      </c>
      <c r="D437" s="24">
        <f>IF($A437="","",IFERROR(INDEX('03 Raw Data'!$H$3:$H$722,MATCH($A437,'03 Raw Data'!$G$3:$G$722,0)),""))</f>
        <v/>
      </c>
      <c r="E437" s="24">
        <f>IF($A437="","",IFERROR(INDEX('03 Raw Data'!$K$3:$K$722,MATCH($A437,'03 Raw Data'!$J$3:$J$722,0)),""))</f>
        <v/>
      </c>
      <c r="F437" s="24">
        <f>IF($A437="","",IFERROR(INDEX('03 Raw Data'!$N$3:$N$722,MATCH($A437,'03 Raw Data'!$M$3:$M$722,0)),""))</f>
        <v/>
      </c>
      <c r="G437" s="24">
        <f>IF($A437="","",IFERROR(INDEX('03 Raw Data'!$Q$3:$Q$722,MATCH($A437,'03 Raw Data'!$P$3:$P$722,0)),""))</f>
        <v/>
      </c>
      <c r="H437" s="24">
        <f>IF($A437="","",IFERROR(INDEX('03 Raw Data'!$T$3:$T$722,MATCH($A437,'03 Raw Data'!$S$3:$S$722,0)),""))</f>
        <v/>
      </c>
    </row>
    <row r="438">
      <c r="A438" s="23">
        <f>IFERROR(IF(OR('03 Raw Data'!A436="",'03 Raw Data'!A436=0),"",'03 Raw Data'!A436),"")</f>
        <v/>
      </c>
      <c r="B438" s="24">
        <f>IF($A438="","",IFERROR(INDEX('03 Raw Data'!$B$3:$B$722,MATCH($A438,'03 Raw Data'!$A$3:$A$722,0)),""))</f>
        <v/>
      </c>
      <c r="C438" s="24">
        <f>IF($A438="","",IFERROR(INDEX('03 Raw Data'!$E$3:$E$722,MATCH($A438,'03 Raw Data'!$D$3:$D$722,0)),""))</f>
        <v/>
      </c>
      <c r="D438" s="24">
        <f>IF($A438="","",IFERROR(INDEX('03 Raw Data'!$H$3:$H$722,MATCH($A438,'03 Raw Data'!$G$3:$G$722,0)),""))</f>
        <v/>
      </c>
      <c r="E438" s="24">
        <f>IF($A438="","",IFERROR(INDEX('03 Raw Data'!$K$3:$K$722,MATCH($A438,'03 Raw Data'!$J$3:$J$722,0)),""))</f>
        <v/>
      </c>
      <c r="F438" s="24">
        <f>IF($A438="","",IFERROR(INDEX('03 Raw Data'!$N$3:$N$722,MATCH($A438,'03 Raw Data'!$M$3:$M$722,0)),""))</f>
        <v/>
      </c>
      <c r="G438" s="24">
        <f>IF($A438="","",IFERROR(INDEX('03 Raw Data'!$Q$3:$Q$722,MATCH($A438,'03 Raw Data'!$P$3:$P$722,0)),""))</f>
        <v/>
      </c>
      <c r="H438" s="24">
        <f>IF($A438="","",IFERROR(INDEX('03 Raw Data'!$T$3:$T$722,MATCH($A438,'03 Raw Data'!$S$3:$S$722,0)),""))</f>
        <v/>
      </c>
    </row>
    <row r="439">
      <c r="A439" s="23">
        <f>IFERROR(IF(OR('03 Raw Data'!A437="",'03 Raw Data'!A437=0),"",'03 Raw Data'!A437),"")</f>
        <v/>
      </c>
      <c r="B439" s="24">
        <f>IF($A439="","",IFERROR(INDEX('03 Raw Data'!$B$3:$B$722,MATCH($A439,'03 Raw Data'!$A$3:$A$722,0)),""))</f>
        <v/>
      </c>
      <c r="C439" s="24">
        <f>IF($A439="","",IFERROR(INDEX('03 Raw Data'!$E$3:$E$722,MATCH($A439,'03 Raw Data'!$D$3:$D$722,0)),""))</f>
        <v/>
      </c>
      <c r="D439" s="24">
        <f>IF($A439="","",IFERROR(INDEX('03 Raw Data'!$H$3:$H$722,MATCH($A439,'03 Raw Data'!$G$3:$G$722,0)),""))</f>
        <v/>
      </c>
      <c r="E439" s="24">
        <f>IF($A439="","",IFERROR(INDEX('03 Raw Data'!$K$3:$K$722,MATCH($A439,'03 Raw Data'!$J$3:$J$722,0)),""))</f>
        <v/>
      </c>
      <c r="F439" s="24">
        <f>IF($A439="","",IFERROR(INDEX('03 Raw Data'!$N$3:$N$722,MATCH($A439,'03 Raw Data'!$M$3:$M$722,0)),""))</f>
        <v/>
      </c>
      <c r="G439" s="24">
        <f>IF($A439="","",IFERROR(INDEX('03 Raw Data'!$Q$3:$Q$722,MATCH($A439,'03 Raw Data'!$P$3:$P$722,0)),""))</f>
        <v/>
      </c>
      <c r="H439" s="24">
        <f>IF($A439="","",IFERROR(INDEX('03 Raw Data'!$T$3:$T$722,MATCH($A439,'03 Raw Data'!$S$3:$S$722,0)),""))</f>
        <v/>
      </c>
    </row>
    <row r="440">
      <c r="A440" s="23">
        <f>IFERROR(IF(OR('03 Raw Data'!A438="",'03 Raw Data'!A438=0),"",'03 Raw Data'!A438),"")</f>
        <v/>
      </c>
      <c r="B440" s="24">
        <f>IF($A440="","",IFERROR(INDEX('03 Raw Data'!$B$3:$B$722,MATCH($A440,'03 Raw Data'!$A$3:$A$722,0)),""))</f>
        <v/>
      </c>
      <c r="C440" s="24">
        <f>IF($A440="","",IFERROR(INDEX('03 Raw Data'!$E$3:$E$722,MATCH($A440,'03 Raw Data'!$D$3:$D$722,0)),""))</f>
        <v/>
      </c>
      <c r="D440" s="24">
        <f>IF($A440="","",IFERROR(INDEX('03 Raw Data'!$H$3:$H$722,MATCH($A440,'03 Raw Data'!$G$3:$G$722,0)),""))</f>
        <v/>
      </c>
      <c r="E440" s="24">
        <f>IF($A440="","",IFERROR(INDEX('03 Raw Data'!$K$3:$K$722,MATCH($A440,'03 Raw Data'!$J$3:$J$722,0)),""))</f>
        <v/>
      </c>
      <c r="F440" s="24">
        <f>IF($A440="","",IFERROR(INDEX('03 Raw Data'!$N$3:$N$722,MATCH($A440,'03 Raw Data'!$M$3:$M$722,0)),""))</f>
        <v/>
      </c>
      <c r="G440" s="24">
        <f>IF($A440="","",IFERROR(INDEX('03 Raw Data'!$Q$3:$Q$722,MATCH($A440,'03 Raw Data'!$P$3:$P$722,0)),""))</f>
        <v/>
      </c>
      <c r="H440" s="24">
        <f>IF($A440="","",IFERROR(INDEX('03 Raw Data'!$T$3:$T$722,MATCH($A440,'03 Raw Data'!$S$3:$S$722,0)),""))</f>
        <v/>
      </c>
    </row>
    <row r="441">
      <c r="A441" s="23">
        <f>IFERROR(IF(OR('03 Raw Data'!A439="",'03 Raw Data'!A439=0),"",'03 Raw Data'!A439),"")</f>
        <v/>
      </c>
      <c r="B441" s="24">
        <f>IF($A441="","",IFERROR(INDEX('03 Raw Data'!$B$3:$B$722,MATCH($A441,'03 Raw Data'!$A$3:$A$722,0)),""))</f>
        <v/>
      </c>
      <c r="C441" s="24">
        <f>IF($A441="","",IFERROR(INDEX('03 Raw Data'!$E$3:$E$722,MATCH($A441,'03 Raw Data'!$D$3:$D$722,0)),""))</f>
        <v/>
      </c>
      <c r="D441" s="24">
        <f>IF($A441="","",IFERROR(INDEX('03 Raw Data'!$H$3:$H$722,MATCH($A441,'03 Raw Data'!$G$3:$G$722,0)),""))</f>
        <v/>
      </c>
      <c r="E441" s="24">
        <f>IF($A441="","",IFERROR(INDEX('03 Raw Data'!$K$3:$K$722,MATCH($A441,'03 Raw Data'!$J$3:$J$722,0)),""))</f>
        <v/>
      </c>
      <c r="F441" s="24">
        <f>IF($A441="","",IFERROR(INDEX('03 Raw Data'!$N$3:$N$722,MATCH($A441,'03 Raw Data'!$M$3:$M$722,0)),""))</f>
        <v/>
      </c>
      <c r="G441" s="24">
        <f>IF($A441="","",IFERROR(INDEX('03 Raw Data'!$Q$3:$Q$722,MATCH($A441,'03 Raw Data'!$P$3:$P$722,0)),""))</f>
        <v/>
      </c>
      <c r="H441" s="24">
        <f>IF($A441="","",IFERROR(INDEX('03 Raw Data'!$T$3:$T$722,MATCH($A441,'03 Raw Data'!$S$3:$S$722,0)),""))</f>
        <v/>
      </c>
    </row>
    <row r="442">
      <c r="A442" s="23">
        <f>IFERROR(IF(OR('03 Raw Data'!A440="",'03 Raw Data'!A440=0),"",'03 Raw Data'!A440),"")</f>
        <v/>
      </c>
      <c r="B442" s="24">
        <f>IF($A442="","",IFERROR(INDEX('03 Raw Data'!$B$3:$B$722,MATCH($A442,'03 Raw Data'!$A$3:$A$722,0)),""))</f>
        <v/>
      </c>
      <c r="C442" s="24">
        <f>IF($A442="","",IFERROR(INDEX('03 Raw Data'!$E$3:$E$722,MATCH($A442,'03 Raw Data'!$D$3:$D$722,0)),""))</f>
        <v/>
      </c>
      <c r="D442" s="24">
        <f>IF($A442="","",IFERROR(INDEX('03 Raw Data'!$H$3:$H$722,MATCH($A442,'03 Raw Data'!$G$3:$G$722,0)),""))</f>
        <v/>
      </c>
      <c r="E442" s="24">
        <f>IF($A442="","",IFERROR(INDEX('03 Raw Data'!$K$3:$K$722,MATCH($A442,'03 Raw Data'!$J$3:$J$722,0)),""))</f>
        <v/>
      </c>
      <c r="F442" s="24">
        <f>IF($A442="","",IFERROR(INDEX('03 Raw Data'!$N$3:$N$722,MATCH($A442,'03 Raw Data'!$M$3:$M$722,0)),""))</f>
        <v/>
      </c>
      <c r="G442" s="24">
        <f>IF($A442="","",IFERROR(INDEX('03 Raw Data'!$Q$3:$Q$722,MATCH($A442,'03 Raw Data'!$P$3:$P$722,0)),""))</f>
        <v/>
      </c>
      <c r="H442" s="24">
        <f>IF($A442="","",IFERROR(INDEX('03 Raw Data'!$T$3:$T$722,MATCH($A442,'03 Raw Data'!$S$3:$S$722,0)),""))</f>
        <v/>
      </c>
    </row>
    <row r="443">
      <c r="A443" s="23">
        <f>IFERROR(IF(OR('03 Raw Data'!A441="",'03 Raw Data'!A441=0),"",'03 Raw Data'!A441),"")</f>
        <v/>
      </c>
      <c r="B443" s="24">
        <f>IF($A443="","",IFERROR(INDEX('03 Raw Data'!$B$3:$B$722,MATCH($A443,'03 Raw Data'!$A$3:$A$722,0)),""))</f>
        <v/>
      </c>
      <c r="C443" s="24">
        <f>IF($A443="","",IFERROR(INDEX('03 Raw Data'!$E$3:$E$722,MATCH($A443,'03 Raw Data'!$D$3:$D$722,0)),""))</f>
        <v/>
      </c>
      <c r="D443" s="24">
        <f>IF($A443="","",IFERROR(INDEX('03 Raw Data'!$H$3:$H$722,MATCH($A443,'03 Raw Data'!$G$3:$G$722,0)),""))</f>
        <v/>
      </c>
      <c r="E443" s="24">
        <f>IF($A443="","",IFERROR(INDEX('03 Raw Data'!$K$3:$K$722,MATCH($A443,'03 Raw Data'!$J$3:$J$722,0)),""))</f>
        <v/>
      </c>
      <c r="F443" s="24">
        <f>IF($A443="","",IFERROR(INDEX('03 Raw Data'!$N$3:$N$722,MATCH($A443,'03 Raw Data'!$M$3:$M$722,0)),""))</f>
        <v/>
      </c>
      <c r="G443" s="24">
        <f>IF($A443="","",IFERROR(INDEX('03 Raw Data'!$Q$3:$Q$722,MATCH($A443,'03 Raw Data'!$P$3:$P$722,0)),""))</f>
        <v/>
      </c>
      <c r="H443" s="24">
        <f>IF($A443="","",IFERROR(INDEX('03 Raw Data'!$T$3:$T$722,MATCH($A443,'03 Raw Data'!$S$3:$S$722,0)),""))</f>
        <v/>
      </c>
    </row>
    <row r="444">
      <c r="A444" s="23">
        <f>IFERROR(IF(OR('03 Raw Data'!A442="",'03 Raw Data'!A442=0),"",'03 Raw Data'!A442),"")</f>
        <v/>
      </c>
      <c r="B444" s="24">
        <f>IF($A444="","",IFERROR(INDEX('03 Raw Data'!$B$3:$B$722,MATCH($A444,'03 Raw Data'!$A$3:$A$722,0)),""))</f>
        <v/>
      </c>
      <c r="C444" s="24">
        <f>IF($A444="","",IFERROR(INDEX('03 Raw Data'!$E$3:$E$722,MATCH($A444,'03 Raw Data'!$D$3:$D$722,0)),""))</f>
        <v/>
      </c>
      <c r="D444" s="24">
        <f>IF($A444="","",IFERROR(INDEX('03 Raw Data'!$H$3:$H$722,MATCH($A444,'03 Raw Data'!$G$3:$G$722,0)),""))</f>
        <v/>
      </c>
      <c r="E444" s="24">
        <f>IF($A444="","",IFERROR(INDEX('03 Raw Data'!$K$3:$K$722,MATCH($A444,'03 Raw Data'!$J$3:$J$722,0)),""))</f>
        <v/>
      </c>
      <c r="F444" s="24">
        <f>IF($A444="","",IFERROR(INDEX('03 Raw Data'!$N$3:$N$722,MATCH($A444,'03 Raw Data'!$M$3:$M$722,0)),""))</f>
        <v/>
      </c>
      <c r="G444" s="24">
        <f>IF($A444="","",IFERROR(INDEX('03 Raw Data'!$Q$3:$Q$722,MATCH($A444,'03 Raw Data'!$P$3:$P$722,0)),""))</f>
        <v/>
      </c>
      <c r="H444" s="24">
        <f>IF($A444="","",IFERROR(INDEX('03 Raw Data'!$T$3:$T$722,MATCH($A444,'03 Raw Data'!$S$3:$S$722,0)),""))</f>
        <v/>
      </c>
    </row>
    <row r="445">
      <c r="A445" s="23">
        <f>IFERROR(IF(OR('03 Raw Data'!A443="",'03 Raw Data'!A443=0),"",'03 Raw Data'!A443),"")</f>
        <v/>
      </c>
      <c r="B445" s="24">
        <f>IF($A445="","",IFERROR(INDEX('03 Raw Data'!$B$3:$B$722,MATCH($A445,'03 Raw Data'!$A$3:$A$722,0)),""))</f>
        <v/>
      </c>
      <c r="C445" s="24">
        <f>IF($A445="","",IFERROR(INDEX('03 Raw Data'!$E$3:$E$722,MATCH($A445,'03 Raw Data'!$D$3:$D$722,0)),""))</f>
        <v/>
      </c>
      <c r="D445" s="24">
        <f>IF($A445="","",IFERROR(INDEX('03 Raw Data'!$H$3:$H$722,MATCH($A445,'03 Raw Data'!$G$3:$G$722,0)),""))</f>
        <v/>
      </c>
      <c r="E445" s="24">
        <f>IF($A445="","",IFERROR(INDEX('03 Raw Data'!$K$3:$K$722,MATCH($A445,'03 Raw Data'!$J$3:$J$722,0)),""))</f>
        <v/>
      </c>
      <c r="F445" s="24">
        <f>IF($A445="","",IFERROR(INDEX('03 Raw Data'!$N$3:$N$722,MATCH($A445,'03 Raw Data'!$M$3:$M$722,0)),""))</f>
        <v/>
      </c>
      <c r="G445" s="24">
        <f>IF($A445="","",IFERROR(INDEX('03 Raw Data'!$Q$3:$Q$722,MATCH($A445,'03 Raw Data'!$P$3:$P$722,0)),""))</f>
        <v/>
      </c>
      <c r="H445" s="24">
        <f>IF($A445="","",IFERROR(INDEX('03 Raw Data'!$T$3:$T$722,MATCH($A445,'03 Raw Data'!$S$3:$S$722,0)),""))</f>
        <v/>
      </c>
    </row>
    <row r="446">
      <c r="A446" s="23">
        <f>IFERROR(IF(OR('03 Raw Data'!A444="",'03 Raw Data'!A444=0),"",'03 Raw Data'!A444),"")</f>
        <v/>
      </c>
      <c r="B446" s="24">
        <f>IF($A446="","",IFERROR(INDEX('03 Raw Data'!$B$3:$B$722,MATCH($A446,'03 Raw Data'!$A$3:$A$722,0)),""))</f>
        <v/>
      </c>
      <c r="C446" s="24">
        <f>IF($A446="","",IFERROR(INDEX('03 Raw Data'!$E$3:$E$722,MATCH($A446,'03 Raw Data'!$D$3:$D$722,0)),""))</f>
        <v/>
      </c>
      <c r="D446" s="24">
        <f>IF($A446="","",IFERROR(INDEX('03 Raw Data'!$H$3:$H$722,MATCH($A446,'03 Raw Data'!$G$3:$G$722,0)),""))</f>
        <v/>
      </c>
      <c r="E446" s="24">
        <f>IF($A446="","",IFERROR(INDEX('03 Raw Data'!$K$3:$K$722,MATCH($A446,'03 Raw Data'!$J$3:$J$722,0)),""))</f>
        <v/>
      </c>
      <c r="F446" s="24">
        <f>IF($A446="","",IFERROR(INDEX('03 Raw Data'!$N$3:$N$722,MATCH($A446,'03 Raw Data'!$M$3:$M$722,0)),""))</f>
        <v/>
      </c>
      <c r="G446" s="24">
        <f>IF($A446="","",IFERROR(INDEX('03 Raw Data'!$Q$3:$Q$722,MATCH($A446,'03 Raw Data'!$P$3:$P$722,0)),""))</f>
        <v/>
      </c>
      <c r="H446" s="24">
        <f>IF($A446="","",IFERROR(INDEX('03 Raw Data'!$T$3:$T$722,MATCH($A446,'03 Raw Data'!$S$3:$S$722,0)),""))</f>
        <v/>
      </c>
    </row>
    <row r="447">
      <c r="A447" s="23">
        <f>IFERROR(IF(OR('03 Raw Data'!A445="",'03 Raw Data'!A445=0),"",'03 Raw Data'!A445),"")</f>
        <v/>
      </c>
      <c r="B447" s="24">
        <f>IF($A447="","",IFERROR(INDEX('03 Raw Data'!$B$3:$B$722,MATCH($A447,'03 Raw Data'!$A$3:$A$722,0)),""))</f>
        <v/>
      </c>
      <c r="C447" s="24">
        <f>IF($A447="","",IFERROR(INDEX('03 Raw Data'!$E$3:$E$722,MATCH($A447,'03 Raw Data'!$D$3:$D$722,0)),""))</f>
        <v/>
      </c>
      <c r="D447" s="24">
        <f>IF($A447="","",IFERROR(INDEX('03 Raw Data'!$H$3:$H$722,MATCH($A447,'03 Raw Data'!$G$3:$G$722,0)),""))</f>
        <v/>
      </c>
      <c r="E447" s="24">
        <f>IF($A447="","",IFERROR(INDEX('03 Raw Data'!$K$3:$K$722,MATCH($A447,'03 Raw Data'!$J$3:$J$722,0)),""))</f>
        <v/>
      </c>
      <c r="F447" s="24">
        <f>IF($A447="","",IFERROR(INDEX('03 Raw Data'!$N$3:$N$722,MATCH($A447,'03 Raw Data'!$M$3:$M$722,0)),""))</f>
        <v/>
      </c>
      <c r="G447" s="24">
        <f>IF($A447="","",IFERROR(INDEX('03 Raw Data'!$Q$3:$Q$722,MATCH($A447,'03 Raw Data'!$P$3:$P$722,0)),""))</f>
        <v/>
      </c>
      <c r="H447" s="24">
        <f>IF($A447="","",IFERROR(INDEX('03 Raw Data'!$T$3:$T$722,MATCH($A447,'03 Raw Data'!$S$3:$S$722,0)),""))</f>
        <v/>
      </c>
    </row>
    <row r="448">
      <c r="A448" s="23">
        <f>IFERROR(IF(OR('03 Raw Data'!A446="",'03 Raw Data'!A446=0),"",'03 Raw Data'!A446),"")</f>
        <v/>
      </c>
      <c r="B448" s="24">
        <f>IF($A448="","",IFERROR(INDEX('03 Raw Data'!$B$3:$B$722,MATCH($A448,'03 Raw Data'!$A$3:$A$722,0)),""))</f>
        <v/>
      </c>
      <c r="C448" s="24">
        <f>IF($A448="","",IFERROR(INDEX('03 Raw Data'!$E$3:$E$722,MATCH($A448,'03 Raw Data'!$D$3:$D$722,0)),""))</f>
        <v/>
      </c>
      <c r="D448" s="24">
        <f>IF($A448="","",IFERROR(INDEX('03 Raw Data'!$H$3:$H$722,MATCH($A448,'03 Raw Data'!$G$3:$G$722,0)),""))</f>
        <v/>
      </c>
      <c r="E448" s="24">
        <f>IF($A448="","",IFERROR(INDEX('03 Raw Data'!$K$3:$K$722,MATCH($A448,'03 Raw Data'!$J$3:$J$722,0)),""))</f>
        <v/>
      </c>
      <c r="F448" s="24">
        <f>IF($A448="","",IFERROR(INDEX('03 Raw Data'!$N$3:$N$722,MATCH($A448,'03 Raw Data'!$M$3:$M$722,0)),""))</f>
        <v/>
      </c>
      <c r="G448" s="24">
        <f>IF($A448="","",IFERROR(INDEX('03 Raw Data'!$Q$3:$Q$722,MATCH($A448,'03 Raw Data'!$P$3:$P$722,0)),""))</f>
        <v/>
      </c>
      <c r="H448" s="24">
        <f>IF($A448="","",IFERROR(INDEX('03 Raw Data'!$T$3:$T$722,MATCH($A448,'03 Raw Data'!$S$3:$S$722,0)),""))</f>
        <v/>
      </c>
    </row>
    <row r="449">
      <c r="A449" s="23">
        <f>IFERROR(IF(OR('03 Raw Data'!A447="",'03 Raw Data'!A447=0),"",'03 Raw Data'!A447),"")</f>
        <v/>
      </c>
      <c r="B449" s="24">
        <f>IF($A449="","",IFERROR(INDEX('03 Raw Data'!$B$3:$B$722,MATCH($A449,'03 Raw Data'!$A$3:$A$722,0)),""))</f>
        <v/>
      </c>
      <c r="C449" s="24">
        <f>IF($A449="","",IFERROR(INDEX('03 Raw Data'!$E$3:$E$722,MATCH($A449,'03 Raw Data'!$D$3:$D$722,0)),""))</f>
        <v/>
      </c>
      <c r="D449" s="24">
        <f>IF($A449="","",IFERROR(INDEX('03 Raw Data'!$H$3:$H$722,MATCH($A449,'03 Raw Data'!$G$3:$G$722,0)),""))</f>
        <v/>
      </c>
      <c r="E449" s="24">
        <f>IF($A449="","",IFERROR(INDEX('03 Raw Data'!$K$3:$K$722,MATCH($A449,'03 Raw Data'!$J$3:$J$722,0)),""))</f>
        <v/>
      </c>
      <c r="F449" s="24">
        <f>IF($A449="","",IFERROR(INDEX('03 Raw Data'!$N$3:$N$722,MATCH($A449,'03 Raw Data'!$M$3:$M$722,0)),""))</f>
        <v/>
      </c>
      <c r="G449" s="24">
        <f>IF($A449="","",IFERROR(INDEX('03 Raw Data'!$Q$3:$Q$722,MATCH($A449,'03 Raw Data'!$P$3:$P$722,0)),""))</f>
        <v/>
      </c>
      <c r="H449" s="24">
        <f>IF($A449="","",IFERROR(INDEX('03 Raw Data'!$T$3:$T$722,MATCH($A449,'03 Raw Data'!$S$3:$S$722,0)),""))</f>
        <v/>
      </c>
    </row>
    <row r="450">
      <c r="A450" s="23">
        <f>IFERROR(IF(OR('03 Raw Data'!A448="",'03 Raw Data'!A448=0),"",'03 Raw Data'!A448),"")</f>
        <v/>
      </c>
      <c r="B450" s="24">
        <f>IF($A450="","",IFERROR(INDEX('03 Raw Data'!$B$3:$B$722,MATCH($A450,'03 Raw Data'!$A$3:$A$722,0)),""))</f>
        <v/>
      </c>
      <c r="C450" s="24">
        <f>IF($A450="","",IFERROR(INDEX('03 Raw Data'!$E$3:$E$722,MATCH($A450,'03 Raw Data'!$D$3:$D$722,0)),""))</f>
        <v/>
      </c>
      <c r="D450" s="24">
        <f>IF($A450="","",IFERROR(INDEX('03 Raw Data'!$H$3:$H$722,MATCH($A450,'03 Raw Data'!$G$3:$G$722,0)),""))</f>
        <v/>
      </c>
      <c r="E450" s="24">
        <f>IF($A450="","",IFERROR(INDEX('03 Raw Data'!$K$3:$K$722,MATCH($A450,'03 Raw Data'!$J$3:$J$722,0)),""))</f>
        <v/>
      </c>
      <c r="F450" s="24">
        <f>IF($A450="","",IFERROR(INDEX('03 Raw Data'!$N$3:$N$722,MATCH($A450,'03 Raw Data'!$M$3:$M$722,0)),""))</f>
        <v/>
      </c>
      <c r="G450" s="24">
        <f>IF($A450="","",IFERROR(INDEX('03 Raw Data'!$Q$3:$Q$722,MATCH($A450,'03 Raw Data'!$P$3:$P$722,0)),""))</f>
        <v/>
      </c>
      <c r="H450" s="24">
        <f>IF($A450="","",IFERROR(INDEX('03 Raw Data'!$T$3:$T$722,MATCH($A450,'03 Raw Data'!$S$3:$S$722,0)),""))</f>
        <v/>
      </c>
    </row>
    <row r="451">
      <c r="A451" s="23">
        <f>IFERROR(IF(OR('03 Raw Data'!A449="",'03 Raw Data'!A449=0),"",'03 Raw Data'!A449),"")</f>
        <v/>
      </c>
      <c r="B451" s="24">
        <f>IF($A451="","",IFERROR(INDEX('03 Raw Data'!$B$3:$B$722,MATCH($A451,'03 Raw Data'!$A$3:$A$722,0)),""))</f>
        <v/>
      </c>
      <c r="C451" s="24">
        <f>IF($A451="","",IFERROR(INDEX('03 Raw Data'!$E$3:$E$722,MATCH($A451,'03 Raw Data'!$D$3:$D$722,0)),""))</f>
        <v/>
      </c>
      <c r="D451" s="24">
        <f>IF($A451="","",IFERROR(INDEX('03 Raw Data'!$H$3:$H$722,MATCH($A451,'03 Raw Data'!$G$3:$G$722,0)),""))</f>
        <v/>
      </c>
      <c r="E451" s="24">
        <f>IF($A451="","",IFERROR(INDEX('03 Raw Data'!$K$3:$K$722,MATCH($A451,'03 Raw Data'!$J$3:$J$722,0)),""))</f>
        <v/>
      </c>
      <c r="F451" s="24">
        <f>IF($A451="","",IFERROR(INDEX('03 Raw Data'!$N$3:$N$722,MATCH($A451,'03 Raw Data'!$M$3:$M$722,0)),""))</f>
        <v/>
      </c>
      <c r="G451" s="24">
        <f>IF($A451="","",IFERROR(INDEX('03 Raw Data'!$Q$3:$Q$722,MATCH($A451,'03 Raw Data'!$P$3:$P$722,0)),""))</f>
        <v/>
      </c>
      <c r="H451" s="24">
        <f>IF($A451="","",IFERROR(INDEX('03 Raw Data'!$T$3:$T$722,MATCH($A451,'03 Raw Data'!$S$3:$S$722,0)),""))</f>
        <v/>
      </c>
    </row>
    <row r="452">
      <c r="A452" s="23">
        <f>IFERROR(IF(OR('03 Raw Data'!A450="",'03 Raw Data'!A450=0),"",'03 Raw Data'!A450),"")</f>
        <v/>
      </c>
      <c r="B452" s="24">
        <f>IF($A452="","",IFERROR(INDEX('03 Raw Data'!$B$3:$B$722,MATCH($A452,'03 Raw Data'!$A$3:$A$722,0)),""))</f>
        <v/>
      </c>
      <c r="C452" s="24">
        <f>IF($A452="","",IFERROR(INDEX('03 Raw Data'!$E$3:$E$722,MATCH($A452,'03 Raw Data'!$D$3:$D$722,0)),""))</f>
        <v/>
      </c>
      <c r="D452" s="24">
        <f>IF($A452="","",IFERROR(INDEX('03 Raw Data'!$H$3:$H$722,MATCH($A452,'03 Raw Data'!$G$3:$G$722,0)),""))</f>
        <v/>
      </c>
      <c r="E452" s="24">
        <f>IF($A452="","",IFERROR(INDEX('03 Raw Data'!$K$3:$K$722,MATCH($A452,'03 Raw Data'!$J$3:$J$722,0)),""))</f>
        <v/>
      </c>
      <c r="F452" s="24">
        <f>IF($A452="","",IFERROR(INDEX('03 Raw Data'!$N$3:$N$722,MATCH($A452,'03 Raw Data'!$M$3:$M$722,0)),""))</f>
        <v/>
      </c>
      <c r="G452" s="24">
        <f>IF($A452="","",IFERROR(INDEX('03 Raw Data'!$Q$3:$Q$722,MATCH($A452,'03 Raw Data'!$P$3:$P$722,0)),""))</f>
        <v/>
      </c>
      <c r="H452" s="24">
        <f>IF($A452="","",IFERROR(INDEX('03 Raw Data'!$T$3:$T$722,MATCH($A452,'03 Raw Data'!$S$3:$S$722,0)),""))</f>
        <v/>
      </c>
    </row>
    <row r="453">
      <c r="A453" s="23">
        <f>IFERROR(IF(OR('03 Raw Data'!A451="",'03 Raw Data'!A451=0),"",'03 Raw Data'!A451),"")</f>
        <v/>
      </c>
      <c r="B453" s="24">
        <f>IF($A453="","",IFERROR(INDEX('03 Raw Data'!$B$3:$B$722,MATCH($A453,'03 Raw Data'!$A$3:$A$722,0)),""))</f>
        <v/>
      </c>
      <c r="C453" s="24">
        <f>IF($A453="","",IFERROR(INDEX('03 Raw Data'!$E$3:$E$722,MATCH($A453,'03 Raw Data'!$D$3:$D$722,0)),""))</f>
        <v/>
      </c>
      <c r="D453" s="24">
        <f>IF($A453="","",IFERROR(INDEX('03 Raw Data'!$H$3:$H$722,MATCH($A453,'03 Raw Data'!$G$3:$G$722,0)),""))</f>
        <v/>
      </c>
      <c r="E453" s="24">
        <f>IF($A453="","",IFERROR(INDEX('03 Raw Data'!$K$3:$K$722,MATCH($A453,'03 Raw Data'!$J$3:$J$722,0)),""))</f>
        <v/>
      </c>
      <c r="F453" s="24">
        <f>IF($A453="","",IFERROR(INDEX('03 Raw Data'!$N$3:$N$722,MATCH($A453,'03 Raw Data'!$M$3:$M$722,0)),""))</f>
        <v/>
      </c>
      <c r="G453" s="24">
        <f>IF($A453="","",IFERROR(INDEX('03 Raw Data'!$Q$3:$Q$722,MATCH($A453,'03 Raw Data'!$P$3:$P$722,0)),""))</f>
        <v/>
      </c>
      <c r="H453" s="24">
        <f>IF($A453="","",IFERROR(INDEX('03 Raw Data'!$T$3:$T$722,MATCH($A453,'03 Raw Data'!$S$3:$S$722,0)),""))</f>
        <v/>
      </c>
    </row>
    <row r="454">
      <c r="A454" s="23">
        <f>IFERROR(IF(OR('03 Raw Data'!A452="",'03 Raw Data'!A452=0),"",'03 Raw Data'!A452),"")</f>
        <v/>
      </c>
      <c r="B454" s="24">
        <f>IF($A454="","",IFERROR(INDEX('03 Raw Data'!$B$3:$B$722,MATCH($A454,'03 Raw Data'!$A$3:$A$722,0)),""))</f>
        <v/>
      </c>
      <c r="C454" s="24">
        <f>IF($A454="","",IFERROR(INDEX('03 Raw Data'!$E$3:$E$722,MATCH($A454,'03 Raw Data'!$D$3:$D$722,0)),""))</f>
        <v/>
      </c>
      <c r="D454" s="24">
        <f>IF($A454="","",IFERROR(INDEX('03 Raw Data'!$H$3:$H$722,MATCH($A454,'03 Raw Data'!$G$3:$G$722,0)),""))</f>
        <v/>
      </c>
      <c r="E454" s="24">
        <f>IF($A454="","",IFERROR(INDEX('03 Raw Data'!$K$3:$K$722,MATCH($A454,'03 Raw Data'!$J$3:$J$722,0)),""))</f>
        <v/>
      </c>
      <c r="F454" s="24">
        <f>IF($A454="","",IFERROR(INDEX('03 Raw Data'!$N$3:$N$722,MATCH($A454,'03 Raw Data'!$M$3:$M$722,0)),""))</f>
        <v/>
      </c>
      <c r="G454" s="24">
        <f>IF($A454="","",IFERROR(INDEX('03 Raw Data'!$Q$3:$Q$722,MATCH($A454,'03 Raw Data'!$P$3:$P$722,0)),""))</f>
        <v/>
      </c>
      <c r="H454" s="24">
        <f>IF($A454="","",IFERROR(INDEX('03 Raw Data'!$T$3:$T$722,MATCH($A454,'03 Raw Data'!$S$3:$S$722,0)),""))</f>
        <v/>
      </c>
    </row>
    <row r="455">
      <c r="A455" s="23">
        <f>IFERROR(IF(OR('03 Raw Data'!A453="",'03 Raw Data'!A453=0),"",'03 Raw Data'!A453),"")</f>
        <v/>
      </c>
      <c r="B455" s="24">
        <f>IF($A455="","",IFERROR(INDEX('03 Raw Data'!$B$3:$B$722,MATCH($A455,'03 Raw Data'!$A$3:$A$722,0)),""))</f>
        <v/>
      </c>
      <c r="C455" s="24">
        <f>IF($A455="","",IFERROR(INDEX('03 Raw Data'!$E$3:$E$722,MATCH($A455,'03 Raw Data'!$D$3:$D$722,0)),""))</f>
        <v/>
      </c>
      <c r="D455" s="24">
        <f>IF($A455="","",IFERROR(INDEX('03 Raw Data'!$H$3:$H$722,MATCH($A455,'03 Raw Data'!$G$3:$G$722,0)),""))</f>
        <v/>
      </c>
      <c r="E455" s="24">
        <f>IF($A455="","",IFERROR(INDEX('03 Raw Data'!$K$3:$K$722,MATCH($A455,'03 Raw Data'!$J$3:$J$722,0)),""))</f>
        <v/>
      </c>
      <c r="F455" s="24">
        <f>IF($A455="","",IFERROR(INDEX('03 Raw Data'!$N$3:$N$722,MATCH($A455,'03 Raw Data'!$M$3:$M$722,0)),""))</f>
        <v/>
      </c>
      <c r="G455" s="24">
        <f>IF($A455="","",IFERROR(INDEX('03 Raw Data'!$Q$3:$Q$722,MATCH($A455,'03 Raw Data'!$P$3:$P$722,0)),""))</f>
        <v/>
      </c>
      <c r="H455" s="24">
        <f>IF($A455="","",IFERROR(INDEX('03 Raw Data'!$T$3:$T$722,MATCH($A455,'03 Raw Data'!$S$3:$S$722,0)),""))</f>
        <v/>
      </c>
    </row>
    <row r="456">
      <c r="A456" s="23">
        <f>IFERROR(IF(OR('03 Raw Data'!A454="",'03 Raw Data'!A454=0),"",'03 Raw Data'!A454),"")</f>
        <v/>
      </c>
      <c r="B456" s="24">
        <f>IF($A456="","",IFERROR(INDEX('03 Raw Data'!$B$3:$B$722,MATCH($A456,'03 Raw Data'!$A$3:$A$722,0)),""))</f>
        <v/>
      </c>
      <c r="C456" s="24">
        <f>IF($A456="","",IFERROR(INDEX('03 Raw Data'!$E$3:$E$722,MATCH($A456,'03 Raw Data'!$D$3:$D$722,0)),""))</f>
        <v/>
      </c>
      <c r="D456" s="24">
        <f>IF($A456="","",IFERROR(INDEX('03 Raw Data'!$H$3:$H$722,MATCH($A456,'03 Raw Data'!$G$3:$G$722,0)),""))</f>
        <v/>
      </c>
      <c r="E456" s="24">
        <f>IF($A456="","",IFERROR(INDEX('03 Raw Data'!$K$3:$K$722,MATCH($A456,'03 Raw Data'!$J$3:$J$722,0)),""))</f>
        <v/>
      </c>
      <c r="F456" s="24">
        <f>IF($A456="","",IFERROR(INDEX('03 Raw Data'!$N$3:$N$722,MATCH($A456,'03 Raw Data'!$M$3:$M$722,0)),""))</f>
        <v/>
      </c>
      <c r="G456" s="24">
        <f>IF($A456="","",IFERROR(INDEX('03 Raw Data'!$Q$3:$Q$722,MATCH($A456,'03 Raw Data'!$P$3:$P$722,0)),""))</f>
        <v/>
      </c>
      <c r="H456" s="24">
        <f>IF($A456="","",IFERROR(INDEX('03 Raw Data'!$T$3:$T$722,MATCH($A456,'03 Raw Data'!$S$3:$S$722,0)),""))</f>
        <v/>
      </c>
    </row>
    <row r="457">
      <c r="A457" s="23">
        <f>IFERROR(IF(OR('03 Raw Data'!A455="",'03 Raw Data'!A455=0),"",'03 Raw Data'!A455),"")</f>
        <v/>
      </c>
      <c r="B457" s="24">
        <f>IF($A457="","",IFERROR(INDEX('03 Raw Data'!$B$3:$B$722,MATCH($A457,'03 Raw Data'!$A$3:$A$722,0)),""))</f>
        <v/>
      </c>
      <c r="C457" s="24">
        <f>IF($A457="","",IFERROR(INDEX('03 Raw Data'!$E$3:$E$722,MATCH($A457,'03 Raw Data'!$D$3:$D$722,0)),""))</f>
        <v/>
      </c>
      <c r="D457" s="24">
        <f>IF($A457="","",IFERROR(INDEX('03 Raw Data'!$H$3:$H$722,MATCH($A457,'03 Raw Data'!$G$3:$G$722,0)),""))</f>
        <v/>
      </c>
      <c r="E457" s="24">
        <f>IF($A457="","",IFERROR(INDEX('03 Raw Data'!$K$3:$K$722,MATCH($A457,'03 Raw Data'!$J$3:$J$722,0)),""))</f>
        <v/>
      </c>
      <c r="F457" s="24">
        <f>IF($A457="","",IFERROR(INDEX('03 Raw Data'!$N$3:$N$722,MATCH($A457,'03 Raw Data'!$M$3:$M$722,0)),""))</f>
        <v/>
      </c>
      <c r="G457" s="24">
        <f>IF($A457="","",IFERROR(INDEX('03 Raw Data'!$Q$3:$Q$722,MATCH($A457,'03 Raw Data'!$P$3:$P$722,0)),""))</f>
        <v/>
      </c>
      <c r="H457" s="24">
        <f>IF($A457="","",IFERROR(INDEX('03 Raw Data'!$T$3:$T$722,MATCH($A457,'03 Raw Data'!$S$3:$S$722,0)),""))</f>
        <v/>
      </c>
    </row>
    <row r="458">
      <c r="A458" s="23">
        <f>IFERROR(IF(OR('03 Raw Data'!A456="",'03 Raw Data'!A456=0),"",'03 Raw Data'!A456),"")</f>
        <v/>
      </c>
      <c r="B458" s="24">
        <f>IF($A458="","",IFERROR(INDEX('03 Raw Data'!$B$3:$B$722,MATCH($A458,'03 Raw Data'!$A$3:$A$722,0)),""))</f>
        <v/>
      </c>
      <c r="C458" s="24">
        <f>IF($A458="","",IFERROR(INDEX('03 Raw Data'!$E$3:$E$722,MATCH($A458,'03 Raw Data'!$D$3:$D$722,0)),""))</f>
        <v/>
      </c>
      <c r="D458" s="24">
        <f>IF($A458="","",IFERROR(INDEX('03 Raw Data'!$H$3:$H$722,MATCH($A458,'03 Raw Data'!$G$3:$G$722,0)),""))</f>
        <v/>
      </c>
      <c r="E458" s="24">
        <f>IF($A458="","",IFERROR(INDEX('03 Raw Data'!$K$3:$K$722,MATCH($A458,'03 Raw Data'!$J$3:$J$722,0)),""))</f>
        <v/>
      </c>
      <c r="F458" s="24">
        <f>IF($A458="","",IFERROR(INDEX('03 Raw Data'!$N$3:$N$722,MATCH($A458,'03 Raw Data'!$M$3:$M$722,0)),""))</f>
        <v/>
      </c>
      <c r="G458" s="24">
        <f>IF($A458="","",IFERROR(INDEX('03 Raw Data'!$Q$3:$Q$722,MATCH($A458,'03 Raw Data'!$P$3:$P$722,0)),""))</f>
        <v/>
      </c>
      <c r="H458" s="24">
        <f>IF($A458="","",IFERROR(INDEX('03 Raw Data'!$T$3:$T$722,MATCH($A458,'03 Raw Data'!$S$3:$S$722,0)),""))</f>
        <v/>
      </c>
    </row>
    <row r="459">
      <c r="A459" s="23">
        <f>IFERROR(IF(OR('03 Raw Data'!A457="",'03 Raw Data'!A457=0),"",'03 Raw Data'!A457),"")</f>
        <v/>
      </c>
      <c r="B459" s="24">
        <f>IF($A459="","",IFERROR(INDEX('03 Raw Data'!$B$3:$B$722,MATCH($A459,'03 Raw Data'!$A$3:$A$722,0)),""))</f>
        <v/>
      </c>
      <c r="C459" s="24">
        <f>IF($A459="","",IFERROR(INDEX('03 Raw Data'!$E$3:$E$722,MATCH($A459,'03 Raw Data'!$D$3:$D$722,0)),""))</f>
        <v/>
      </c>
      <c r="D459" s="24">
        <f>IF($A459="","",IFERROR(INDEX('03 Raw Data'!$H$3:$H$722,MATCH($A459,'03 Raw Data'!$G$3:$G$722,0)),""))</f>
        <v/>
      </c>
      <c r="E459" s="24">
        <f>IF($A459="","",IFERROR(INDEX('03 Raw Data'!$K$3:$K$722,MATCH($A459,'03 Raw Data'!$J$3:$J$722,0)),""))</f>
        <v/>
      </c>
      <c r="F459" s="24">
        <f>IF($A459="","",IFERROR(INDEX('03 Raw Data'!$N$3:$N$722,MATCH($A459,'03 Raw Data'!$M$3:$M$722,0)),""))</f>
        <v/>
      </c>
      <c r="G459" s="24">
        <f>IF($A459="","",IFERROR(INDEX('03 Raw Data'!$Q$3:$Q$722,MATCH($A459,'03 Raw Data'!$P$3:$P$722,0)),""))</f>
        <v/>
      </c>
      <c r="H459" s="24">
        <f>IF($A459="","",IFERROR(INDEX('03 Raw Data'!$T$3:$T$722,MATCH($A459,'03 Raw Data'!$S$3:$S$722,0)),""))</f>
        <v/>
      </c>
    </row>
    <row r="460">
      <c r="A460" s="23">
        <f>IFERROR(IF(OR('03 Raw Data'!A458="",'03 Raw Data'!A458=0),"",'03 Raw Data'!A458),"")</f>
        <v/>
      </c>
      <c r="B460" s="24">
        <f>IF($A460="","",IFERROR(INDEX('03 Raw Data'!$B$3:$B$722,MATCH($A460,'03 Raw Data'!$A$3:$A$722,0)),""))</f>
        <v/>
      </c>
      <c r="C460" s="24">
        <f>IF($A460="","",IFERROR(INDEX('03 Raw Data'!$E$3:$E$722,MATCH($A460,'03 Raw Data'!$D$3:$D$722,0)),""))</f>
        <v/>
      </c>
      <c r="D460" s="24">
        <f>IF($A460="","",IFERROR(INDEX('03 Raw Data'!$H$3:$H$722,MATCH($A460,'03 Raw Data'!$G$3:$G$722,0)),""))</f>
        <v/>
      </c>
      <c r="E460" s="24">
        <f>IF($A460="","",IFERROR(INDEX('03 Raw Data'!$K$3:$K$722,MATCH($A460,'03 Raw Data'!$J$3:$J$722,0)),""))</f>
        <v/>
      </c>
      <c r="F460" s="24">
        <f>IF($A460="","",IFERROR(INDEX('03 Raw Data'!$N$3:$N$722,MATCH($A460,'03 Raw Data'!$M$3:$M$722,0)),""))</f>
        <v/>
      </c>
      <c r="G460" s="24">
        <f>IF($A460="","",IFERROR(INDEX('03 Raw Data'!$Q$3:$Q$722,MATCH($A460,'03 Raw Data'!$P$3:$P$722,0)),""))</f>
        <v/>
      </c>
      <c r="H460" s="24">
        <f>IF($A460="","",IFERROR(INDEX('03 Raw Data'!$T$3:$T$722,MATCH($A460,'03 Raw Data'!$S$3:$S$722,0)),""))</f>
        <v/>
      </c>
    </row>
    <row r="461">
      <c r="A461" s="23">
        <f>IFERROR(IF(OR('03 Raw Data'!A459="",'03 Raw Data'!A459=0),"",'03 Raw Data'!A459),"")</f>
        <v/>
      </c>
      <c r="B461" s="24">
        <f>IF($A461="","",IFERROR(INDEX('03 Raw Data'!$B$3:$B$722,MATCH($A461,'03 Raw Data'!$A$3:$A$722,0)),""))</f>
        <v/>
      </c>
      <c r="C461" s="24">
        <f>IF($A461="","",IFERROR(INDEX('03 Raw Data'!$E$3:$E$722,MATCH($A461,'03 Raw Data'!$D$3:$D$722,0)),""))</f>
        <v/>
      </c>
      <c r="D461" s="24">
        <f>IF($A461="","",IFERROR(INDEX('03 Raw Data'!$H$3:$H$722,MATCH($A461,'03 Raw Data'!$G$3:$G$722,0)),""))</f>
        <v/>
      </c>
      <c r="E461" s="24">
        <f>IF($A461="","",IFERROR(INDEX('03 Raw Data'!$K$3:$K$722,MATCH($A461,'03 Raw Data'!$J$3:$J$722,0)),""))</f>
        <v/>
      </c>
      <c r="F461" s="24">
        <f>IF($A461="","",IFERROR(INDEX('03 Raw Data'!$N$3:$N$722,MATCH($A461,'03 Raw Data'!$M$3:$M$722,0)),""))</f>
        <v/>
      </c>
      <c r="G461" s="24">
        <f>IF($A461="","",IFERROR(INDEX('03 Raw Data'!$Q$3:$Q$722,MATCH($A461,'03 Raw Data'!$P$3:$P$722,0)),""))</f>
        <v/>
      </c>
      <c r="H461" s="24">
        <f>IF($A461="","",IFERROR(INDEX('03 Raw Data'!$T$3:$T$722,MATCH($A461,'03 Raw Data'!$S$3:$S$722,0)),""))</f>
        <v/>
      </c>
    </row>
    <row r="462">
      <c r="A462" s="23">
        <f>IFERROR(IF(OR('03 Raw Data'!A460="",'03 Raw Data'!A460=0),"",'03 Raw Data'!A460),"")</f>
        <v/>
      </c>
      <c r="B462" s="24">
        <f>IF($A462="","",IFERROR(INDEX('03 Raw Data'!$B$3:$B$722,MATCH($A462,'03 Raw Data'!$A$3:$A$722,0)),""))</f>
        <v/>
      </c>
      <c r="C462" s="24">
        <f>IF($A462="","",IFERROR(INDEX('03 Raw Data'!$E$3:$E$722,MATCH($A462,'03 Raw Data'!$D$3:$D$722,0)),""))</f>
        <v/>
      </c>
      <c r="D462" s="24">
        <f>IF($A462="","",IFERROR(INDEX('03 Raw Data'!$H$3:$H$722,MATCH($A462,'03 Raw Data'!$G$3:$G$722,0)),""))</f>
        <v/>
      </c>
      <c r="E462" s="24">
        <f>IF($A462="","",IFERROR(INDEX('03 Raw Data'!$K$3:$K$722,MATCH($A462,'03 Raw Data'!$J$3:$J$722,0)),""))</f>
        <v/>
      </c>
      <c r="F462" s="24">
        <f>IF($A462="","",IFERROR(INDEX('03 Raw Data'!$N$3:$N$722,MATCH($A462,'03 Raw Data'!$M$3:$M$722,0)),""))</f>
        <v/>
      </c>
      <c r="G462" s="24">
        <f>IF($A462="","",IFERROR(INDEX('03 Raw Data'!$Q$3:$Q$722,MATCH($A462,'03 Raw Data'!$P$3:$P$722,0)),""))</f>
        <v/>
      </c>
      <c r="H462" s="24">
        <f>IF($A462="","",IFERROR(INDEX('03 Raw Data'!$T$3:$T$722,MATCH($A462,'03 Raw Data'!$S$3:$S$722,0)),""))</f>
        <v/>
      </c>
    </row>
    <row r="463">
      <c r="A463" s="23">
        <f>IFERROR(IF(OR('03 Raw Data'!A461="",'03 Raw Data'!A461=0),"",'03 Raw Data'!A461),"")</f>
        <v/>
      </c>
      <c r="B463" s="24">
        <f>IF($A463="","",IFERROR(INDEX('03 Raw Data'!$B$3:$B$722,MATCH($A463,'03 Raw Data'!$A$3:$A$722,0)),""))</f>
        <v/>
      </c>
      <c r="C463" s="24">
        <f>IF($A463="","",IFERROR(INDEX('03 Raw Data'!$E$3:$E$722,MATCH($A463,'03 Raw Data'!$D$3:$D$722,0)),""))</f>
        <v/>
      </c>
      <c r="D463" s="24">
        <f>IF($A463="","",IFERROR(INDEX('03 Raw Data'!$H$3:$H$722,MATCH($A463,'03 Raw Data'!$G$3:$G$722,0)),""))</f>
        <v/>
      </c>
      <c r="E463" s="24">
        <f>IF($A463="","",IFERROR(INDEX('03 Raw Data'!$K$3:$K$722,MATCH($A463,'03 Raw Data'!$J$3:$J$722,0)),""))</f>
        <v/>
      </c>
      <c r="F463" s="24">
        <f>IF($A463="","",IFERROR(INDEX('03 Raw Data'!$N$3:$N$722,MATCH($A463,'03 Raw Data'!$M$3:$M$722,0)),""))</f>
        <v/>
      </c>
      <c r="G463" s="24">
        <f>IF($A463="","",IFERROR(INDEX('03 Raw Data'!$Q$3:$Q$722,MATCH($A463,'03 Raw Data'!$P$3:$P$722,0)),""))</f>
        <v/>
      </c>
      <c r="H463" s="24">
        <f>IF($A463="","",IFERROR(INDEX('03 Raw Data'!$T$3:$T$722,MATCH($A463,'03 Raw Data'!$S$3:$S$722,0)),""))</f>
        <v/>
      </c>
    </row>
    <row r="464">
      <c r="A464" s="23">
        <f>IFERROR(IF(OR('03 Raw Data'!A462="",'03 Raw Data'!A462=0),"",'03 Raw Data'!A462),"")</f>
        <v/>
      </c>
      <c r="B464" s="24">
        <f>IF($A464="","",IFERROR(INDEX('03 Raw Data'!$B$3:$B$722,MATCH($A464,'03 Raw Data'!$A$3:$A$722,0)),""))</f>
        <v/>
      </c>
      <c r="C464" s="24">
        <f>IF($A464="","",IFERROR(INDEX('03 Raw Data'!$E$3:$E$722,MATCH($A464,'03 Raw Data'!$D$3:$D$722,0)),""))</f>
        <v/>
      </c>
      <c r="D464" s="24">
        <f>IF($A464="","",IFERROR(INDEX('03 Raw Data'!$H$3:$H$722,MATCH($A464,'03 Raw Data'!$G$3:$G$722,0)),""))</f>
        <v/>
      </c>
      <c r="E464" s="24">
        <f>IF($A464="","",IFERROR(INDEX('03 Raw Data'!$K$3:$K$722,MATCH($A464,'03 Raw Data'!$J$3:$J$722,0)),""))</f>
        <v/>
      </c>
      <c r="F464" s="24">
        <f>IF($A464="","",IFERROR(INDEX('03 Raw Data'!$N$3:$N$722,MATCH($A464,'03 Raw Data'!$M$3:$M$722,0)),""))</f>
        <v/>
      </c>
      <c r="G464" s="24">
        <f>IF($A464="","",IFERROR(INDEX('03 Raw Data'!$Q$3:$Q$722,MATCH($A464,'03 Raw Data'!$P$3:$P$722,0)),""))</f>
        <v/>
      </c>
      <c r="H464" s="24">
        <f>IF($A464="","",IFERROR(INDEX('03 Raw Data'!$T$3:$T$722,MATCH($A464,'03 Raw Data'!$S$3:$S$722,0)),""))</f>
        <v/>
      </c>
    </row>
    <row r="465">
      <c r="A465" s="23">
        <f>IFERROR(IF(OR('03 Raw Data'!A463="",'03 Raw Data'!A463=0),"",'03 Raw Data'!A463),"")</f>
        <v/>
      </c>
      <c r="B465" s="24">
        <f>IF($A465="","",IFERROR(INDEX('03 Raw Data'!$B$3:$B$722,MATCH($A465,'03 Raw Data'!$A$3:$A$722,0)),""))</f>
        <v/>
      </c>
      <c r="C465" s="24">
        <f>IF($A465="","",IFERROR(INDEX('03 Raw Data'!$E$3:$E$722,MATCH($A465,'03 Raw Data'!$D$3:$D$722,0)),""))</f>
        <v/>
      </c>
      <c r="D465" s="24">
        <f>IF($A465="","",IFERROR(INDEX('03 Raw Data'!$H$3:$H$722,MATCH($A465,'03 Raw Data'!$G$3:$G$722,0)),""))</f>
        <v/>
      </c>
      <c r="E465" s="24">
        <f>IF($A465="","",IFERROR(INDEX('03 Raw Data'!$K$3:$K$722,MATCH($A465,'03 Raw Data'!$J$3:$J$722,0)),""))</f>
        <v/>
      </c>
      <c r="F465" s="24">
        <f>IF($A465="","",IFERROR(INDEX('03 Raw Data'!$N$3:$N$722,MATCH($A465,'03 Raw Data'!$M$3:$M$722,0)),""))</f>
        <v/>
      </c>
      <c r="G465" s="24">
        <f>IF($A465="","",IFERROR(INDEX('03 Raw Data'!$Q$3:$Q$722,MATCH($A465,'03 Raw Data'!$P$3:$P$722,0)),""))</f>
        <v/>
      </c>
      <c r="H465" s="24">
        <f>IF($A465="","",IFERROR(INDEX('03 Raw Data'!$T$3:$T$722,MATCH($A465,'03 Raw Data'!$S$3:$S$722,0)),""))</f>
        <v/>
      </c>
    </row>
    <row r="466">
      <c r="A466" s="23">
        <f>IFERROR(IF(OR('03 Raw Data'!A464="",'03 Raw Data'!A464=0),"",'03 Raw Data'!A464),"")</f>
        <v/>
      </c>
      <c r="B466" s="24">
        <f>IF($A466="","",IFERROR(INDEX('03 Raw Data'!$B$3:$B$722,MATCH($A466,'03 Raw Data'!$A$3:$A$722,0)),""))</f>
        <v/>
      </c>
      <c r="C466" s="24">
        <f>IF($A466="","",IFERROR(INDEX('03 Raw Data'!$E$3:$E$722,MATCH($A466,'03 Raw Data'!$D$3:$D$722,0)),""))</f>
        <v/>
      </c>
      <c r="D466" s="24">
        <f>IF($A466="","",IFERROR(INDEX('03 Raw Data'!$H$3:$H$722,MATCH($A466,'03 Raw Data'!$G$3:$G$722,0)),""))</f>
        <v/>
      </c>
      <c r="E466" s="24">
        <f>IF($A466="","",IFERROR(INDEX('03 Raw Data'!$K$3:$K$722,MATCH($A466,'03 Raw Data'!$J$3:$J$722,0)),""))</f>
        <v/>
      </c>
      <c r="F466" s="24">
        <f>IF($A466="","",IFERROR(INDEX('03 Raw Data'!$N$3:$N$722,MATCH($A466,'03 Raw Data'!$M$3:$M$722,0)),""))</f>
        <v/>
      </c>
      <c r="G466" s="24">
        <f>IF($A466="","",IFERROR(INDEX('03 Raw Data'!$Q$3:$Q$722,MATCH($A466,'03 Raw Data'!$P$3:$P$722,0)),""))</f>
        <v/>
      </c>
      <c r="H466" s="24">
        <f>IF($A466="","",IFERROR(INDEX('03 Raw Data'!$T$3:$T$722,MATCH($A466,'03 Raw Data'!$S$3:$S$722,0)),""))</f>
        <v/>
      </c>
    </row>
    <row r="467">
      <c r="A467" s="23">
        <f>IFERROR(IF(OR('03 Raw Data'!A465="",'03 Raw Data'!A465=0),"",'03 Raw Data'!A465),"")</f>
        <v/>
      </c>
      <c r="B467" s="24">
        <f>IF($A467="","",IFERROR(INDEX('03 Raw Data'!$B$3:$B$722,MATCH($A467,'03 Raw Data'!$A$3:$A$722,0)),""))</f>
        <v/>
      </c>
      <c r="C467" s="24">
        <f>IF($A467="","",IFERROR(INDEX('03 Raw Data'!$E$3:$E$722,MATCH($A467,'03 Raw Data'!$D$3:$D$722,0)),""))</f>
        <v/>
      </c>
      <c r="D467" s="24">
        <f>IF($A467="","",IFERROR(INDEX('03 Raw Data'!$H$3:$H$722,MATCH($A467,'03 Raw Data'!$G$3:$G$722,0)),""))</f>
        <v/>
      </c>
      <c r="E467" s="24">
        <f>IF($A467="","",IFERROR(INDEX('03 Raw Data'!$K$3:$K$722,MATCH($A467,'03 Raw Data'!$J$3:$J$722,0)),""))</f>
        <v/>
      </c>
      <c r="F467" s="24">
        <f>IF($A467="","",IFERROR(INDEX('03 Raw Data'!$N$3:$N$722,MATCH($A467,'03 Raw Data'!$M$3:$M$722,0)),""))</f>
        <v/>
      </c>
      <c r="G467" s="24">
        <f>IF($A467="","",IFERROR(INDEX('03 Raw Data'!$Q$3:$Q$722,MATCH($A467,'03 Raw Data'!$P$3:$P$722,0)),""))</f>
        <v/>
      </c>
      <c r="H467" s="24">
        <f>IF($A467="","",IFERROR(INDEX('03 Raw Data'!$T$3:$T$722,MATCH($A467,'03 Raw Data'!$S$3:$S$722,0)),""))</f>
        <v/>
      </c>
    </row>
    <row r="468">
      <c r="A468" s="23">
        <f>IFERROR(IF(OR('03 Raw Data'!A466="",'03 Raw Data'!A466=0),"",'03 Raw Data'!A466),"")</f>
        <v/>
      </c>
      <c r="B468" s="24">
        <f>IF($A468="","",IFERROR(INDEX('03 Raw Data'!$B$3:$B$722,MATCH($A468,'03 Raw Data'!$A$3:$A$722,0)),""))</f>
        <v/>
      </c>
      <c r="C468" s="24">
        <f>IF($A468="","",IFERROR(INDEX('03 Raw Data'!$E$3:$E$722,MATCH($A468,'03 Raw Data'!$D$3:$D$722,0)),""))</f>
        <v/>
      </c>
      <c r="D468" s="24">
        <f>IF($A468="","",IFERROR(INDEX('03 Raw Data'!$H$3:$H$722,MATCH($A468,'03 Raw Data'!$G$3:$G$722,0)),""))</f>
        <v/>
      </c>
      <c r="E468" s="24">
        <f>IF($A468="","",IFERROR(INDEX('03 Raw Data'!$K$3:$K$722,MATCH($A468,'03 Raw Data'!$J$3:$J$722,0)),""))</f>
        <v/>
      </c>
      <c r="F468" s="24">
        <f>IF($A468="","",IFERROR(INDEX('03 Raw Data'!$N$3:$N$722,MATCH($A468,'03 Raw Data'!$M$3:$M$722,0)),""))</f>
        <v/>
      </c>
      <c r="G468" s="24">
        <f>IF($A468="","",IFERROR(INDEX('03 Raw Data'!$Q$3:$Q$722,MATCH($A468,'03 Raw Data'!$P$3:$P$722,0)),""))</f>
        <v/>
      </c>
      <c r="H468" s="24">
        <f>IF($A468="","",IFERROR(INDEX('03 Raw Data'!$T$3:$T$722,MATCH($A468,'03 Raw Data'!$S$3:$S$722,0)),""))</f>
        <v/>
      </c>
    </row>
    <row r="469">
      <c r="A469" s="23">
        <f>IFERROR(IF(OR('03 Raw Data'!A467="",'03 Raw Data'!A467=0),"",'03 Raw Data'!A467),"")</f>
        <v/>
      </c>
      <c r="B469" s="24">
        <f>IF($A469="","",IFERROR(INDEX('03 Raw Data'!$B$3:$B$722,MATCH($A469,'03 Raw Data'!$A$3:$A$722,0)),""))</f>
        <v/>
      </c>
      <c r="C469" s="24">
        <f>IF($A469="","",IFERROR(INDEX('03 Raw Data'!$E$3:$E$722,MATCH($A469,'03 Raw Data'!$D$3:$D$722,0)),""))</f>
        <v/>
      </c>
      <c r="D469" s="24">
        <f>IF($A469="","",IFERROR(INDEX('03 Raw Data'!$H$3:$H$722,MATCH($A469,'03 Raw Data'!$G$3:$G$722,0)),""))</f>
        <v/>
      </c>
      <c r="E469" s="24">
        <f>IF($A469="","",IFERROR(INDEX('03 Raw Data'!$K$3:$K$722,MATCH($A469,'03 Raw Data'!$J$3:$J$722,0)),""))</f>
        <v/>
      </c>
      <c r="F469" s="24">
        <f>IF($A469="","",IFERROR(INDEX('03 Raw Data'!$N$3:$N$722,MATCH($A469,'03 Raw Data'!$M$3:$M$722,0)),""))</f>
        <v/>
      </c>
      <c r="G469" s="24">
        <f>IF($A469="","",IFERROR(INDEX('03 Raw Data'!$Q$3:$Q$722,MATCH($A469,'03 Raw Data'!$P$3:$P$722,0)),""))</f>
        <v/>
      </c>
      <c r="H469" s="24">
        <f>IF($A469="","",IFERROR(INDEX('03 Raw Data'!$T$3:$T$722,MATCH($A469,'03 Raw Data'!$S$3:$S$722,0)),""))</f>
        <v/>
      </c>
    </row>
    <row r="470">
      <c r="A470" s="23">
        <f>IFERROR(IF(OR('03 Raw Data'!A468="",'03 Raw Data'!A468=0),"",'03 Raw Data'!A468),"")</f>
        <v/>
      </c>
      <c r="B470" s="24">
        <f>IF($A470="","",IFERROR(INDEX('03 Raw Data'!$B$3:$B$722,MATCH($A470,'03 Raw Data'!$A$3:$A$722,0)),""))</f>
        <v/>
      </c>
      <c r="C470" s="24">
        <f>IF($A470="","",IFERROR(INDEX('03 Raw Data'!$E$3:$E$722,MATCH($A470,'03 Raw Data'!$D$3:$D$722,0)),""))</f>
        <v/>
      </c>
      <c r="D470" s="24">
        <f>IF($A470="","",IFERROR(INDEX('03 Raw Data'!$H$3:$H$722,MATCH($A470,'03 Raw Data'!$G$3:$G$722,0)),""))</f>
        <v/>
      </c>
      <c r="E470" s="24">
        <f>IF($A470="","",IFERROR(INDEX('03 Raw Data'!$K$3:$K$722,MATCH($A470,'03 Raw Data'!$J$3:$J$722,0)),""))</f>
        <v/>
      </c>
      <c r="F470" s="24">
        <f>IF($A470="","",IFERROR(INDEX('03 Raw Data'!$N$3:$N$722,MATCH($A470,'03 Raw Data'!$M$3:$M$722,0)),""))</f>
        <v/>
      </c>
      <c r="G470" s="24">
        <f>IF($A470="","",IFERROR(INDEX('03 Raw Data'!$Q$3:$Q$722,MATCH($A470,'03 Raw Data'!$P$3:$P$722,0)),""))</f>
        <v/>
      </c>
      <c r="H470" s="24">
        <f>IF($A470="","",IFERROR(INDEX('03 Raw Data'!$T$3:$T$722,MATCH($A470,'03 Raw Data'!$S$3:$S$722,0)),""))</f>
        <v/>
      </c>
    </row>
    <row r="471">
      <c r="A471" s="23">
        <f>IFERROR(IF(OR('03 Raw Data'!A469="",'03 Raw Data'!A469=0),"",'03 Raw Data'!A469),"")</f>
        <v/>
      </c>
      <c r="B471" s="24">
        <f>IF($A471="","",IFERROR(INDEX('03 Raw Data'!$B$3:$B$722,MATCH($A471,'03 Raw Data'!$A$3:$A$722,0)),""))</f>
        <v/>
      </c>
      <c r="C471" s="24">
        <f>IF($A471="","",IFERROR(INDEX('03 Raw Data'!$E$3:$E$722,MATCH($A471,'03 Raw Data'!$D$3:$D$722,0)),""))</f>
        <v/>
      </c>
      <c r="D471" s="24">
        <f>IF($A471="","",IFERROR(INDEX('03 Raw Data'!$H$3:$H$722,MATCH($A471,'03 Raw Data'!$G$3:$G$722,0)),""))</f>
        <v/>
      </c>
      <c r="E471" s="24">
        <f>IF($A471="","",IFERROR(INDEX('03 Raw Data'!$K$3:$K$722,MATCH($A471,'03 Raw Data'!$J$3:$J$722,0)),""))</f>
        <v/>
      </c>
      <c r="F471" s="24">
        <f>IF($A471="","",IFERROR(INDEX('03 Raw Data'!$N$3:$N$722,MATCH($A471,'03 Raw Data'!$M$3:$M$722,0)),""))</f>
        <v/>
      </c>
      <c r="G471" s="24">
        <f>IF($A471="","",IFERROR(INDEX('03 Raw Data'!$Q$3:$Q$722,MATCH($A471,'03 Raw Data'!$P$3:$P$722,0)),""))</f>
        <v/>
      </c>
      <c r="H471" s="24">
        <f>IF($A471="","",IFERROR(INDEX('03 Raw Data'!$T$3:$T$722,MATCH($A471,'03 Raw Data'!$S$3:$S$722,0)),""))</f>
        <v/>
      </c>
    </row>
    <row r="472">
      <c r="A472" s="23">
        <f>IFERROR(IF(OR('03 Raw Data'!A470="",'03 Raw Data'!A470=0),"",'03 Raw Data'!A470),"")</f>
        <v/>
      </c>
      <c r="B472" s="24">
        <f>IF($A472="","",IFERROR(INDEX('03 Raw Data'!$B$3:$B$722,MATCH($A472,'03 Raw Data'!$A$3:$A$722,0)),""))</f>
        <v/>
      </c>
      <c r="C472" s="24">
        <f>IF($A472="","",IFERROR(INDEX('03 Raw Data'!$E$3:$E$722,MATCH($A472,'03 Raw Data'!$D$3:$D$722,0)),""))</f>
        <v/>
      </c>
      <c r="D472" s="24">
        <f>IF($A472="","",IFERROR(INDEX('03 Raw Data'!$H$3:$H$722,MATCH($A472,'03 Raw Data'!$G$3:$G$722,0)),""))</f>
        <v/>
      </c>
      <c r="E472" s="24">
        <f>IF($A472="","",IFERROR(INDEX('03 Raw Data'!$K$3:$K$722,MATCH($A472,'03 Raw Data'!$J$3:$J$722,0)),""))</f>
        <v/>
      </c>
      <c r="F472" s="24">
        <f>IF($A472="","",IFERROR(INDEX('03 Raw Data'!$N$3:$N$722,MATCH($A472,'03 Raw Data'!$M$3:$M$722,0)),""))</f>
        <v/>
      </c>
      <c r="G472" s="24">
        <f>IF($A472="","",IFERROR(INDEX('03 Raw Data'!$Q$3:$Q$722,MATCH($A472,'03 Raw Data'!$P$3:$P$722,0)),""))</f>
        <v/>
      </c>
      <c r="H472" s="24">
        <f>IF($A472="","",IFERROR(INDEX('03 Raw Data'!$T$3:$T$722,MATCH($A472,'03 Raw Data'!$S$3:$S$722,0)),""))</f>
        <v/>
      </c>
    </row>
    <row r="473">
      <c r="A473" s="23">
        <f>IFERROR(IF(OR('03 Raw Data'!A471="",'03 Raw Data'!A471=0),"",'03 Raw Data'!A471),"")</f>
        <v/>
      </c>
      <c r="B473" s="24">
        <f>IF($A473="","",IFERROR(INDEX('03 Raw Data'!$B$3:$B$722,MATCH($A473,'03 Raw Data'!$A$3:$A$722,0)),""))</f>
        <v/>
      </c>
      <c r="C473" s="24">
        <f>IF($A473="","",IFERROR(INDEX('03 Raw Data'!$E$3:$E$722,MATCH($A473,'03 Raw Data'!$D$3:$D$722,0)),""))</f>
        <v/>
      </c>
      <c r="D473" s="24">
        <f>IF($A473="","",IFERROR(INDEX('03 Raw Data'!$H$3:$H$722,MATCH($A473,'03 Raw Data'!$G$3:$G$722,0)),""))</f>
        <v/>
      </c>
      <c r="E473" s="24">
        <f>IF($A473="","",IFERROR(INDEX('03 Raw Data'!$K$3:$K$722,MATCH($A473,'03 Raw Data'!$J$3:$J$722,0)),""))</f>
        <v/>
      </c>
      <c r="F473" s="24">
        <f>IF($A473="","",IFERROR(INDEX('03 Raw Data'!$N$3:$N$722,MATCH($A473,'03 Raw Data'!$M$3:$M$722,0)),""))</f>
        <v/>
      </c>
      <c r="G473" s="24">
        <f>IF($A473="","",IFERROR(INDEX('03 Raw Data'!$Q$3:$Q$722,MATCH($A473,'03 Raw Data'!$P$3:$P$722,0)),""))</f>
        <v/>
      </c>
      <c r="H473" s="24">
        <f>IF($A473="","",IFERROR(INDEX('03 Raw Data'!$T$3:$T$722,MATCH($A473,'03 Raw Data'!$S$3:$S$722,0)),""))</f>
        <v/>
      </c>
    </row>
    <row r="474">
      <c r="A474" s="23">
        <f>IFERROR(IF(OR('03 Raw Data'!A472="",'03 Raw Data'!A472=0),"",'03 Raw Data'!A472),"")</f>
        <v/>
      </c>
      <c r="B474" s="24">
        <f>IF($A474="","",IFERROR(INDEX('03 Raw Data'!$B$3:$B$722,MATCH($A474,'03 Raw Data'!$A$3:$A$722,0)),""))</f>
        <v/>
      </c>
      <c r="C474" s="24">
        <f>IF($A474="","",IFERROR(INDEX('03 Raw Data'!$E$3:$E$722,MATCH($A474,'03 Raw Data'!$D$3:$D$722,0)),""))</f>
        <v/>
      </c>
      <c r="D474" s="24">
        <f>IF($A474="","",IFERROR(INDEX('03 Raw Data'!$H$3:$H$722,MATCH($A474,'03 Raw Data'!$G$3:$G$722,0)),""))</f>
        <v/>
      </c>
      <c r="E474" s="24">
        <f>IF($A474="","",IFERROR(INDEX('03 Raw Data'!$K$3:$K$722,MATCH($A474,'03 Raw Data'!$J$3:$J$722,0)),""))</f>
        <v/>
      </c>
      <c r="F474" s="24">
        <f>IF($A474="","",IFERROR(INDEX('03 Raw Data'!$N$3:$N$722,MATCH($A474,'03 Raw Data'!$M$3:$M$722,0)),""))</f>
        <v/>
      </c>
      <c r="G474" s="24">
        <f>IF($A474="","",IFERROR(INDEX('03 Raw Data'!$Q$3:$Q$722,MATCH($A474,'03 Raw Data'!$P$3:$P$722,0)),""))</f>
        <v/>
      </c>
      <c r="H474" s="24">
        <f>IF($A474="","",IFERROR(INDEX('03 Raw Data'!$T$3:$T$722,MATCH($A474,'03 Raw Data'!$S$3:$S$722,0)),""))</f>
        <v/>
      </c>
    </row>
    <row r="475">
      <c r="A475" s="23">
        <f>IFERROR(IF(OR('03 Raw Data'!A473="",'03 Raw Data'!A473=0),"",'03 Raw Data'!A473),"")</f>
        <v/>
      </c>
      <c r="B475" s="24">
        <f>IF($A475="","",IFERROR(INDEX('03 Raw Data'!$B$3:$B$722,MATCH($A475,'03 Raw Data'!$A$3:$A$722,0)),""))</f>
        <v/>
      </c>
      <c r="C475" s="24">
        <f>IF($A475="","",IFERROR(INDEX('03 Raw Data'!$E$3:$E$722,MATCH($A475,'03 Raw Data'!$D$3:$D$722,0)),""))</f>
        <v/>
      </c>
      <c r="D475" s="24">
        <f>IF($A475="","",IFERROR(INDEX('03 Raw Data'!$H$3:$H$722,MATCH($A475,'03 Raw Data'!$G$3:$G$722,0)),""))</f>
        <v/>
      </c>
      <c r="E475" s="24">
        <f>IF($A475="","",IFERROR(INDEX('03 Raw Data'!$K$3:$K$722,MATCH($A475,'03 Raw Data'!$J$3:$J$722,0)),""))</f>
        <v/>
      </c>
      <c r="F475" s="24">
        <f>IF($A475="","",IFERROR(INDEX('03 Raw Data'!$N$3:$N$722,MATCH($A475,'03 Raw Data'!$M$3:$M$722,0)),""))</f>
        <v/>
      </c>
      <c r="G475" s="24">
        <f>IF($A475="","",IFERROR(INDEX('03 Raw Data'!$Q$3:$Q$722,MATCH($A475,'03 Raw Data'!$P$3:$P$722,0)),""))</f>
        <v/>
      </c>
      <c r="H475" s="24">
        <f>IF($A475="","",IFERROR(INDEX('03 Raw Data'!$T$3:$T$722,MATCH($A475,'03 Raw Data'!$S$3:$S$722,0)),""))</f>
        <v/>
      </c>
    </row>
    <row r="476">
      <c r="A476" s="23">
        <f>IFERROR(IF(OR('03 Raw Data'!A474="",'03 Raw Data'!A474=0),"",'03 Raw Data'!A474),"")</f>
        <v/>
      </c>
      <c r="B476" s="24">
        <f>IF($A476="","",IFERROR(INDEX('03 Raw Data'!$B$3:$B$722,MATCH($A476,'03 Raw Data'!$A$3:$A$722,0)),""))</f>
        <v/>
      </c>
      <c r="C476" s="24">
        <f>IF($A476="","",IFERROR(INDEX('03 Raw Data'!$E$3:$E$722,MATCH($A476,'03 Raw Data'!$D$3:$D$722,0)),""))</f>
        <v/>
      </c>
      <c r="D476" s="24">
        <f>IF($A476="","",IFERROR(INDEX('03 Raw Data'!$H$3:$H$722,MATCH($A476,'03 Raw Data'!$G$3:$G$722,0)),""))</f>
        <v/>
      </c>
      <c r="E476" s="24">
        <f>IF($A476="","",IFERROR(INDEX('03 Raw Data'!$K$3:$K$722,MATCH($A476,'03 Raw Data'!$J$3:$J$722,0)),""))</f>
        <v/>
      </c>
      <c r="F476" s="24">
        <f>IF($A476="","",IFERROR(INDEX('03 Raw Data'!$N$3:$N$722,MATCH($A476,'03 Raw Data'!$M$3:$M$722,0)),""))</f>
        <v/>
      </c>
      <c r="G476" s="24">
        <f>IF($A476="","",IFERROR(INDEX('03 Raw Data'!$Q$3:$Q$722,MATCH($A476,'03 Raw Data'!$P$3:$P$722,0)),""))</f>
        <v/>
      </c>
      <c r="H476" s="24">
        <f>IF($A476="","",IFERROR(INDEX('03 Raw Data'!$T$3:$T$722,MATCH($A476,'03 Raw Data'!$S$3:$S$722,0)),""))</f>
        <v/>
      </c>
    </row>
    <row r="477">
      <c r="A477" s="23">
        <f>IFERROR(IF(OR('03 Raw Data'!A475="",'03 Raw Data'!A475=0),"",'03 Raw Data'!A475),"")</f>
        <v/>
      </c>
      <c r="B477" s="24">
        <f>IF($A477="","",IFERROR(INDEX('03 Raw Data'!$B$3:$B$722,MATCH($A477,'03 Raw Data'!$A$3:$A$722,0)),""))</f>
        <v/>
      </c>
      <c r="C477" s="24">
        <f>IF($A477="","",IFERROR(INDEX('03 Raw Data'!$E$3:$E$722,MATCH($A477,'03 Raw Data'!$D$3:$D$722,0)),""))</f>
        <v/>
      </c>
      <c r="D477" s="24">
        <f>IF($A477="","",IFERROR(INDEX('03 Raw Data'!$H$3:$H$722,MATCH($A477,'03 Raw Data'!$G$3:$G$722,0)),""))</f>
        <v/>
      </c>
      <c r="E477" s="24">
        <f>IF($A477="","",IFERROR(INDEX('03 Raw Data'!$K$3:$K$722,MATCH($A477,'03 Raw Data'!$J$3:$J$722,0)),""))</f>
        <v/>
      </c>
      <c r="F477" s="24">
        <f>IF($A477="","",IFERROR(INDEX('03 Raw Data'!$N$3:$N$722,MATCH($A477,'03 Raw Data'!$M$3:$M$722,0)),""))</f>
        <v/>
      </c>
      <c r="G477" s="24">
        <f>IF($A477="","",IFERROR(INDEX('03 Raw Data'!$Q$3:$Q$722,MATCH($A477,'03 Raw Data'!$P$3:$P$722,0)),""))</f>
        <v/>
      </c>
      <c r="H477" s="24">
        <f>IF($A477="","",IFERROR(INDEX('03 Raw Data'!$T$3:$T$722,MATCH($A477,'03 Raw Data'!$S$3:$S$722,0)),""))</f>
        <v/>
      </c>
    </row>
    <row r="478">
      <c r="A478" s="23">
        <f>IFERROR(IF(OR('03 Raw Data'!A476="",'03 Raw Data'!A476=0),"",'03 Raw Data'!A476),"")</f>
        <v/>
      </c>
      <c r="B478" s="24">
        <f>IF($A478="","",IFERROR(INDEX('03 Raw Data'!$B$3:$B$722,MATCH($A478,'03 Raw Data'!$A$3:$A$722,0)),""))</f>
        <v/>
      </c>
      <c r="C478" s="24">
        <f>IF($A478="","",IFERROR(INDEX('03 Raw Data'!$E$3:$E$722,MATCH($A478,'03 Raw Data'!$D$3:$D$722,0)),""))</f>
        <v/>
      </c>
      <c r="D478" s="24">
        <f>IF($A478="","",IFERROR(INDEX('03 Raw Data'!$H$3:$H$722,MATCH($A478,'03 Raw Data'!$G$3:$G$722,0)),""))</f>
        <v/>
      </c>
      <c r="E478" s="24">
        <f>IF($A478="","",IFERROR(INDEX('03 Raw Data'!$K$3:$K$722,MATCH($A478,'03 Raw Data'!$J$3:$J$722,0)),""))</f>
        <v/>
      </c>
      <c r="F478" s="24">
        <f>IF($A478="","",IFERROR(INDEX('03 Raw Data'!$N$3:$N$722,MATCH($A478,'03 Raw Data'!$M$3:$M$722,0)),""))</f>
        <v/>
      </c>
      <c r="G478" s="24">
        <f>IF($A478="","",IFERROR(INDEX('03 Raw Data'!$Q$3:$Q$722,MATCH($A478,'03 Raw Data'!$P$3:$P$722,0)),""))</f>
        <v/>
      </c>
      <c r="H478" s="24">
        <f>IF($A478="","",IFERROR(INDEX('03 Raw Data'!$T$3:$T$722,MATCH($A478,'03 Raw Data'!$S$3:$S$722,0)),""))</f>
        <v/>
      </c>
    </row>
    <row r="479">
      <c r="A479" s="23">
        <f>IFERROR(IF(OR('03 Raw Data'!A477="",'03 Raw Data'!A477=0),"",'03 Raw Data'!A477),"")</f>
        <v/>
      </c>
      <c r="B479" s="24">
        <f>IF($A479="","",IFERROR(INDEX('03 Raw Data'!$B$3:$B$722,MATCH($A479,'03 Raw Data'!$A$3:$A$722,0)),""))</f>
        <v/>
      </c>
      <c r="C479" s="24">
        <f>IF($A479="","",IFERROR(INDEX('03 Raw Data'!$E$3:$E$722,MATCH($A479,'03 Raw Data'!$D$3:$D$722,0)),""))</f>
        <v/>
      </c>
      <c r="D479" s="24">
        <f>IF($A479="","",IFERROR(INDEX('03 Raw Data'!$H$3:$H$722,MATCH($A479,'03 Raw Data'!$G$3:$G$722,0)),""))</f>
        <v/>
      </c>
      <c r="E479" s="24">
        <f>IF($A479="","",IFERROR(INDEX('03 Raw Data'!$K$3:$K$722,MATCH($A479,'03 Raw Data'!$J$3:$J$722,0)),""))</f>
        <v/>
      </c>
      <c r="F479" s="24">
        <f>IF($A479="","",IFERROR(INDEX('03 Raw Data'!$N$3:$N$722,MATCH($A479,'03 Raw Data'!$M$3:$M$722,0)),""))</f>
        <v/>
      </c>
      <c r="G479" s="24">
        <f>IF($A479="","",IFERROR(INDEX('03 Raw Data'!$Q$3:$Q$722,MATCH($A479,'03 Raw Data'!$P$3:$P$722,0)),""))</f>
        <v/>
      </c>
      <c r="H479" s="24">
        <f>IF($A479="","",IFERROR(INDEX('03 Raw Data'!$T$3:$T$722,MATCH($A479,'03 Raw Data'!$S$3:$S$722,0)),""))</f>
        <v/>
      </c>
    </row>
    <row r="480">
      <c r="A480" s="23">
        <f>IFERROR(IF(OR('03 Raw Data'!A478="",'03 Raw Data'!A478=0),"",'03 Raw Data'!A478),"")</f>
        <v/>
      </c>
      <c r="B480" s="24">
        <f>IF($A480="","",IFERROR(INDEX('03 Raw Data'!$B$3:$B$722,MATCH($A480,'03 Raw Data'!$A$3:$A$722,0)),""))</f>
        <v/>
      </c>
      <c r="C480" s="24">
        <f>IF($A480="","",IFERROR(INDEX('03 Raw Data'!$E$3:$E$722,MATCH($A480,'03 Raw Data'!$D$3:$D$722,0)),""))</f>
        <v/>
      </c>
      <c r="D480" s="24">
        <f>IF($A480="","",IFERROR(INDEX('03 Raw Data'!$H$3:$H$722,MATCH($A480,'03 Raw Data'!$G$3:$G$722,0)),""))</f>
        <v/>
      </c>
      <c r="E480" s="24">
        <f>IF($A480="","",IFERROR(INDEX('03 Raw Data'!$K$3:$K$722,MATCH($A480,'03 Raw Data'!$J$3:$J$722,0)),""))</f>
        <v/>
      </c>
      <c r="F480" s="24">
        <f>IF($A480="","",IFERROR(INDEX('03 Raw Data'!$N$3:$N$722,MATCH($A480,'03 Raw Data'!$M$3:$M$722,0)),""))</f>
        <v/>
      </c>
      <c r="G480" s="24">
        <f>IF($A480="","",IFERROR(INDEX('03 Raw Data'!$Q$3:$Q$722,MATCH($A480,'03 Raw Data'!$P$3:$P$722,0)),""))</f>
        <v/>
      </c>
      <c r="H480" s="24">
        <f>IF($A480="","",IFERROR(INDEX('03 Raw Data'!$T$3:$T$722,MATCH($A480,'03 Raw Data'!$S$3:$S$722,0)),""))</f>
        <v/>
      </c>
    </row>
    <row r="481">
      <c r="A481" s="23">
        <f>IFERROR(IF(OR('03 Raw Data'!A479="",'03 Raw Data'!A479=0),"",'03 Raw Data'!A479),"")</f>
        <v/>
      </c>
      <c r="B481" s="24">
        <f>IF($A481="","",IFERROR(INDEX('03 Raw Data'!$B$3:$B$722,MATCH($A481,'03 Raw Data'!$A$3:$A$722,0)),""))</f>
        <v/>
      </c>
      <c r="C481" s="24">
        <f>IF($A481="","",IFERROR(INDEX('03 Raw Data'!$E$3:$E$722,MATCH($A481,'03 Raw Data'!$D$3:$D$722,0)),""))</f>
        <v/>
      </c>
      <c r="D481" s="24">
        <f>IF($A481="","",IFERROR(INDEX('03 Raw Data'!$H$3:$H$722,MATCH($A481,'03 Raw Data'!$G$3:$G$722,0)),""))</f>
        <v/>
      </c>
      <c r="E481" s="24">
        <f>IF($A481="","",IFERROR(INDEX('03 Raw Data'!$K$3:$K$722,MATCH($A481,'03 Raw Data'!$J$3:$J$722,0)),""))</f>
        <v/>
      </c>
      <c r="F481" s="24">
        <f>IF($A481="","",IFERROR(INDEX('03 Raw Data'!$N$3:$N$722,MATCH($A481,'03 Raw Data'!$M$3:$M$722,0)),""))</f>
        <v/>
      </c>
      <c r="G481" s="24">
        <f>IF($A481="","",IFERROR(INDEX('03 Raw Data'!$Q$3:$Q$722,MATCH($A481,'03 Raw Data'!$P$3:$P$722,0)),""))</f>
        <v/>
      </c>
      <c r="H481" s="24">
        <f>IF($A481="","",IFERROR(INDEX('03 Raw Data'!$T$3:$T$722,MATCH($A481,'03 Raw Data'!$S$3:$S$722,0)),""))</f>
        <v/>
      </c>
    </row>
    <row r="482">
      <c r="A482" s="23">
        <f>IFERROR(IF(OR('03 Raw Data'!A480="",'03 Raw Data'!A480=0),"",'03 Raw Data'!A480),"")</f>
        <v/>
      </c>
      <c r="B482" s="24">
        <f>IF($A482="","",IFERROR(INDEX('03 Raw Data'!$B$3:$B$722,MATCH($A482,'03 Raw Data'!$A$3:$A$722,0)),""))</f>
        <v/>
      </c>
      <c r="C482" s="24">
        <f>IF($A482="","",IFERROR(INDEX('03 Raw Data'!$E$3:$E$722,MATCH($A482,'03 Raw Data'!$D$3:$D$722,0)),""))</f>
        <v/>
      </c>
      <c r="D482" s="24">
        <f>IF($A482="","",IFERROR(INDEX('03 Raw Data'!$H$3:$H$722,MATCH($A482,'03 Raw Data'!$G$3:$G$722,0)),""))</f>
        <v/>
      </c>
      <c r="E482" s="24">
        <f>IF($A482="","",IFERROR(INDEX('03 Raw Data'!$K$3:$K$722,MATCH($A482,'03 Raw Data'!$J$3:$J$722,0)),""))</f>
        <v/>
      </c>
      <c r="F482" s="24">
        <f>IF($A482="","",IFERROR(INDEX('03 Raw Data'!$N$3:$N$722,MATCH($A482,'03 Raw Data'!$M$3:$M$722,0)),""))</f>
        <v/>
      </c>
      <c r="G482" s="24">
        <f>IF($A482="","",IFERROR(INDEX('03 Raw Data'!$Q$3:$Q$722,MATCH($A482,'03 Raw Data'!$P$3:$P$722,0)),""))</f>
        <v/>
      </c>
      <c r="H482" s="24">
        <f>IF($A482="","",IFERROR(INDEX('03 Raw Data'!$T$3:$T$722,MATCH($A482,'03 Raw Data'!$S$3:$S$722,0)),""))</f>
        <v/>
      </c>
    </row>
    <row r="483">
      <c r="A483" s="23">
        <f>IFERROR(IF(OR('03 Raw Data'!A481="",'03 Raw Data'!A481=0),"",'03 Raw Data'!A481),"")</f>
        <v/>
      </c>
      <c r="B483" s="24">
        <f>IF($A483="","",IFERROR(INDEX('03 Raw Data'!$B$3:$B$722,MATCH($A483,'03 Raw Data'!$A$3:$A$722,0)),""))</f>
        <v/>
      </c>
      <c r="C483" s="24">
        <f>IF($A483="","",IFERROR(INDEX('03 Raw Data'!$E$3:$E$722,MATCH($A483,'03 Raw Data'!$D$3:$D$722,0)),""))</f>
        <v/>
      </c>
      <c r="D483" s="24">
        <f>IF($A483="","",IFERROR(INDEX('03 Raw Data'!$H$3:$H$722,MATCH($A483,'03 Raw Data'!$G$3:$G$722,0)),""))</f>
        <v/>
      </c>
      <c r="E483" s="24">
        <f>IF($A483="","",IFERROR(INDEX('03 Raw Data'!$K$3:$K$722,MATCH($A483,'03 Raw Data'!$J$3:$J$722,0)),""))</f>
        <v/>
      </c>
      <c r="F483" s="24">
        <f>IF($A483="","",IFERROR(INDEX('03 Raw Data'!$N$3:$N$722,MATCH($A483,'03 Raw Data'!$M$3:$M$722,0)),""))</f>
        <v/>
      </c>
      <c r="G483" s="24">
        <f>IF($A483="","",IFERROR(INDEX('03 Raw Data'!$Q$3:$Q$722,MATCH($A483,'03 Raw Data'!$P$3:$P$722,0)),""))</f>
        <v/>
      </c>
      <c r="H483" s="24">
        <f>IF($A483="","",IFERROR(INDEX('03 Raw Data'!$T$3:$T$722,MATCH($A483,'03 Raw Data'!$S$3:$S$722,0)),""))</f>
        <v/>
      </c>
    </row>
    <row r="484">
      <c r="A484" s="23">
        <f>IFERROR(IF(OR('03 Raw Data'!A482="",'03 Raw Data'!A482=0),"",'03 Raw Data'!A482),"")</f>
        <v/>
      </c>
      <c r="B484" s="24">
        <f>IF($A484="","",IFERROR(INDEX('03 Raw Data'!$B$3:$B$722,MATCH($A484,'03 Raw Data'!$A$3:$A$722,0)),""))</f>
        <v/>
      </c>
      <c r="C484" s="24">
        <f>IF($A484="","",IFERROR(INDEX('03 Raw Data'!$E$3:$E$722,MATCH($A484,'03 Raw Data'!$D$3:$D$722,0)),""))</f>
        <v/>
      </c>
      <c r="D484" s="24">
        <f>IF($A484="","",IFERROR(INDEX('03 Raw Data'!$H$3:$H$722,MATCH($A484,'03 Raw Data'!$G$3:$G$722,0)),""))</f>
        <v/>
      </c>
      <c r="E484" s="24">
        <f>IF($A484="","",IFERROR(INDEX('03 Raw Data'!$K$3:$K$722,MATCH($A484,'03 Raw Data'!$J$3:$J$722,0)),""))</f>
        <v/>
      </c>
      <c r="F484" s="24">
        <f>IF($A484="","",IFERROR(INDEX('03 Raw Data'!$N$3:$N$722,MATCH($A484,'03 Raw Data'!$M$3:$M$722,0)),""))</f>
        <v/>
      </c>
      <c r="G484" s="24">
        <f>IF($A484="","",IFERROR(INDEX('03 Raw Data'!$Q$3:$Q$722,MATCH($A484,'03 Raw Data'!$P$3:$P$722,0)),""))</f>
        <v/>
      </c>
      <c r="H484" s="24">
        <f>IF($A484="","",IFERROR(INDEX('03 Raw Data'!$T$3:$T$722,MATCH($A484,'03 Raw Data'!$S$3:$S$722,0)),""))</f>
        <v/>
      </c>
    </row>
    <row r="485">
      <c r="A485" s="23">
        <f>IFERROR(IF(OR('03 Raw Data'!A483="",'03 Raw Data'!A483=0),"",'03 Raw Data'!A483),"")</f>
        <v/>
      </c>
      <c r="B485" s="24">
        <f>IF($A485="","",IFERROR(INDEX('03 Raw Data'!$B$3:$B$722,MATCH($A485,'03 Raw Data'!$A$3:$A$722,0)),""))</f>
        <v/>
      </c>
      <c r="C485" s="24">
        <f>IF($A485="","",IFERROR(INDEX('03 Raw Data'!$E$3:$E$722,MATCH($A485,'03 Raw Data'!$D$3:$D$722,0)),""))</f>
        <v/>
      </c>
      <c r="D485" s="24">
        <f>IF($A485="","",IFERROR(INDEX('03 Raw Data'!$H$3:$H$722,MATCH($A485,'03 Raw Data'!$G$3:$G$722,0)),""))</f>
        <v/>
      </c>
      <c r="E485" s="24">
        <f>IF($A485="","",IFERROR(INDEX('03 Raw Data'!$K$3:$K$722,MATCH($A485,'03 Raw Data'!$J$3:$J$722,0)),""))</f>
        <v/>
      </c>
      <c r="F485" s="24">
        <f>IF($A485="","",IFERROR(INDEX('03 Raw Data'!$N$3:$N$722,MATCH($A485,'03 Raw Data'!$M$3:$M$722,0)),""))</f>
        <v/>
      </c>
      <c r="G485" s="24">
        <f>IF($A485="","",IFERROR(INDEX('03 Raw Data'!$Q$3:$Q$722,MATCH($A485,'03 Raw Data'!$P$3:$P$722,0)),""))</f>
        <v/>
      </c>
      <c r="H485" s="24">
        <f>IF($A485="","",IFERROR(INDEX('03 Raw Data'!$T$3:$T$722,MATCH($A485,'03 Raw Data'!$S$3:$S$722,0)),""))</f>
        <v/>
      </c>
    </row>
    <row r="486">
      <c r="A486" s="23">
        <f>IFERROR(IF(OR('03 Raw Data'!A484="",'03 Raw Data'!A484=0),"",'03 Raw Data'!A484),"")</f>
        <v/>
      </c>
      <c r="B486" s="24">
        <f>IF($A486="","",IFERROR(INDEX('03 Raw Data'!$B$3:$B$722,MATCH($A486,'03 Raw Data'!$A$3:$A$722,0)),""))</f>
        <v/>
      </c>
      <c r="C486" s="24">
        <f>IF($A486="","",IFERROR(INDEX('03 Raw Data'!$E$3:$E$722,MATCH($A486,'03 Raw Data'!$D$3:$D$722,0)),""))</f>
        <v/>
      </c>
      <c r="D486" s="24">
        <f>IF($A486="","",IFERROR(INDEX('03 Raw Data'!$H$3:$H$722,MATCH($A486,'03 Raw Data'!$G$3:$G$722,0)),""))</f>
        <v/>
      </c>
      <c r="E486" s="24">
        <f>IF($A486="","",IFERROR(INDEX('03 Raw Data'!$K$3:$K$722,MATCH($A486,'03 Raw Data'!$J$3:$J$722,0)),""))</f>
        <v/>
      </c>
      <c r="F486" s="24">
        <f>IF($A486="","",IFERROR(INDEX('03 Raw Data'!$N$3:$N$722,MATCH($A486,'03 Raw Data'!$M$3:$M$722,0)),""))</f>
        <v/>
      </c>
      <c r="G486" s="24">
        <f>IF($A486="","",IFERROR(INDEX('03 Raw Data'!$Q$3:$Q$722,MATCH($A486,'03 Raw Data'!$P$3:$P$722,0)),""))</f>
        <v/>
      </c>
      <c r="H486" s="24">
        <f>IF($A486="","",IFERROR(INDEX('03 Raw Data'!$T$3:$T$722,MATCH($A486,'03 Raw Data'!$S$3:$S$722,0)),""))</f>
        <v/>
      </c>
    </row>
    <row r="487">
      <c r="A487" s="23">
        <f>IFERROR(IF(OR('03 Raw Data'!A485="",'03 Raw Data'!A485=0),"",'03 Raw Data'!A485),"")</f>
        <v/>
      </c>
      <c r="B487" s="24">
        <f>IF($A487="","",IFERROR(INDEX('03 Raw Data'!$B$3:$B$722,MATCH($A487,'03 Raw Data'!$A$3:$A$722,0)),""))</f>
        <v/>
      </c>
      <c r="C487" s="24">
        <f>IF($A487="","",IFERROR(INDEX('03 Raw Data'!$E$3:$E$722,MATCH($A487,'03 Raw Data'!$D$3:$D$722,0)),""))</f>
        <v/>
      </c>
      <c r="D487" s="24">
        <f>IF($A487="","",IFERROR(INDEX('03 Raw Data'!$H$3:$H$722,MATCH($A487,'03 Raw Data'!$G$3:$G$722,0)),""))</f>
        <v/>
      </c>
      <c r="E487" s="24">
        <f>IF($A487="","",IFERROR(INDEX('03 Raw Data'!$K$3:$K$722,MATCH($A487,'03 Raw Data'!$J$3:$J$722,0)),""))</f>
        <v/>
      </c>
      <c r="F487" s="24">
        <f>IF($A487="","",IFERROR(INDEX('03 Raw Data'!$N$3:$N$722,MATCH($A487,'03 Raw Data'!$M$3:$M$722,0)),""))</f>
        <v/>
      </c>
      <c r="G487" s="24">
        <f>IF($A487="","",IFERROR(INDEX('03 Raw Data'!$Q$3:$Q$722,MATCH($A487,'03 Raw Data'!$P$3:$P$722,0)),""))</f>
        <v/>
      </c>
      <c r="H487" s="24">
        <f>IF($A487="","",IFERROR(INDEX('03 Raw Data'!$T$3:$T$722,MATCH($A487,'03 Raw Data'!$S$3:$S$722,0)),""))</f>
        <v/>
      </c>
    </row>
    <row r="488">
      <c r="A488" s="23">
        <f>IFERROR(IF(OR('03 Raw Data'!A486="",'03 Raw Data'!A486=0),"",'03 Raw Data'!A486),"")</f>
        <v/>
      </c>
      <c r="B488" s="24">
        <f>IF($A488="","",IFERROR(INDEX('03 Raw Data'!$B$3:$B$722,MATCH($A488,'03 Raw Data'!$A$3:$A$722,0)),""))</f>
        <v/>
      </c>
      <c r="C488" s="24">
        <f>IF($A488="","",IFERROR(INDEX('03 Raw Data'!$E$3:$E$722,MATCH($A488,'03 Raw Data'!$D$3:$D$722,0)),""))</f>
        <v/>
      </c>
      <c r="D488" s="24">
        <f>IF($A488="","",IFERROR(INDEX('03 Raw Data'!$H$3:$H$722,MATCH($A488,'03 Raw Data'!$G$3:$G$722,0)),""))</f>
        <v/>
      </c>
      <c r="E488" s="24">
        <f>IF($A488="","",IFERROR(INDEX('03 Raw Data'!$K$3:$K$722,MATCH($A488,'03 Raw Data'!$J$3:$J$722,0)),""))</f>
        <v/>
      </c>
      <c r="F488" s="24">
        <f>IF($A488="","",IFERROR(INDEX('03 Raw Data'!$N$3:$N$722,MATCH($A488,'03 Raw Data'!$M$3:$M$722,0)),""))</f>
        <v/>
      </c>
      <c r="G488" s="24">
        <f>IF($A488="","",IFERROR(INDEX('03 Raw Data'!$Q$3:$Q$722,MATCH($A488,'03 Raw Data'!$P$3:$P$722,0)),""))</f>
        <v/>
      </c>
      <c r="H488" s="24">
        <f>IF($A488="","",IFERROR(INDEX('03 Raw Data'!$T$3:$T$722,MATCH($A488,'03 Raw Data'!$S$3:$S$722,0)),""))</f>
        <v/>
      </c>
    </row>
    <row r="489">
      <c r="A489" s="23">
        <f>IFERROR(IF(OR('03 Raw Data'!A487="",'03 Raw Data'!A487=0),"",'03 Raw Data'!A487),"")</f>
        <v/>
      </c>
      <c r="B489" s="24">
        <f>IF($A489="","",IFERROR(INDEX('03 Raw Data'!$B$3:$B$722,MATCH($A489,'03 Raw Data'!$A$3:$A$722,0)),""))</f>
        <v/>
      </c>
      <c r="C489" s="24">
        <f>IF($A489="","",IFERROR(INDEX('03 Raw Data'!$E$3:$E$722,MATCH($A489,'03 Raw Data'!$D$3:$D$722,0)),""))</f>
        <v/>
      </c>
      <c r="D489" s="24">
        <f>IF($A489="","",IFERROR(INDEX('03 Raw Data'!$H$3:$H$722,MATCH($A489,'03 Raw Data'!$G$3:$G$722,0)),""))</f>
        <v/>
      </c>
      <c r="E489" s="24">
        <f>IF($A489="","",IFERROR(INDEX('03 Raw Data'!$K$3:$K$722,MATCH($A489,'03 Raw Data'!$J$3:$J$722,0)),""))</f>
        <v/>
      </c>
      <c r="F489" s="24">
        <f>IF($A489="","",IFERROR(INDEX('03 Raw Data'!$N$3:$N$722,MATCH($A489,'03 Raw Data'!$M$3:$M$722,0)),""))</f>
        <v/>
      </c>
      <c r="G489" s="24">
        <f>IF($A489="","",IFERROR(INDEX('03 Raw Data'!$Q$3:$Q$722,MATCH($A489,'03 Raw Data'!$P$3:$P$722,0)),""))</f>
        <v/>
      </c>
      <c r="H489" s="24">
        <f>IF($A489="","",IFERROR(INDEX('03 Raw Data'!$T$3:$T$722,MATCH($A489,'03 Raw Data'!$S$3:$S$722,0)),""))</f>
        <v/>
      </c>
    </row>
    <row r="490">
      <c r="A490" s="23">
        <f>IFERROR(IF(OR('03 Raw Data'!A488="",'03 Raw Data'!A488=0),"",'03 Raw Data'!A488),"")</f>
        <v/>
      </c>
      <c r="B490" s="24">
        <f>IF($A490="","",IFERROR(INDEX('03 Raw Data'!$B$3:$B$722,MATCH($A490,'03 Raw Data'!$A$3:$A$722,0)),""))</f>
        <v/>
      </c>
      <c r="C490" s="24">
        <f>IF($A490="","",IFERROR(INDEX('03 Raw Data'!$E$3:$E$722,MATCH($A490,'03 Raw Data'!$D$3:$D$722,0)),""))</f>
        <v/>
      </c>
      <c r="D490" s="24">
        <f>IF($A490="","",IFERROR(INDEX('03 Raw Data'!$H$3:$H$722,MATCH($A490,'03 Raw Data'!$G$3:$G$722,0)),""))</f>
        <v/>
      </c>
      <c r="E490" s="24">
        <f>IF($A490="","",IFERROR(INDEX('03 Raw Data'!$K$3:$K$722,MATCH($A490,'03 Raw Data'!$J$3:$J$722,0)),""))</f>
        <v/>
      </c>
      <c r="F490" s="24">
        <f>IF($A490="","",IFERROR(INDEX('03 Raw Data'!$N$3:$N$722,MATCH($A490,'03 Raw Data'!$M$3:$M$722,0)),""))</f>
        <v/>
      </c>
      <c r="G490" s="24">
        <f>IF($A490="","",IFERROR(INDEX('03 Raw Data'!$Q$3:$Q$722,MATCH($A490,'03 Raw Data'!$P$3:$P$722,0)),""))</f>
        <v/>
      </c>
      <c r="H490" s="24">
        <f>IF($A490="","",IFERROR(INDEX('03 Raw Data'!$T$3:$T$722,MATCH($A490,'03 Raw Data'!$S$3:$S$722,0)),""))</f>
        <v/>
      </c>
    </row>
    <row r="491">
      <c r="A491" s="23">
        <f>IFERROR(IF(OR('03 Raw Data'!A489="",'03 Raw Data'!A489=0),"",'03 Raw Data'!A489),"")</f>
        <v/>
      </c>
      <c r="B491" s="24">
        <f>IF($A491="","",IFERROR(INDEX('03 Raw Data'!$B$3:$B$722,MATCH($A491,'03 Raw Data'!$A$3:$A$722,0)),""))</f>
        <v/>
      </c>
      <c r="C491" s="24">
        <f>IF($A491="","",IFERROR(INDEX('03 Raw Data'!$E$3:$E$722,MATCH($A491,'03 Raw Data'!$D$3:$D$722,0)),""))</f>
        <v/>
      </c>
      <c r="D491" s="24">
        <f>IF($A491="","",IFERROR(INDEX('03 Raw Data'!$H$3:$H$722,MATCH($A491,'03 Raw Data'!$G$3:$G$722,0)),""))</f>
        <v/>
      </c>
      <c r="E491" s="24">
        <f>IF($A491="","",IFERROR(INDEX('03 Raw Data'!$K$3:$K$722,MATCH($A491,'03 Raw Data'!$J$3:$J$722,0)),""))</f>
        <v/>
      </c>
      <c r="F491" s="24">
        <f>IF($A491="","",IFERROR(INDEX('03 Raw Data'!$N$3:$N$722,MATCH($A491,'03 Raw Data'!$M$3:$M$722,0)),""))</f>
        <v/>
      </c>
      <c r="G491" s="24">
        <f>IF($A491="","",IFERROR(INDEX('03 Raw Data'!$Q$3:$Q$722,MATCH($A491,'03 Raw Data'!$P$3:$P$722,0)),""))</f>
        <v/>
      </c>
      <c r="H491" s="24">
        <f>IF($A491="","",IFERROR(INDEX('03 Raw Data'!$T$3:$T$722,MATCH($A491,'03 Raw Data'!$S$3:$S$722,0)),""))</f>
        <v/>
      </c>
    </row>
    <row r="492">
      <c r="A492" s="23">
        <f>IFERROR(IF(OR('03 Raw Data'!A490="",'03 Raw Data'!A490=0),"",'03 Raw Data'!A490),"")</f>
        <v/>
      </c>
      <c r="B492" s="24">
        <f>IF($A492="","",IFERROR(INDEX('03 Raw Data'!$B$3:$B$722,MATCH($A492,'03 Raw Data'!$A$3:$A$722,0)),""))</f>
        <v/>
      </c>
      <c r="C492" s="24">
        <f>IF($A492="","",IFERROR(INDEX('03 Raw Data'!$E$3:$E$722,MATCH($A492,'03 Raw Data'!$D$3:$D$722,0)),""))</f>
        <v/>
      </c>
      <c r="D492" s="24">
        <f>IF($A492="","",IFERROR(INDEX('03 Raw Data'!$H$3:$H$722,MATCH($A492,'03 Raw Data'!$G$3:$G$722,0)),""))</f>
        <v/>
      </c>
      <c r="E492" s="24">
        <f>IF($A492="","",IFERROR(INDEX('03 Raw Data'!$K$3:$K$722,MATCH($A492,'03 Raw Data'!$J$3:$J$722,0)),""))</f>
        <v/>
      </c>
      <c r="F492" s="24">
        <f>IF($A492="","",IFERROR(INDEX('03 Raw Data'!$N$3:$N$722,MATCH($A492,'03 Raw Data'!$M$3:$M$722,0)),""))</f>
        <v/>
      </c>
      <c r="G492" s="24">
        <f>IF($A492="","",IFERROR(INDEX('03 Raw Data'!$Q$3:$Q$722,MATCH($A492,'03 Raw Data'!$P$3:$P$722,0)),""))</f>
        <v/>
      </c>
      <c r="H492" s="24">
        <f>IF($A492="","",IFERROR(INDEX('03 Raw Data'!$T$3:$T$722,MATCH($A492,'03 Raw Data'!$S$3:$S$722,0)),""))</f>
        <v/>
      </c>
    </row>
    <row r="493">
      <c r="A493" s="23">
        <f>IFERROR(IF(OR('03 Raw Data'!A491="",'03 Raw Data'!A491=0),"",'03 Raw Data'!A491),"")</f>
        <v/>
      </c>
      <c r="B493" s="24">
        <f>IF($A493="","",IFERROR(INDEX('03 Raw Data'!$B$3:$B$722,MATCH($A493,'03 Raw Data'!$A$3:$A$722,0)),""))</f>
        <v/>
      </c>
      <c r="C493" s="24">
        <f>IF($A493="","",IFERROR(INDEX('03 Raw Data'!$E$3:$E$722,MATCH($A493,'03 Raw Data'!$D$3:$D$722,0)),""))</f>
        <v/>
      </c>
      <c r="D493" s="24">
        <f>IF($A493="","",IFERROR(INDEX('03 Raw Data'!$H$3:$H$722,MATCH($A493,'03 Raw Data'!$G$3:$G$722,0)),""))</f>
        <v/>
      </c>
      <c r="E493" s="24">
        <f>IF($A493="","",IFERROR(INDEX('03 Raw Data'!$K$3:$K$722,MATCH($A493,'03 Raw Data'!$J$3:$J$722,0)),""))</f>
        <v/>
      </c>
      <c r="F493" s="24">
        <f>IF($A493="","",IFERROR(INDEX('03 Raw Data'!$N$3:$N$722,MATCH($A493,'03 Raw Data'!$M$3:$M$722,0)),""))</f>
        <v/>
      </c>
      <c r="G493" s="24">
        <f>IF($A493="","",IFERROR(INDEX('03 Raw Data'!$Q$3:$Q$722,MATCH($A493,'03 Raw Data'!$P$3:$P$722,0)),""))</f>
        <v/>
      </c>
      <c r="H493" s="24">
        <f>IF($A493="","",IFERROR(INDEX('03 Raw Data'!$T$3:$T$722,MATCH($A493,'03 Raw Data'!$S$3:$S$722,0)),""))</f>
        <v/>
      </c>
    </row>
    <row r="494">
      <c r="A494" s="23">
        <f>IFERROR(IF(OR('03 Raw Data'!A492="",'03 Raw Data'!A492=0),"",'03 Raw Data'!A492),"")</f>
        <v/>
      </c>
      <c r="B494" s="24">
        <f>IF($A494="","",IFERROR(INDEX('03 Raw Data'!$B$3:$B$722,MATCH($A494,'03 Raw Data'!$A$3:$A$722,0)),""))</f>
        <v/>
      </c>
      <c r="C494" s="24">
        <f>IF($A494="","",IFERROR(INDEX('03 Raw Data'!$E$3:$E$722,MATCH($A494,'03 Raw Data'!$D$3:$D$722,0)),""))</f>
        <v/>
      </c>
      <c r="D494" s="24">
        <f>IF($A494="","",IFERROR(INDEX('03 Raw Data'!$H$3:$H$722,MATCH($A494,'03 Raw Data'!$G$3:$G$722,0)),""))</f>
        <v/>
      </c>
      <c r="E494" s="24">
        <f>IF($A494="","",IFERROR(INDEX('03 Raw Data'!$K$3:$K$722,MATCH($A494,'03 Raw Data'!$J$3:$J$722,0)),""))</f>
        <v/>
      </c>
      <c r="F494" s="24">
        <f>IF($A494="","",IFERROR(INDEX('03 Raw Data'!$N$3:$N$722,MATCH($A494,'03 Raw Data'!$M$3:$M$722,0)),""))</f>
        <v/>
      </c>
      <c r="G494" s="24">
        <f>IF($A494="","",IFERROR(INDEX('03 Raw Data'!$Q$3:$Q$722,MATCH($A494,'03 Raw Data'!$P$3:$P$722,0)),""))</f>
        <v/>
      </c>
      <c r="H494" s="24">
        <f>IF($A494="","",IFERROR(INDEX('03 Raw Data'!$T$3:$T$722,MATCH($A494,'03 Raw Data'!$S$3:$S$722,0)),""))</f>
        <v/>
      </c>
    </row>
    <row r="495">
      <c r="A495" s="23">
        <f>IFERROR(IF(OR('03 Raw Data'!A493="",'03 Raw Data'!A493=0),"",'03 Raw Data'!A493),"")</f>
        <v/>
      </c>
      <c r="B495" s="24">
        <f>IF($A495="","",IFERROR(INDEX('03 Raw Data'!$B$3:$B$722,MATCH($A495,'03 Raw Data'!$A$3:$A$722,0)),""))</f>
        <v/>
      </c>
      <c r="C495" s="24">
        <f>IF($A495="","",IFERROR(INDEX('03 Raw Data'!$E$3:$E$722,MATCH($A495,'03 Raw Data'!$D$3:$D$722,0)),""))</f>
        <v/>
      </c>
      <c r="D495" s="24">
        <f>IF($A495="","",IFERROR(INDEX('03 Raw Data'!$H$3:$H$722,MATCH($A495,'03 Raw Data'!$G$3:$G$722,0)),""))</f>
        <v/>
      </c>
      <c r="E495" s="24">
        <f>IF($A495="","",IFERROR(INDEX('03 Raw Data'!$K$3:$K$722,MATCH($A495,'03 Raw Data'!$J$3:$J$722,0)),""))</f>
        <v/>
      </c>
      <c r="F495" s="24">
        <f>IF($A495="","",IFERROR(INDEX('03 Raw Data'!$N$3:$N$722,MATCH($A495,'03 Raw Data'!$M$3:$M$722,0)),""))</f>
        <v/>
      </c>
      <c r="G495" s="24">
        <f>IF($A495="","",IFERROR(INDEX('03 Raw Data'!$Q$3:$Q$722,MATCH($A495,'03 Raw Data'!$P$3:$P$722,0)),""))</f>
        <v/>
      </c>
      <c r="H495" s="24">
        <f>IF($A495="","",IFERROR(INDEX('03 Raw Data'!$T$3:$T$722,MATCH($A495,'03 Raw Data'!$S$3:$S$722,0)),""))</f>
        <v/>
      </c>
    </row>
    <row r="496">
      <c r="A496" s="23">
        <f>IFERROR(IF(OR('03 Raw Data'!A494="",'03 Raw Data'!A494=0),"",'03 Raw Data'!A494),"")</f>
        <v/>
      </c>
      <c r="B496" s="24">
        <f>IF($A496="","",IFERROR(INDEX('03 Raw Data'!$B$3:$B$722,MATCH($A496,'03 Raw Data'!$A$3:$A$722,0)),""))</f>
        <v/>
      </c>
      <c r="C496" s="24">
        <f>IF($A496="","",IFERROR(INDEX('03 Raw Data'!$E$3:$E$722,MATCH($A496,'03 Raw Data'!$D$3:$D$722,0)),""))</f>
        <v/>
      </c>
      <c r="D496" s="24">
        <f>IF($A496="","",IFERROR(INDEX('03 Raw Data'!$H$3:$H$722,MATCH($A496,'03 Raw Data'!$G$3:$G$722,0)),""))</f>
        <v/>
      </c>
      <c r="E496" s="24">
        <f>IF($A496="","",IFERROR(INDEX('03 Raw Data'!$K$3:$K$722,MATCH($A496,'03 Raw Data'!$J$3:$J$722,0)),""))</f>
        <v/>
      </c>
      <c r="F496" s="24">
        <f>IF($A496="","",IFERROR(INDEX('03 Raw Data'!$N$3:$N$722,MATCH($A496,'03 Raw Data'!$M$3:$M$722,0)),""))</f>
        <v/>
      </c>
      <c r="G496" s="24">
        <f>IF($A496="","",IFERROR(INDEX('03 Raw Data'!$Q$3:$Q$722,MATCH($A496,'03 Raw Data'!$P$3:$P$722,0)),""))</f>
        <v/>
      </c>
      <c r="H496" s="24">
        <f>IF($A496="","",IFERROR(INDEX('03 Raw Data'!$T$3:$T$722,MATCH($A496,'03 Raw Data'!$S$3:$S$722,0)),""))</f>
        <v/>
      </c>
    </row>
    <row r="497">
      <c r="A497" s="23">
        <f>IFERROR(IF(OR('03 Raw Data'!A495="",'03 Raw Data'!A495=0),"",'03 Raw Data'!A495),"")</f>
        <v/>
      </c>
      <c r="B497" s="24">
        <f>IF($A497="","",IFERROR(INDEX('03 Raw Data'!$B$3:$B$722,MATCH($A497,'03 Raw Data'!$A$3:$A$722,0)),""))</f>
        <v/>
      </c>
      <c r="C497" s="24">
        <f>IF($A497="","",IFERROR(INDEX('03 Raw Data'!$E$3:$E$722,MATCH($A497,'03 Raw Data'!$D$3:$D$722,0)),""))</f>
        <v/>
      </c>
      <c r="D497" s="24">
        <f>IF($A497="","",IFERROR(INDEX('03 Raw Data'!$H$3:$H$722,MATCH($A497,'03 Raw Data'!$G$3:$G$722,0)),""))</f>
        <v/>
      </c>
      <c r="E497" s="24">
        <f>IF($A497="","",IFERROR(INDEX('03 Raw Data'!$K$3:$K$722,MATCH($A497,'03 Raw Data'!$J$3:$J$722,0)),""))</f>
        <v/>
      </c>
      <c r="F497" s="24">
        <f>IF($A497="","",IFERROR(INDEX('03 Raw Data'!$N$3:$N$722,MATCH($A497,'03 Raw Data'!$M$3:$M$722,0)),""))</f>
        <v/>
      </c>
      <c r="G497" s="24">
        <f>IF($A497="","",IFERROR(INDEX('03 Raw Data'!$Q$3:$Q$722,MATCH($A497,'03 Raw Data'!$P$3:$P$722,0)),""))</f>
        <v/>
      </c>
      <c r="H497" s="24">
        <f>IF($A497="","",IFERROR(INDEX('03 Raw Data'!$T$3:$T$722,MATCH($A497,'03 Raw Data'!$S$3:$S$722,0)),""))</f>
        <v/>
      </c>
    </row>
    <row r="498">
      <c r="A498" s="23">
        <f>IFERROR(IF(OR('03 Raw Data'!A496="",'03 Raw Data'!A496=0),"",'03 Raw Data'!A496),"")</f>
        <v/>
      </c>
      <c r="B498" s="24">
        <f>IF($A498="","",IFERROR(INDEX('03 Raw Data'!$B$3:$B$722,MATCH($A498,'03 Raw Data'!$A$3:$A$722,0)),""))</f>
        <v/>
      </c>
      <c r="C498" s="24">
        <f>IF($A498="","",IFERROR(INDEX('03 Raw Data'!$E$3:$E$722,MATCH($A498,'03 Raw Data'!$D$3:$D$722,0)),""))</f>
        <v/>
      </c>
      <c r="D498" s="24">
        <f>IF($A498="","",IFERROR(INDEX('03 Raw Data'!$H$3:$H$722,MATCH($A498,'03 Raw Data'!$G$3:$G$722,0)),""))</f>
        <v/>
      </c>
      <c r="E498" s="24">
        <f>IF($A498="","",IFERROR(INDEX('03 Raw Data'!$K$3:$K$722,MATCH($A498,'03 Raw Data'!$J$3:$J$722,0)),""))</f>
        <v/>
      </c>
      <c r="F498" s="24">
        <f>IF($A498="","",IFERROR(INDEX('03 Raw Data'!$N$3:$N$722,MATCH($A498,'03 Raw Data'!$M$3:$M$722,0)),""))</f>
        <v/>
      </c>
      <c r="G498" s="24">
        <f>IF($A498="","",IFERROR(INDEX('03 Raw Data'!$Q$3:$Q$722,MATCH($A498,'03 Raw Data'!$P$3:$P$722,0)),""))</f>
        <v/>
      </c>
      <c r="H498" s="24">
        <f>IF($A498="","",IFERROR(INDEX('03 Raw Data'!$T$3:$T$722,MATCH($A498,'03 Raw Data'!$S$3:$S$722,0)),""))</f>
        <v/>
      </c>
    </row>
    <row r="499">
      <c r="A499" s="23">
        <f>IFERROR(IF(OR('03 Raw Data'!A497="",'03 Raw Data'!A497=0),"",'03 Raw Data'!A497),"")</f>
        <v/>
      </c>
      <c r="B499" s="24">
        <f>IF($A499="","",IFERROR(INDEX('03 Raw Data'!$B$3:$B$722,MATCH($A499,'03 Raw Data'!$A$3:$A$722,0)),""))</f>
        <v/>
      </c>
      <c r="C499" s="24">
        <f>IF($A499="","",IFERROR(INDEX('03 Raw Data'!$E$3:$E$722,MATCH($A499,'03 Raw Data'!$D$3:$D$722,0)),""))</f>
        <v/>
      </c>
      <c r="D499" s="24">
        <f>IF($A499="","",IFERROR(INDEX('03 Raw Data'!$H$3:$H$722,MATCH($A499,'03 Raw Data'!$G$3:$G$722,0)),""))</f>
        <v/>
      </c>
      <c r="E499" s="24">
        <f>IF($A499="","",IFERROR(INDEX('03 Raw Data'!$K$3:$K$722,MATCH($A499,'03 Raw Data'!$J$3:$J$722,0)),""))</f>
        <v/>
      </c>
      <c r="F499" s="24">
        <f>IF($A499="","",IFERROR(INDEX('03 Raw Data'!$N$3:$N$722,MATCH($A499,'03 Raw Data'!$M$3:$M$722,0)),""))</f>
        <v/>
      </c>
      <c r="G499" s="24">
        <f>IF($A499="","",IFERROR(INDEX('03 Raw Data'!$Q$3:$Q$722,MATCH($A499,'03 Raw Data'!$P$3:$P$722,0)),""))</f>
        <v/>
      </c>
      <c r="H499" s="24">
        <f>IF($A499="","",IFERROR(INDEX('03 Raw Data'!$T$3:$T$722,MATCH($A499,'03 Raw Data'!$S$3:$S$722,0)),""))</f>
        <v/>
      </c>
    </row>
    <row r="500">
      <c r="A500" s="23">
        <f>IFERROR(IF(OR('03 Raw Data'!A498="",'03 Raw Data'!A498=0),"",'03 Raw Data'!A498),"")</f>
        <v/>
      </c>
      <c r="B500" s="24">
        <f>IF($A500="","",IFERROR(INDEX('03 Raw Data'!$B$3:$B$722,MATCH($A500,'03 Raw Data'!$A$3:$A$722,0)),""))</f>
        <v/>
      </c>
      <c r="C500" s="24">
        <f>IF($A500="","",IFERROR(INDEX('03 Raw Data'!$E$3:$E$722,MATCH($A500,'03 Raw Data'!$D$3:$D$722,0)),""))</f>
        <v/>
      </c>
      <c r="D500" s="24">
        <f>IF($A500="","",IFERROR(INDEX('03 Raw Data'!$H$3:$H$722,MATCH($A500,'03 Raw Data'!$G$3:$G$722,0)),""))</f>
        <v/>
      </c>
      <c r="E500" s="24">
        <f>IF($A500="","",IFERROR(INDEX('03 Raw Data'!$K$3:$K$722,MATCH($A500,'03 Raw Data'!$J$3:$J$722,0)),""))</f>
        <v/>
      </c>
      <c r="F500" s="24">
        <f>IF($A500="","",IFERROR(INDEX('03 Raw Data'!$N$3:$N$722,MATCH($A500,'03 Raw Data'!$M$3:$M$722,0)),""))</f>
        <v/>
      </c>
      <c r="G500" s="24">
        <f>IF($A500="","",IFERROR(INDEX('03 Raw Data'!$Q$3:$Q$722,MATCH($A500,'03 Raw Data'!$P$3:$P$722,0)),""))</f>
        <v/>
      </c>
      <c r="H500" s="24">
        <f>IF($A500="","",IFERROR(INDEX('03 Raw Data'!$T$3:$T$722,MATCH($A500,'03 Raw Data'!$S$3:$S$722,0)),""))</f>
        <v/>
      </c>
    </row>
    <row r="501">
      <c r="A501" s="23">
        <f>IFERROR(IF(OR('03 Raw Data'!A499="",'03 Raw Data'!A499=0),"",'03 Raw Data'!A499),"")</f>
        <v/>
      </c>
      <c r="B501" s="24">
        <f>IF($A501="","",IFERROR(INDEX('03 Raw Data'!$B$3:$B$722,MATCH($A501,'03 Raw Data'!$A$3:$A$722,0)),""))</f>
        <v/>
      </c>
      <c r="C501" s="24">
        <f>IF($A501="","",IFERROR(INDEX('03 Raw Data'!$E$3:$E$722,MATCH($A501,'03 Raw Data'!$D$3:$D$722,0)),""))</f>
        <v/>
      </c>
      <c r="D501" s="24">
        <f>IF($A501="","",IFERROR(INDEX('03 Raw Data'!$H$3:$H$722,MATCH($A501,'03 Raw Data'!$G$3:$G$722,0)),""))</f>
        <v/>
      </c>
      <c r="E501" s="24">
        <f>IF($A501="","",IFERROR(INDEX('03 Raw Data'!$K$3:$K$722,MATCH($A501,'03 Raw Data'!$J$3:$J$722,0)),""))</f>
        <v/>
      </c>
      <c r="F501" s="24">
        <f>IF($A501="","",IFERROR(INDEX('03 Raw Data'!$N$3:$N$722,MATCH($A501,'03 Raw Data'!$M$3:$M$722,0)),""))</f>
        <v/>
      </c>
      <c r="G501" s="24">
        <f>IF($A501="","",IFERROR(INDEX('03 Raw Data'!$Q$3:$Q$722,MATCH($A501,'03 Raw Data'!$P$3:$P$722,0)),""))</f>
        <v/>
      </c>
      <c r="H501" s="24">
        <f>IF($A501="","",IFERROR(INDEX('03 Raw Data'!$T$3:$T$722,MATCH($A501,'03 Raw Data'!$S$3:$S$722,0)),""))</f>
        <v/>
      </c>
    </row>
    <row r="502">
      <c r="A502" s="23">
        <f>IFERROR(IF(OR('03 Raw Data'!A500="",'03 Raw Data'!A500=0),"",'03 Raw Data'!A500),"")</f>
        <v/>
      </c>
      <c r="B502" s="24">
        <f>IF($A502="","",IFERROR(INDEX('03 Raw Data'!$B$3:$B$722,MATCH($A502,'03 Raw Data'!$A$3:$A$722,0)),""))</f>
        <v/>
      </c>
      <c r="C502" s="24">
        <f>IF($A502="","",IFERROR(INDEX('03 Raw Data'!$E$3:$E$722,MATCH($A502,'03 Raw Data'!$D$3:$D$722,0)),""))</f>
        <v/>
      </c>
      <c r="D502" s="24">
        <f>IF($A502="","",IFERROR(INDEX('03 Raw Data'!$H$3:$H$722,MATCH($A502,'03 Raw Data'!$G$3:$G$722,0)),""))</f>
        <v/>
      </c>
      <c r="E502" s="24">
        <f>IF($A502="","",IFERROR(INDEX('03 Raw Data'!$K$3:$K$722,MATCH($A502,'03 Raw Data'!$J$3:$J$722,0)),""))</f>
        <v/>
      </c>
      <c r="F502" s="24">
        <f>IF($A502="","",IFERROR(INDEX('03 Raw Data'!$N$3:$N$722,MATCH($A502,'03 Raw Data'!$M$3:$M$722,0)),""))</f>
        <v/>
      </c>
      <c r="G502" s="24">
        <f>IF($A502="","",IFERROR(INDEX('03 Raw Data'!$Q$3:$Q$722,MATCH($A502,'03 Raw Data'!$P$3:$P$722,0)),""))</f>
        <v/>
      </c>
      <c r="H502" s="24">
        <f>IF($A502="","",IFERROR(INDEX('03 Raw Data'!$T$3:$T$722,MATCH($A502,'03 Raw Data'!$S$3:$S$722,0)),""))</f>
        <v/>
      </c>
    </row>
    <row r="503">
      <c r="A503" s="23">
        <f>IFERROR(IF(OR('03 Raw Data'!A501="",'03 Raw Data'!A501=0),"",'03 Raw Data'!A501),"")</f>
        <v/>
      </c>
      <c r="B503" s="24">
        <f>IF($A503="","",IFERROR(INDEX('03 Raw Data'!$B$3:$B$722,MATCH($A503,'03 Raw Data'!$A$3:$A$722,0)),""))</f>
        <v/>
      </c>
      <c r="C503" s="24">
        <f>IF($A503="","",IFERROR(INDEX('03 Raw Data'!$E$3:$E$722,MATCH($A503,'03 Raw Data'!$D$3:$D$722,0)),""))</f>
        <v/>
      </c>
      <c r="D503" s="24">
        <f>IF($A503="","",IFERROR(INDEX('03 Raw Data'!$H$3:$H$722,MATCH($A503,'03 Raw Data'!$G$3:$G$722,0)),""))</f>
        <v/>
      </c>
      <c r="E503" s="24">
        <f>IF($A503="","",IFERROR(INDEX('03 Raw Data'!$K$3:$K$722,MATCH($A503,'03 Raw Data'!$J$3:$J$722,0)),""))</f>
        <v/>
      </c>
      <c r="F503" s="24">
        <f>IF($A503="","",IFERROR(INDEX('03 Raw Data'!$N$3:$N$722,MATCH($A503,'03 Raw Data'!$M$3:$M$722,0)),""))</f>
        <v/>
      </c>
      <c r="G503" s="24">
        <f>IF($A503="","",IFERROR(INDEX('03 Raw Data'!$Q$3:$Q$722,MATCH($A503,'03 Raw Data'!$P$3:$P$722,0)),""))</f>
        <v/>
      </c>
      <c r="H503" s="24">
        <f>IF($A503="","",IFERROR(INDEX('03 Raw Data'!$T$3:$T$722,MATCH($A503,'03 Raw Data'!$S$3:$S$722,0)),""))</f>
        <v/>
      </c>
    </row>
    <row r="504">
      <c r="A504" s="23">
        <f>IFERROR(IF(OR('03 Raw Data'!A502="",'03 Raw Data'!A502=0),"",'03 Raw Data'!A502),"")</f>
        <v/>
      </c>
      <c r="B504" s="24">
        <f>IF($A504="","",IFERROR(INDEX('03 Raw Data'!$B$3:$B$722,MATCH($A504,'03 Raw Data'!$A$3:$A$722,0)),""))</f>
        <v/>
      </c>
      <c r="C504" s="24">
        <f>IF($A504="","",IFERROR(INDEX('03 Raw Data'!$E$3:$E$722,MATCH($A504,'03 Raw Data'!$D$3:$D$722,0)),""))</f>
        <v/>
      </c>
      <c r="D504" s="24">
        <f>IF($A504="","",IFERROR(INDEX('03 Raw Data'!$H$3:$H$722,MATCH($A504,'03 Raw Data'!$G$3:$G$722,0)),""))</f>
        <v/>
      </c>
      <c r="E504" s="24">
        <f>IF($A504="","",IFERROR(INDEX('03 Raw Data'!$K$3:$K$722,MATCH($A504,'03 Raw Data'!$J$3:$J$722,0)),""))</f>
        <v/>
      </c>
      <c r="F504" s="24">
        <f>IF($A504="","",IFERROR(INDEX('03 Raw Data'!$N$3:$N$722,MATCH($A504,'03 Raw Data'!$M$3:$M$722,0)),""))</f>
        <v/>
      </c>
      <c r="G504" s="24">
        <f>IF($A504="","",IFERROR(INDEX('03 Raw Data'!$Q$3:$Q$722,MATCH($A504,'03 Raw Data'!$P$3:$P$722,0)),""))</f>
        <v/>
      </c>
      <c r="H504" s="24">
        <f>IF($A504="","",IFERROR(INDEX('03 Raw Data'!$T$3:$T$722,MATCH($A504,'03 Raw Data'!$S$3:$S$722,0)),""))</f>
        <v/>
      </c>
    </row>
    <row r="505">
      <c r="A505" s="23">
        <f>IFERROR(IF(OR('03 Raw Data'!A503="",'03 Raw Data'!A503=0),"",'03 Raw Data'!A503),"")</f>
        <v/>
      </c>
      <c r="B505" s="24">
        <f>IF($A505="","",IFERROR(INDEX('03 Raw Data'!$B$3:$B$722,MATCH($A505,'03 Raw Data'!$A$3:$A$722,0)),""))</f>
        <v/>
      </c>
      <c r="C505" s="24">
        <f>IF($A505="","",IFERROR(INDEX('03 Raw Data'!$E$3:$E$722,MATCH($A505,'03 Raw Data'!$D$3:$D$722,0)),""))</f>
        <v/>
      </c>
      <c r="D505" s="24">
        <f>IF($A505="","",IFERROR(INDEX('03 Raw Data'!$H$3:$H$722,MATCH($A505,'03 Raw Data'!$G$3:$G$722,0)),""))</f>
        <v/>
      </c>
      <c r="E505" s="24">
        <f>IF($A505="","",IFERROR(INDEX('03 Raw Data'!$K$3:$K$722,MATCH($A505,'03 Raw Data'!$J$3:$J$722,0)),""))</f>
        <v/>
      </c>
      <c r="F505" s="24">
        <f>IF($A505="","",IFERROR(INDEX('03 Raw Data'!$N$3:$N$722,MATCH($A505,'03 Raw Data'!$M$3:$M$722,0)),""))</f>
        <v/>
      </c>
      <c r="G505" s="24">
        <f>IF($A505="","",IFERROR(INDEX('03 Raw Data'!$Q$3:$Q$722,MATCH($A505,'03 Raw Data'!$P$3:$P$722,0)),""))</f>
        <v/>
      </c>
      <c r="H505" s="24">
        <f>IF($A505="","",IFERROR(INDEX('03 Raw Data'!$T$3:$T$722,MATCH($A505,'03 Raw Data'!$S$3:$S$722,0)),""))</f>
        <v/>
      </c>
    </row>
    <row r="506">
      <c r="A506" s="23">
        <f>IFERROR(IF(OR('03 Raw Data'!A504="",'03 Raw Data'!A504=0),"",'03 Raw Data'!A504),"")</f>
        <v/>
      </c>
      <c r="B506" s="24">
        <f>IF($A506="","",IFERROR(INDEX('03 Raw Data'!$B$3:$B$722,MATCH($A506,'03 Raw Data'!$A$3:$A$722,0)),""))</f>
        <v/>
      </c>
      <c r="C506" s="24">
        <f>IF($A506="","",IFERROR(INDEX('03 Raw Data'!$E$3:$E$722,MATCH($A506,'03 Raw Data'!$D$3:$D$722,0)),""))</f>
        <v/>
      </c>
      <c r="D506" s="24">
        <f>IF($A506="","",IFERROR(INDEX('03 Raw Data'!$H$3:$H$722,MATCH($A506,'03 Raw Data'!$G$3:$G$722,0)),""))</f>
        <v/>
      </c>
      <c r="E506" s="24">
        <f>IF($A506="","",IFERROR(INDEX('03 Raw Data'!$K$3:$K$722,MATCH($A506,'03 Raw Data'!$J$3:$J$722,0)),""))</f>
        <v/>
      </c>
      <c r="F506" s="24">
        <f>IF($A506="","",IFERROR(INDEX('03 Raw Data'!$N$3:$N$722,MATCH($A506,'03 Raw Data'!$M$3:$M$722,0)),""))</f>
        <v/>
      </c>
      <c r="G506" s="24">
        <f>IF($A506="","",IFERROR(INDEX('03 Raw Data'!$Q$3:$Q$722,MATCH($A506,'03 Raw Data'!$P$3:$P$722,0)),""))</f>
        <v/>
      </c>
      <c r="H506" s="24">
        <f>IF($A506="","",IFERROR(INDEX('03 Raw Data'!$T$3:$T$722,MATCH($A506,'03 Raw Data'!$S$3:$S$722,0)),""))</f>
        <v/>
      </c>
    </row>
    <row r="507">
      <c r="A507" s="23">
        <f>IFERROR(IF(OR('03 Raw Data'!A505="",'03 Raw Data'!A505=0),"",'03 Raw Data'!A505),"")</f>
        <v/>
      </c>
      <c r="B507" s="24">
        <f>IF($A507="","",IFERROR(INDEX('03 Raw Data'!$B$3:$B$722,MATCH($A507,'03 Raw Data'!$A$3:$A$722,0)),""))</f>
        <v/>
      </c>
      <c r="C507" s="24">
        <f>IF($A507="","",IFERROR(INDEX('03 Raw Data'!$E$3:$E$722,MATCH($A507,'03 Raw Data'!$D$3:$D$722,0)),""))</f>
        <v/>
      </c>
      <c r="D507" s="24">
        <f>IF($A507="","",IFERROR(INDEX('03 Raw Data'!$H$3:$H$722,MATCH($A507,'03 Raw Data'!$G$3:$G$722,0)),""))</f>
        <v/>
      </c>
      <c r="E507" s="24">
        <f>IF($A507="","",IFERROR(INDEX('03 Raw Data'!$K$3:$K$722,MATCH($A507,'03 Raw Data'!$J$3:$J$722,0)),""))</f>
        <v/>
      </c>
      <c r="F507" s="24">
        <f>IF($A507="","",IFERROR(INDEX('03 Raw Data'!$N$3:$N$722,MATCH($A507,'03 Raw Data'!$M$3:$M$722,0)),""))</f>
        <v/>
      </c>
      <c r="G507" s="24">
        <f>IF($A507="","",IFERROR(INDEX('03 Raw Data'!$Q$3:$Q$722,MATCH($A507,'03 Raw Data'!$P$3:$P$722,0)),""))</f>
        <v/>
      </c>
      <c r="H507" s="24">
        <f>IF($A507="","",IFERROR(INDEX('03 Raw Data'!$T$3:$T$722,MATCH($A507,'03 Raw Data'!$S$3:$S$722,0)),""))</f>
        <v/>
      </c>
    </row>
    <row r="508">
      <c r="A508" s="23">
        <f>IFERROR(IF(OR('03 Raw Data'!A506="",'03 Raw Data'!A506=0),"",'03 Raw Data'!A506),"")</f>
        <v/>
      </c>
      <c r="B508" s="24">
        <f>IF($A508="","",IFERROR(INDEX('03 Raw Data'!$B$3:$B$722,MATCH($A508,'03 Raw Data'!$A$3:$A$722,0)),""))</f>
        <v/>
      </c>
      <c r="C508" s="24">
        <f>IF($A508="","",IFERROR(INDEX('03 Raw Data'!$E$3:$E$722,MATCH($A508,'03 Raw Data'!$D$3:$D$722,0)),""))</f>
        <v/>
      </c>
      <c r="D508" s="24">
        <f>IF($A508="","",IFERROR(INDEX('03 Raw Data'!$H$3:$H$722,MATCH($A508,'03 Raw Data'!$G$3:$G$722,0)),""))</f>
        <v/>
      </c>
      <c r="E508" s="24">
        <f>IF($A508="","",IFERROR(INDEX('03 Raw Data'!$K$3:$K$722,MATCH($A508,'03 Raw Data'!$J$3:$J$722,0)),""))</f>
        <v/>
      </c>
      <c r="F508" s="24">
        <f>IF($A508="","",IFERROR(INDEX('03 Raw Data'!$N$3:$N$722,MATCH($A508,'03 Raw Data'!$M$3:$M$722,0)),""))</f>
        <v/>
      </c>
      <c r="G508" s="24">
        <f>IF($A508="","",IFERROR(INDEX('03 Raw Data'!$Q$3:$Q$722,MATCH($A508,'03 Raw Data'!$P$3:$P$722,0)),""))</f>
        <v/>
      </c>
      <c r="H508" s="24">
        <f>IF($A508="","",IFERROR(INDEX('03 Raw Data'!$T$3:$T$722,MATCH($A508,'03 Raw Data'!$S$3:$S$722,0)),""))</f>
        <v/>
      </c>
    </row>
    <row r="509">
      <c r="A509" s="23">
        <f>IFERROR(IF(OR('03 Raw Data'!A507="",'03 Raw Data'!A507=0),"",'03 Raw Data'!A507),"")</f>
        <v/>
      </c>
      <c r="B509" s="24">
        <f>IF($A509="","",IFERROR(INDEX('03 Raw Data'!$B$3:$B$722,MATCH($A509,'03 Raw Data'!$A$3:$A$722,0)),""))</f>
        <v/>
      </c>
      <c r="C509" s="24">
        <f>IF($A509="","",IFERROR(INDEX('03 Raw Data'!$E$3:$E$722,MATCH($A509,'03 Raw Data'!$D$3:$D$722,0)),""))</f>
        <v/>
      </c>
      <c r="D509" s="24">
        <f>IF($A509="","",IFERROR(INDEX('03 Raw Data'!$H$3:$H$722,MATCH($A509,'03 Raw Data'!$G$3:$G$722,0)),""))</f>
        <v/>
      </c>
      <c r="E509" s="24">
        <f>IF($A509="","",IFERROR(INDEX('03 Raw Data'!$K$3:$K$722,MATCH($A509,'03 Raw Data'!$J$3:$J$722,0)),""))</f>
        <v/>
      </c>
      <c r="F509" s="24">
        <f>IF($A509="","",IFERROR(INDEX('03 Raw Data'!$N$3:$N$722,MATCH($A509,'03 Raw Data'!$M$3:$M$722,0)),""))</f>
        <v/>
      </c>
      <c r="G509" s="24">
        <f>IF($A509="","",IFERROR(INDEX('03 Raw Data'!$Q$3:$Q$722,MATCH($A509,'03 Raw Data'!$P$3:$P$722,0)),""))</f>
        <v/>
      </c>
      <c r="H509" s="24">
        <f>IF($A509="","",IFERROR(INDEX('03 Raw Data'!$T$3:$T$722,MATCH($A509,'03 Raw Data'!$S$3:$S$722,0)),""))</f>
        <v/>
      </c>
    </row>
    <row r="510">
      <c r="A510" s="23">
        <f>IFERROR(IF(OR('03 Raw Data'!A508="",'03 Raw Data'!A508=0),"",'03 Raw Data'!A508),"")</f>
        <v/>
      </c>
      <c r="B510" s="24">
        <f>IF($A510="","",IFERROR(INDEX('03 Raw Data'!$B$3:$B$722,MATCH($A510,'03 Raw Data'!$A$3:$A$722,0)),""))</f>
        <v/>
      </c>
      <c r="C510" s="24">
        <f>IF($A510="","",IFERROR(INDEX('03 Raw Data'!$E$3:$E$722,MATCH($A510,'03 Raw Data'!$D$3:$D$722,0)),""))</f>
        <v/>
      </c>
      <c r="D510" s="24">
        <f>IF($A510="","",IFERROR(INDEX('03 Raw Data'!$H$3:$H$722,MATCH($A510,'03 Raw Data'!$G$3:$G$722,0)),""))</f>
        <v/>
      </c>
      <c r="E510" s="24">
        <f>IF($A510="","",IFERROR(INDEX('03 Raw Data'!$K$3:$K$722,MATCH($A510,'03 Raw Data'!$J$3:$J$722,0)),""))</f>
        <v/>
      </c>
      <c r="F510" s="24">
        <f>IF($A510="","",IFERROR(INDEX('03 Raw Data'!$N$3:$N$722,MATCH($A510,'03 Raw Data'!$M$3:$M$722,0)),""))</f>
        <v/>
      </c>
      <c r="G510" s="24">
        <f>IF($A510="","",IFERROR(INDEX('03 Raw Data'!$Q$3:$Q$722,MATCH($A510,'03 Raw Data'!$P$3:$P$722,0)),""))</f>
        <v/>
      </c>
      <c r="H510" s="24">
        <f>IF($A510="","",IFERROR(INDEX('03 Raw Data'!$T$3:$T$722,MATCH($A510,'03 Raw Data'!$S$3:$S$722,0)),""))</f>
        <v/>
      </c>
    </row>
    <row r="511">
      <c r="A511" s="23">
        <f>IFERROR(IF(OR('03 Raw Data'!A509="",'03 Raw Data'!A509=0),"",'03 Raw Data'!A509),"")</f>
        <v/>
      </c>
      <c r="B511" s="24">
        <f>IF($A511="","",IFERROR(INDEX('03 Raw Data'!$B$3:$B$722,MATCH($A511,'03 Raw Data'!$A$3:$A$722,0)),""))</f>
        <v/>
      </c>
      <c r="C511" s="24">
        <f>IF($A511="","",IFERROR(INDEX('03 Raw Data'!$E$3:$E$722,MATCH($A511,'03 Raw Data'!$D$3:$D$722,0)),""))</f>
        <v/>
      </c>
      <c r="D511" s="24">
        <f>IF($A511="","",IFERROR(INDEX('03 Raw Data'!$H$3:$H$722,MATCH($A511,'03 Raw Data'!$G$3:$G$722,0)),""))</f>
        <v/>
      </c>
      <c r="E511" s="24">
        <f>IF($A511="","",IFERROR(INDEX('03 Raw Data'!$K$3:$K$722,MATCH($A511,'03 Raw Data'!$J$3:$J$722,0)),""))</f>
        <v/>
      </c>
      <c r="F511" s="24">
        <f>IF($A511="","",IFERROR(INDEX('03 Raw Data'!$N$3:$N$722,MATCH($A511,'03 Raw Data'!$M$3:$M$722,0)),""))</f>
        <v/>
      </c>
      <c r="G511" s="24">
        <f>IF($A511="","",IFERROR(INDEX('03 Raw Data'!$Q$3:$Q$722,MATCH($A511,'03 Raw Data'!$P$3:$P$722,0)),""))</f>
        <v/>
      </c>
      <c r="H511" s="24">
        <f>IF($A511="","",IFERROR(INDEX('03 Raw Data'!$T$3:$T$722,MATCH($A511,'03 Raw Data'!$S$3:$S$722,0)),""))</f>
        <v/>
      </c>
    </row>
    <row r="512">
      <c r="A512" s="23">
        <f>IFERROR(IF(OR('03 Raw Data'!A510="",'03 Raw Data'!A510=0),"",'03 Raw Data'!A510),"")</f>
        <v/>
      </c>
      <c r="B512" s="24">
        <f>IF($A512="","",IFERROR(INDEX('03 Raw Data'!$B$3:$B$722,MATCH($A512,'03 Raw Data'!$A$3:$A$722,0)),""))</f>
        <v/>
      </c>
      <c r="C512" s="24">
        <f>IF($A512="","",IFERROR(INDEX('03 Raw Data'!$E$3:$E$722,MATCH($A512,'03 Raw Data'!$D$3:$D$722,0)),""))</f>
        <v/>
      </c>
      <c r="D512" s="24">
        <f>IF($A512="","",IFERROR(INDEX('03 Raw Data'!$H$3:$H$722,MATCH($A512,'03 Raw Data'!$G$3:$G$722,0)),""))</f>
        <v/>
      </c>
      <c r="E512" s="24">
        <f>IF($A512="","",IFERROR(INDEX('03 Raw Data'!$K$3:$K$722,MATCH($A512,'03 Raw Data'!$J$3:$J$722,0)),""))</f>
        <v/>
      </c>
      <c r="F512" s="24">
        <f>IF($A512="","",IFERROR(INDEX('03 Raw Data'!$N$3:$N$722,MATCH($A512,'03 Raw Data'!$M$3:$M$722,0)),""))</f>
        <v/>
      </c>
      <c r="G512" s="24">
        <f>IF($A512="","",IFERROR(INDEX('03 Raw Data'!$Q$3:$Q$722,MATCH($A512,'03 Raw Data'!$P$3:$P$722,0)),""))</f>
        <v/>
      </c>
      <c r="H512" s="24">
        <f>IF($A512="","",IFERROR(INDEX('03 Raw Data'!$T$3:$T$722,MATCH($A512,'03 Raw Data'!$S$3:$S$722,0)),""))</f>
        <v/>
      </c>
    </row>
    <row r="513">
      <c r="A513" s="23">
        <f>IFERROR(IF(OR('03 Raw Data'!A511="",'03 Raw Data'!A511=0),"",'03 Raw Data'!A511),"")</f>
        <v/>
      </c>
      <c r="B513" s="24">
        <f>IF($A513="","",IFERROR(INDEX('03 Raw Data'!$B$3:$B$722,MATCH($A513,'03 Raw Data'!$A$3:$A$722,0)),""))</f>
        <v/>
      </c>
      <c r="C513" s="24">
        <f>IF($A513="","",IFERROR(INDEX('03 Raw Data'!$E$3:$E$722,MATCH($A513,'03 Raw Data'!$D$3:$D$722,0)),""))</f>
        <v/>
      </c>
      <c r="D513" s="24">
        <f>IF($A513="","",IFERROR(INDEX('03 Raw Data'!$H$3:$H$722,MATCH($A513,'03 Raw Data'!$G$3:$G$722,0)),""))</f>
        <v/>
      </c>
      <c r="E513" s="24">
        <f>IF($A513="","",IFERROR(INDEX('03 Raw Data'!$K$3:$K$722,MATCH($A513,'03 Raw Data'!$J$3:$J$722,0)),""))</f>
        <v/>
      </c>
      <c r="F513" s="24">
        <f>IF($A513="","",IFERROR(INDEX('03 Raw Data'!$N$3:$N$722,MATCH($A513,'03 Raw Data'!$M$3:$M$722,0)),""))</f>
        <v/>
      </c>
      <c r="G513" s="24">
        <f>IF($A513="","",IFERROR(INDEX('03 Raw Data'!$Q$3:$Q$722,MATCH($A513,'03 Raw Data'!$P$3:$P$722,0)),""))</f>
        <v/>
      </c>
      <c r="H513" s="24">
        <f>IF($A513="","",IFERROR(INDEX('03 Raw Data'!$T$3:$T$722,MATCH($A513,'03 Raw Data'!$S$3:$S$722,0)),""))</f>
        <v/>
      </c>
    </row>
    <row r="514">
      <c r="A514" s="23">
        <f>IFERROR(IF(OR('03 Raw Data'!A512="",'03 Raw Data'!A512=0),"",'03 Raw Data'!A512),"")</f>
        <v/>
      </c>
      <c r="B514" s="24">
        <f>IF($A514="","",IFERROR(INDEX('03 Raw Data'!$B$3:$B$722,MATCH($A514,'03 Raw Data'!$A$3:$A$722,0)),""))</f>
        <v/>
      </c>
      <c r="C514" s="24">
        <f>IF($A514="","",IFERROR(INDEX('03 Raw Data'!$E$3:$E$722,MATCH($A514,'03 Raw Data'!$D$3:$D$722,0)),""))</f>
        <v/>
      </c>
      <c r="D514" s="24">
        <f>IF($A514="","",IFERROR(INDEX('03 Raw Data'!$H$3:$H$722,MATCH($A514,'03 Raw Data'!$G$3:$G$722,0)),""))</f>
        <v/>
      </c>
      <c r="E514" s="24">
        <f>IF($A514="","",IFERROR(INDEX('03 Raw Data'!$K$3:$K$722,MATCH($A514,'03 Raw Data'!$J$3:$J$722,0)),""))</f>
        <v/>
      </c>
      <c r="F514" s="24">
        <f>IF($A514="","",IFERROR(INDEX('03 Raw Data'!$N$3:$N$722,MATCH($A514,'03 Raw Data'!$M$3:$M$722,0)),""))</f>
        <v/>
      </c>
      <c r="G514" s="24">
        <f>IF($A514="","",IFERROR(INDEX('03 Raw Data'!$Q$3:$Q$722,MATCH($A514,'03 Raw Data'!$P$3:$P$722,0)),""))</f>
        <v/>
      </c>
      <c r="H514" s="24">
        <f>IF($A514="","",IFERROR(INDEX('03 Raw Data'!$T$3:$T$722,MATCH($A514,'03 Raw Data'!$S$3:$S$722,0)),""))</f>
        <v/>
      </c>
    </row>
    <row r="515">
      <c r="A515" s="23">
        <f>IFERROR(IF(OR('03 Raw Data'!A513="",'03 Raw Data'!A513=0),"",'03 Raw Data'!A513),"")</f>
        <v/>
      </c>
      <c r="B515" s="24">
        <f>IF($A515="","",IFERROR(INDEX('03 Raw Data'!$B$3:$B$722,MATCH($A515,'03 Raw Data'!$A$3:$A$722,0)),""))</f>
        <v/>
      </c>
      <c r="C515" s="24">
        <f>IF($A515="","",IFERROR(INDEX('03 Raw Data'!$E$3:$E$722,MATCH($A515,'03 Raw Data'!$D$3:$D$722,0)),""))</f>
        <v/>
      </c>
      <c r="D515" s="24">
        <f>IF($A515="","",IFERROR(INDEX('03 Raw Data'!$H$3:$H$722,MATCH($A515,'03 Raw Data'!$G$3:$G$722,0)),""))</f>
        <v/>
      </c>
      <c r="E515" s="24">
        <f>IF($A515="","",IFERROR(INDEX('03 Raw Data'!$K$3:$K$722,MATCH($A515,'03 Raw Data'!$J$3:$J$722,0)),""))</f>
        <v/>
      </c>
      <c r="F515" s="24">
        <f>IF($A515="","",IFERROR(INDEX('03 Raw Data'!$N$3:$N$722,MATCH($A515,'03 Raw Data'!$M$3:$M$722,0)),""))</f>
        <v/>
      </c>
      <c r="G515" s="24">
        <f>IF($A515="","",IFERROR(INDEX('03 Raw Data'!$Q$3:$Q$722,MATCH($A515,'03 Raw Data'!$P$3:$P$722,0)),""))</f>
        <v/>
      </c>
      <c r="H515" s="24">
        <f>IF($A515="","",IFERROR(INDEX('03 Raw Data'!$T$3:$T$722,MATCH($A515,'03 Raw Data'!$S$3:$S$722,0)),""))</f>
        <v/>
      </c>
    </row>
    <row r="516">
      <c r="A516" s="23">
        <f>IFERROR(IF(OR('03 Raw Data'!A514="",'03 Raw Data'!A514=0),"",'03 Raw Data'!A514),"")</f>
        <v/>
      </c>
      <c r="B516" s="24">
        <f>IF($A516="","",IFERROR(INDEX('03 Raw Data'!$B$3:$B$722,MATCH($A516,'03 Raw Data'!$A$3:$A$722,0)),""))</f>
        <v/>
      </c>
      <c r="C516" s="24">
        <f>IF($A516="","",IFERROR(INDEX('03 Raw Data'!$E$3:$E$722,MATCH($A516,'03 Raw Data'!$D$3:$D$722,0)),""))</f>
        <v/>
      </c>
      <c r="D516" s="24">
        <f>IF($A516="","",IFERROR(INDEX('03 Raw Data'!$H$3:$H$722,MATCH($A516,'03 Raw Data'!$G$3:$G$722,0)),""))</f>
        <v/>
      </c>
      <c r="E516" s="24">
        <f>IF($A516="","",IFERROR(INDEX('03 Raw Data'!$K$3:$K$722,MATCH($A516,'03 Raw Data'!$J$3:$J$722,0)),""))</f>
        <v/>
      </c>
      <c r="F516" s="24">
        <f>IF($A516="","",IFERROR(INDEX('03 Raw Data'!$N$3:$N$722,MATCH($A516,'03 Raw Data'!$M$3:$M$722,0)),""))</f>
        <v/>
      </c>
      <c r="G516" s="24">
        <f>IF($A516="","",IFERROR(INDEX('03 Raw Data'!$Q$3:$Q$722,MATCH($A516,'03 Raw Data'!$P$3:$P$722,0)),""))</f>
        <v/>
      </c>
      <c r="H516" s="24">
        <f>IF($A516="","",IFERROR(INDEX('03 Raw Data'!$T$3:$T$722,MATCH($A516,'03 Raw Data'!$S$3:$S$722,0)),""))</f>
        <v/>
      </c>
    </row>
    <row r="517">
      <c r="A517" s="23">
        <f>IFERROR(IF(OR('03 Raw Data'!A515="",'03 Raw Data'!A515=0),"",'03 Raw Data'!A515),"")</f>
        <v/>
      </c>
      <c r="B517" s="24">
        <f>IF($A517="","",IFERROR(INDEX('03 Raw Data'!$B$3:$B$722,MATCH($A517,'03 Raw Data'!$A$3:$A$722,0)),""))</f>
        <v/>
      </c>
      <c r="C517" s="24">
        <f>IF($A517="","",IFERROR(INDEX('03 Raw Data'!$E$3:$E$722,MATCH($A517,'03 Raw Data'!$D$3:$D$722,0)),""))</f>
        <v/>
      </c>
      <c r="D517" s="24">
        <f>IF($A517="","",IFERROR(INDEX('03 Raw Data'!$H$3:$H$722,MATCH($A517,'03 Raw Data'!$G$3:$G$722,0)),""))</f>
        <v/>
      </c>
      <c r="E517" s="24">
        <f>IF($A517="","",IFERROR(INDEX('03 Raw Data'!$K$3:$K$722,MATCH($A517,'03 Raw Data'!$J$3:$J$722,0)),""))</f>
        <v/>
      </c>
      <c r="F517" s="24">
        <f>IF($A517="","",IFERROR(INDEX('03 Raw Data'!$N$3:$N$722,MATCH($A517,'03 Raw Data'!$M$3:$M$722,0)),""))</f>
        <v/>
      </c>
      <c r="G517" s="24">
        <f>IF($A517="","",IFERROR(INDEX('03 Raw Data'!$Q$3:$Q$722,MATCH($A517,'03 Raw Data'!$P$3:$P$722,0)),""))</f>
        <v/>
      </c>
      <c r="H517" s="24">
        <f>IF($A517="","",IFERROR(INDEX('03 Raw Data'!$T$3:$T$722,MATCH($A517,'03 Raw Data'!$S$3:$S$722,0)),""))</f>
        <v/>
      </c>
    </row>
    <row r="518">
      <c r="A518" s="23">
        <f>IFERROR(IF(OR('03 Raw Data'!A516="",'03 Raw Data'!A516=0),"",'03 Raw Data'!A516),"")</f>
        <v/>
      </c>
      <c r="B518" s="24">
        <f>IF($A518="","",IFERROR(INDEX('03 Raw Data'!$B$3:$B$722,MATCH($A518,'03 Raw Data'!$A$3:$A$722,0)),""))</f>
        <v/>
      </c>
      <c r="C518" s="24">
        <f>IF($A518="","",IFERROR(INDEX('03 Raw Data'!$E$3:$E$722,MATCH($A518,'03 Raw Data'!$D$3:$D$722,0)),""))</f>
        <v/>
      </c>
      <c r="D518" s="24">
        <f>IF($A518="","",IFERROR(INDEX('03 Raw Data'!$H$3:$H$722,MATCH($A518,'03 Raw Data'!$G$3:$G$722,0)),""))</f>
        <v/>
      </c>
      <c r="E518" s="24">
        <f>IF($A518="","",IFERROR(INDEX('03 Raw Data'!$K$3:$K$722,MATCH($A518,'03 Raw Data'!$J$3:$J$722,0)),""))</f>
        <v/>
      </c>
      <c r="F518" s="24">
        <f>IF($A518="","",IFERROR(INDEX('03 Raw Data'!$N$3:$N$722,MATCH($A518,'03 Raw Data'!$M$3:$M$722,0)),""))</f>
        <v/>
      </c>
      <c r="G518" s="24">
        <f>IF($A518="","",IFERROR(INDEX('03 Raw Data'!$Q$3:$Q$722,MATCH($A518,'03 Raw Data'!$P$3:$P$722,0)),""))</f>
        <v/>
      </c>
      <c r="H518" s="24">
        <f>IF($A518="","",IFERROR(INDEX('03 Raw Data'!$T$3:$T$722,MATCH($A518,'03 Raw Data'!$S$3:$S$722,0)),""))</f>
        <v/>
      </c>
    </row>
    <row r="519">
      <c r="A519" s="23">
        <f>IFERROR(IF(OR('03 Raw Data'!A517="",'03 Raw Data'!A517=0),"",'03 Raw Data'!A517),"")</f>
        <v/>
      </c>
      <c r="B519" s="24">
        <f>IF($A519="","",IFERROR(INDEX('03 Raw Data'!$B$3:$B$722,MATCH($A519,'03 Raw Data'!$A$3:$A$722,0)),""))</f>
        <v/>
      </c>
      <c r="C519" s="24">
        <f>IF($A519="","",IFERROR(INDEX('03 Raw Data'!$E$3:$E$722,MATCH($A519,'03 Raw Data'!$D$3:$D$722,0)),""))</f>
        <v/>
      </c>
      <c r="D519" s="24">
        <f>IF($A519="","",IFERROR(INDEX('03 Raw Data'!$H$3:$H$722,MATCH($A519,'03 Raw Data'!$G$3:$G$722,0)),""))</f>
        <v/>
      </c>
      <c r="E519" s="24">
        <f>IF($A519="","",IFERROR(INDEX('03 Raw Data'!$K$3:$K$722,MATCH($A519,'03 Raw Data'!$J$3:$J$722,0)),""))</f>
        <v/>
      </c>
      <c r="F519" s="24">
        <f>IF($A519="","",IFERROR(INDEX('03 Raw Data'!$N$3:$N$722,MATCH($A519,'03 Raw Data'!$M$3:$M$722,0)),""))</f>
        <v/>
      </c>
      <c r="G519" s="24">
        <f>IF($A519="","",IFERROR(INDEX('03 Raw Data'!$Q$3:$Q$722,MATCH($A519,'03 Raw Data'!$P$3:$P$722,0)),""))</f>
        <v/>
      </c>
      <c r="H519" s="24">
        <f>IF($A519="","",IFERROR(INDEX('03 Raw Data'!$T$3:$T$722,MATCH($A519,'03 Raw Data'!$S$3:$S$722,0)),""))</f>
        <v/>
      </c>
    </row>
    <row r="520">
      <c r="A520" s="23">
        <f>IFERROR(IF(OR('03 Raw Data'!A518="",'03 Raw Data'!A518=0),"",'03 Raw Data'!A518),"")</f>
        <v/>
      </c>
      <c r="B520" s="24">
        <f>IF($A520="","",IFERROR(INDEX('03 Raw Data'!$B$3:$B$722,MATCH($A520,'03 Raw Data'!$A$3:$A$722,0)),""))</f>
        <v/>
      </c>
      <c r="C520" s="24">
        <f>IF($A520="","",IFERROR(INDEX('03 Raw Data'!$E$3:$E$722,MATCH($A520,'03 Raw Data'!$D$3:$D$722,0)),""))</f>
        <v/>
      </c>
      <c r="D520" s="24">
        <f>IF($A520="","",IFERROR(INDEX('03 Raw Data'!$H$3:$H$722,MATCH($A520,'03 Raw Data'!$G$3:$G$722,0)),""))</f>
        <v/>
      </c>
      <c r="E520" s="24">
        <f>IF($A520="","",IFERROR(INDEX('03 Raw Data'!$K$3:$K$722,MATCH($A520,'03 Raw Data'!$J$3:$J$722,0)),""))</f>
        <v/>
      </c>
      <c r="F520" s="24">
        <f>IF($A520="","",IFERROR(INDEX('03 Raw Data'!$N$3:$N$722,MATCH($A520,'03 Raw Data'!$M$3:$M$722,0)),""))</f>
        <v/>
      </c>
      <c r="G520" s="24">
        <f>IF($A520="","",IFERROR(INDEX('03 Raw Data'!$Q$3:$Q$722,MATCH($A520,'03 Raw Data'!$P$3:$P$722,0)),""))</f>
        <v/>
      </c>
      <c r="H520" s="24">
        <f>IF($A520="","",IFERROR(INDEX('03 Raw Data'!$T$3:$T$722,MATCH($A520,'03 Raw Data'!$S$3:$S$722,0)),""))</f>
        <v/>
      </c>
    </row>
    <row r="521">
      <c r="A521" s="23">
        <f>IFERROR(IF(OR('03 Raw Data'!A519="",'03 Raw Data'!A519=0),"",'03 Raw Data'!A519),"")</f>
        <v/>
      </c>
      <c r="B521" s="24">
        <f>IF($A521="","",IFERROR(INDEX('03 Raw Data'!$B$3:$B$722,MATCH($A521,'03 Raw Data'!$A$3:$A$722,0)),""))</f>
        <v/>
      </c>
      <c r="C521" s="24">
        <f>IF($A521="","",IFERROR(INDEX('03 Raw Data'!$E$3:$E$722,MATCH($A521,'03 Raw Data'!$D$3:$D$722,0)),""))</f>
        <v/>
      </c>
      <c r="D521" s="24">
        <f>IF($A521="","",IFERROR(INDEX('03 Raw Data'!$H$3:$H$722,MATCH($A521,'03 Raw Data'!$G$3:$G$722,0)),""))</f>
        <v/>
      </c>
      <c r="E521" s="24">
        <f>IF($A521="","",IFERROR(INDEX('03 Raw Data'!$K$3:$K$722,MATCH($A521,'03 Raw Data'!$J$3:$J$722,0)),""))</f>
        <v/>
      </c>
      <c r="F521" s="24">
        <f>IF($A521="","",IFERROR(INDEX('03 Raw Data'!$N$3:$N$722,MATCH($A521,'03 Raw Data'!$M$3:$M$722,0)),""))</f>
        <v/>
      </c>
      <c r="G521" s="24">
        <f>IF($A521="","",IFERROR(INDEX('03 Raw Data'!$Q$3:$Q$722,MATCH($A521,'03 Raw Data'!$P$3:$P$722,0)),""))</f>
        <v/>
      </c>
      <c r="H521" s="24">
        <f>IF($A521="","",IFERROR(INDEX('03 Raw Data'!$T$3:$T$722,MATCH($A521,'03 Raw Data'!$S$3:$S$722,0)),""))</f>
        <v/>
      </c>
    </row>
    <row r="522">
      <c r="A522" s="23">
        <f>IFERROR(IF(OR('03 Raw Data'!A520="",'03 Raw Data'!A520=0),"",'03 Raw Data'!A520),"")</f>
        <v/>
      </c>
      <c r="B522" s="24">
        <f>IF($A522="","",IFERROR(INDEX('03 Raw Data'!$B$3:$B$722,MATCH($A522,'03 Raw Data'!$A$3:$A$722,0)),""))</f>
        <v/>
      </c>
      <c r="C522" s="24">
        <f>IF($A522="","",IFERROR(INDEX('03 Raw Data'!$E$3:$E$722,MATCH($A522,'03 Raw Data'!$D$3:$D$722,0)),""))</f>
        <v/>
      </c>
      <c r="D522" s="24">
        <f>IF($A522="","",IFERROR(INDEX('03 Raw Data'!$H$3:$H$722,MATCH($A522,'03 Raw Data'!$G$3:$G$722,0)),""))</f>
        <v/>
      </c>
      <c r="E522" s="24">
        <f>IF($A522="","",IFERROR(INDEX('03 Raw Data'!$K$3:$K$722,MATCH($A522,'03 Raw Data'!$J$3:$J$722,0)),""))</f>
        <v/>
      </c>
      <c r="F522" s="24">
        <f>IF($A522="","",IFERROR(INDEX('03 Raw Data'!$N$3:$N$722,MATCH($A522,'03 Raw Data'!$M$3:$M$722,0)),""))</f>
        <v/>
      </c>
      <c r="G522" s="24">
        <f>IF($A522="","",IFERROR(INDEX('03 Raw Data'!$Q$3:$Q$722,MATCH($A522,'03 Raw Data'!$P$3:$P$722,0)),""))</f>
        <v/>
      </c>
      <c r="H522" s="24">
        <f>IF($A522="","",IFERROR(INDEX('03 Raw Data'!$T$3:$T$722,MATCH($A522,'03 Raw Data'!$S$3:$S$722,0)),""))</f>
        <v/>
      </c>
    </row>
    <row r="523">
      <c r="A523" s="23">
        <f>IFERROR(IF(OR('03 Raw Data'!A521="",'03 Raw Data'!A521=0),"",'03 Raw Data'!A521),"")</f>
        <v/>
      </c>
      <c r="B523" s="24">
        <f>IF($A523="","",IFERROR(INDEX('03 Raw Data'!$B$3:$B$722,MATCH($A523,'03 Raw Data'!$A$3:$A$722,0)),""))</f>
        <v/>
      </c>
      <c r="C523" s="24">
        <f>IF($A523="","",IFERROR(INDEX('03 Raw Data'!$E$3:$E$722,MATCH($A523,'03 Raw Data'!$D$3:$D$722,0)),""))</f>
        <v/>
      </c>
      <c r="D523" s="24">
        <f>IF($A523="","",IFERROR(INDEX('03 Raw Data'!$H$3:$H$722,MATCH($A523,'03 Raw Data'!$G$3:$G$722,0)),""))</f>
        <v/>
      </c>
      <c r="E523" s="24">
        <f>IF($A523="","",IFERROR(INDEX('03 Raw Data'!$K$3:$K$722,MATCH($A523,'03 Raw Data'!$J$3:$J$722,0)),""))</f>
        <v/>
      </c>
      <c r="F523" s="24">
        <f>IF($A523="","",IFERROR(INDEX('03 Raw Data'!$N$3:$N$722,MATCH($A523,'03 Raw Data'!$M$3:$M$722,0)),""))</f>
        <v/>
      </c>
      <c r="G523" s="24">
        <f>IF($A523="","",IFERROR(INDEX('03 Raw Data'!$Q$3:$Q$722,MATCH($A523,'03 Raw Data'!$P$3:$P$722,0)),""))</f>
        <v/>
      </c>
      <c r="H523" s="24">
        <f>IF($A523="","",IFERROR(INDEX('03 Raw Data'!$T$3:$T$722,MATCH($A523,'03 Raw Data'!$S$3:$S$722,0)),""))</f>
        <v/>
      </c>
    </row>
    <row r="524">
      <c r="A524" s="23">
        <f>IFERROR(IF(OR('03 Raw Data'!A522="",'03 Raw Data'!A522=0),"",'03 Raw Data'!A522),"")</f>
        <v/>
      </c>
      <c r="B524" s="24">
        <f>IF($A524="","",IFERROR(INDEX('03 Raw Data'!$B$3:$B$722,MATCH($A524,'03 Raw Data'!$A$3:$A$722,0)),""))</f>
        <v/>
      </c>
      <c r="C524" s="24">
        <f>IF($A524="","",IFERROR(INDEX('03 Raw Data'!$E$3:$E$722,MATCH($A524,'03 Raw Data'!$D$3:$D$722,0)),""))</f>
        <v/>
      </c>
      <c r="D524" s="24">
        <f>IF($A524="","",IFERROR(INDEX('03 Raw Data'!$H$3:$H$722,MATCH($A524,'03 Raw Data'!$G$3:$G$722,0)),""))</f>
        <v/>
      </c>
      <c r="E524" s="24">
        <f>IF($A524="","",IFERROR(INDEX('03 Raw Data'!$K$3:$K$722,MATCH($A524,'03 Raw Data'!$J$3:$J$722,0)),""))</f>
        <v/>
      </c>
      <c r="F524" s="24">
        <f>IF($A524="","",IFERROR(INDEX('03 Raw Data'!$N$3:$N$722,MATCH($A524,'03 Raw Data'!$M$3:$M$722,0)),""))</f>
        <v/>
      </c>
      <c r="G524" s="24">
        <f>IF($A524="","",IFERROR(INDEX('03 Raw Data'!$Q$3:$Q$722,MATCH($A524,'03 Raw Data'!$P$3:$P$722,0)),""))</f>
        <v/>
      </c>
      <c r="H524" s="24">
        <f>IF($A524="","",IFERROR(INDEX('03 Raw Data'!$T$3:$T$722,MATCH($A524,'03 Raw Data'!$S$3:$S$722,0)),""))</f>
        <v/>
      </c>
    </row>
    <row r="525">
      <c r="A525" s="23">
        <f>IFERROR(IF(OR('03 Raw Data'!A523="",'03 Raw Data'!A523=0),"",'03 Raw Data'!A523),"")</f>
        <v/>
      </c>
      <c r="B525" s="24">
        <f>IF($A525="","",IFERROR(INDEX('03 Raw Data'!$B$3:$B$722,MATCH($A525,'03 Raw Data'!$A$3:$A$722,0)),""))</f>
        <v/>
      </c>
      <c r="C525" s="24">
        <f>IF($A525="","",IFERROR(INDEX('03 Raw Data'!$E$3:$E$722,MATCH($A525,'03 Raw Data'!$D$3:$D$722,0)),""))</f>
        <v/>
      </c>
      <c r="D525" s="24">
        <f>IF($A525="","",IFERROR(INDEX('03 Raw Data'!$H$3:$H$722,MATCH($A525,'03 Raw Data'!$G$3:$G$722,0)),""))</f>
        <v/>
      </c>
      <c r="E525" s="24">
        <f>IF($A525="","",IFERROR(INDEX('03 Raw Data'!$K$3:$K$722,MATCH($A525,'03 Raw Data'!$J$3:$J$722,0)),""))</f>
        <v/>
      </c>
      <c r="F525" s="24">
        <f>IF($A525="","",IFERROR(INDEX('03 Raw Data'!$N$3:$N$722,MATCH($A525,'03 Raw Data'!$M$3:$M$722,0)),""))</f>
        <v/>
      </c>
      <c r="G525" s="24">
        <f>IF($A525="","",IFERROR(INDEX('03 Raw Data'!$Q$3:$Q$722,MATCH($A525,'03 Raw Data'!$P$3:$P$722,0)),""))</f>
        <v/>
      </c>
      <c r="H525" s="24">
        <f>IF($A525="","",IFERROR(INDEX('03 Raw Data'!$T$3:$T$722,MATCH($A525,'03 Raw Data'!$S$3:$S$722,0)),""))</f>
        <v/>
      </c>
    </row>
    <row r="526">
      <c r="A526" s="23">
        <f>IFERROR(IF(OR('03 Raw Data'!A524="",'03 Raw Data'!A524=0),"",'03 Raw Data'!A524),"")</f>
        <v/>
      </c>
      <c r="B526" s="24">
        <f>IF($A526="","",IFERROR(INDEX('03 Raw Data'!$B$3:$B$722,MATCH($A526,'03 Raw Data'!$A$3:$A$722,0)),""))</f>
        <v/>
      </c>
      <c r="C526" s="24">
        <f>IF($A526="","",IFERROR(INDEX('03 Raw Data'!$E$3:$E$722,MATCH($A526,'03 Raw Data'!$D$3:$D$722,0)),""))</f>
        <v/>
      </c>
      <c r="D526" s="24">
        <f>IF($A526="","",IFERROR(INDEX('03 Raw Data'!$H$3:$H$722,MATCH($A526,'03 Raw Data'!$G$3:$G$722,0)),""))</f>
        <v/>
      </c>
      <c r="E526" s="24">
        <f>IF($A526="","",IFERROR(INDEX('03 Raw Data'!$K$3:$K$722,MATCH($A526,'03 Raw Data'!$J$3:$J$722,0)),""))</f>
        <v/>
      </c>
      <c r="F526" s="24">
        <f>IF($A526="","",IFERROR(INDEX('03 Raw Data'!$N$3:$N$722,MATCH($A526,'03 Raw Data'!$M$3:$M$722,0)),""))</f>
        <v/>
      </c>
      <c r="G526" s="24">
        <f>IF($A526="","",IFERROR(INDEX('03 Raw Data'!$Q$3:$Q$722,MATCH($A526,'03 Raw Data'!$P$3:$P$722,0)),""))</f>
        <v/>
      </c>
      <c r="H526" s="24">
        <f>IF($A526="","",IFERROR(INDEX('03 Raw Data'!$T$3:$T$722,MATCH($A526,'03 Raw Data'!$S$3:$S$722,0)),""))</f>
        <v/>
      </c>
    </row>
    <row r="527">
      <c r="A527" s="23">
        <f>IFERROR(IF(OR('03 Raw Data'!A525="",'03 Raw Data'!A525=0),"",'03 Raw Data'!A525),"")</f>
        <v/>
      </c>
      <c r="B527" s="24">
        <f>IF($A527="","",IFERROR(INDEX('03 Raw Data'!$B$3:$B$722,MATCH($A527,'03 Raw Data'!$A$3:$A$722,0)),""))</f>
        <v/>
      </c>
      <c r="C527" s="24">
        <f>IF($A527="","",IFERROR(INDEX('03 Raw Data'!$E$3:$E$722,MATCH($A527,'03 Raw Data'!$D$3:$D$722,0)),""))</f>
        <v/>
      </c>
      <c r="D527" s="24">
        <f>IF($A527="","",IFERROR(INDEX('03 Raw Data'!$H$3:$H$722,MATCH($A527,'03 Raw Data'!$G$3:$G$722,0)),""))</f>
        <v/>
      </c>
      <c r="E527" s="24">
        <f>IF($A527="","",IFERROR(INDEX('03 Raw Data'!$K$3:$K$722,MATCH($A527,'03 Raw Data'!$J$3:$J$722,0)),""))</f>
        <v/>
      </c>
      <c r="F527" s="24">
        <f>IF($A527="","",IFERROR(INDEX('03 Raw Data'!$N$3:$N$722,MATCH($A527,'03 Raw Data'!$M$3:$M$722,0)),""))</f>
        <v/>
      </c>
      <c r="G527" s="24">
        <f>IF($A527="","",IFERROR(INDEX('03 Raw Data'!$Q$3:$Q$722,MATCH($A527,'03 Raw Data'!$P$3:$P$722,0)),""))</f>
        <v/>
      </c>
      <c r="H527" s="24">
        <f>IF($A527="","",IFERROR(INDEX('03 Raw Data'!$T$3:$T$722,MATCH($A527,'03 Raw Data'!$S$3:$S$722,0)),""))</f>
        <v/>
      </c>
    </row>
    <row r="528">
      <c r="A528" s="23">
        <f>IFERROR(IF(OR('03 Raw Data'!A526="",'03 Raw Data'!A526=0),"",'03 Raw Data'!A526),"")</f>
        <v/>
      </c>
      <c r="B528" s="24">
        <f>IF($A528="","",IFERROR(INDEX('03 Raw Data'!$B$3:$B$722,MATCH($A528,'03 Raw Data'!$A$3:$A$722,0)),""))</f>
        <v/>
      </c>
      <c r="C528" s="24">
        <f>IF($A528="","",IFERROR(INDEX('03 Raw Data'!$E$3:$E$722,MATCH($A528,'03 Raw Data'!$D$3:$D$722,0)),""))</f>
        <v/>
      </c>
      <c r="D528" s="24">
        <f>IF($A528="","",IFERROR(INDEX('03 Raw Data'!$H$3:$H$722,MATCH($A528,'03 Raw Data'!$G$3:$G$722,0)),""))</f>
        <v/>
      </c>
      <c r="E528" s="24">
        <f>IF($A528="","",IFERROR(INDEX('03 Raw Data'!$K$3:$K$722,MATCH($A528,'03 Raw Data'!$J$3:$J$722,0)),""))</f>
        <v/>
      </c>
      <c r="F528" s="24">
        <f>IF($A528="","",IFERROR(INDEX('03 Raw Data'!$N$3:$N$722,MATCH($A528,'03 Raw Data'!$M$3:$M$722,0)),""))</f>
        <v/>
      </c>
      <c r="G528" s="24">
        <f>IF($A528="","",IFERROR(INDEX('03 Raw Data'!$Q$3:$Q$722,MATCH($A528,'03 Raw Data'!$P$3:$P$722,0)),""))</f>
        <v/>
      </c>
      <c r="H528" s="24">
        <f>IF($A528="","",IFERROR(INDEX('03 Raw Data'!$T$3:$T$722,MATCH($A528,'03 Raw Data'!$S$3:$S$722,0)),""))</f>
        <v/>
      </c>
    </row>
    <row r="529">
      <c r="A529" s="23">
        <f>IFERROR(IF(OR('03 Raw Data'!A527="",'03 Raw Data'!A527=0),"",'03 Raw Data'!A527),"")</f>
        <v/>
      </c>
      <c r="B529" s="24">
        <f>IF($A529="","",IFERROR(INDEX('03 Raw Data'!$B$3:$B$722,MATCH($A529,'03 Raw Data'!$A$3:$A$722,0)),""))</f>
        <v/>
      </c>
      <c r="C529" s="24">
        <f>IF($A529="","",IFERROR(INDEX('03 Raw Data'!$E$3:$E$722,MATCH($A529,'03 Raw Data'!$D$3:$D$722,0)),""))</f>
        <v/>
      </c>
      <c r="D529" s="24">
        <f>IF($A529="","",IFERROR(INDEX('03 Raw Data'!$H$3:$H$722,MATCH($A529,'03 Raw Data'!$G$3:$G$722,0)),""))</f>
        <v/>
      </c>
      <c r="E529" s="24">
        <f>IF($A529="","",IFERROR(INDEX('03 Raw Data'!$K$3:$K$722,MATCH($A529,'03 Raw Data'!$J$3:$J$722,0)),""))</f>
        <v/>
      </c>
      <c r="F529" s="24">
        <f>IF($A529="","",IFERROR(INDEX('03 Raw Data'!$N$3:$N$722,MATCH($A529,'03 Raw Data'!$M$3:$M$722,0)),""))</f>
        <v/>
      </c>
      <c r="G529" s="24">
        <f>IF($A529="","",IFERROR(INDEX('03 Raw Data'!$Q$3:$Q$722,MATCH($A529,'03 Raw Data'!$P$3:$P$722,0)),""))</f>
        <v/>
      </c>
      <c r="H529" s="24">
        <f>IF($A529="","",IFERROR(INDEX('03 Raw Data'!$T$3:$T$722,MATCH($A529,'03 Raw Data'!$S$3:$S$722,0)),""))</f>
        <v/>
      </c>
    </row>
    <row r="530">
      <c r="A530" s="23">
        <f>IFERROR(IF(OR('03 Raw Data'!A528="",'03 Raw Data'!A528=0),"",'03 Raw Data'!A528),"")</f>
        <v/>
      </c>
      <c r="B530" s="24">
        <f>IF($A530="","",IFERROR(INDEX('03 Raw Data'!$B$3:$B$722,MATCH($A530,'03 Raw Data'!$A$3:$A$722,0)),""))</f>
        <v/>
      </c>
      <c r="C530" s="24">
        <f>IF($A530="","",IFERROR(INDEX('03 Raw Data'!$E$3:$E$722,MATCH($A530,'03 Raw Data'!$D$3:$D$722,0)),""))</f>
        <v/>
      </c>
      <c r="D530" s="24">
        <f>IF($A530="","",IFERROR(INDEX('03 Raw Data'!$H$3:$H$722,MATCH($A530,'03 Raw Data'!$G$3:$G$722,0)),""))</f>
        <v/>
      </c>
      <c r="E530" s="24">
        <f>IF($A530="","",IFERROR(INDEX('03 Raw Data'!$K$3:$K$722,MATCH($A530,'03 Raw Data'!$J$3:$J$722,0)),""))</f>
        <v/>
      </c>
      <c r="F530" s="24">
        <f>IF($A530="","",IFERROR(INDEX('03 Raw Data'!$N$3:$N$722,MATCH($A530,'03 Raw Data'!$M$3:$M$722,0)),""))</f>
        <v/>
      </c>
      <c r="G530" s="24">
        <f>IF($A530="","",IFERROR(INDEX('03 Raw Data'!$Q$3:$Q$722,MATCH($A530,'03 Raw Data'!$P$3:$P$722,0)),""))</f>
        <v/>
      </c>
      <c r="H530" s="24">
        <f>IF($A530="","",IFERROR(INDEX('03 Raw Data'!$T$3:$T$722,MATCH($A530,'03 Raw Data'!$S$3:$S$722,0)),""))</f>
        <v/>
      </c>
    </row>
    <row r="531">
      <c r="A531" s="23">
        <f>IFERROR(IF(OR('03 Raw Data'!A529="",'03 Raw Data'!A529=0),"",'03 Raw Data'!A529),"")</f>
        <v/>
      </c>
      <c r="B531" s="24">
        <f>IF($A531="","",IFERROR(INDEX('03 Raw Data'!$B$3:$B$722,MATCH($A531,'03 Raw Data'!$A$3:$A$722,0)),""))</f>
        <v/>
      </c>
      <c r="C531" s="24">
        <f>IF($A531="","",IFERROR(INDEX('03 Raw Data'!$E$3:$E$722,MATCH($A531,'03 Raw Data'!$D$3:$D$722,0)),""))</f>
        <v/>
      </c>
      <c r="D531" s="24">
        <f>IF($A531="","",IFERROR(INDEX('03 Raw Data'!$H$3:$H$722,MATCH($A531,'03 Raw Data'!$G$3:$G$722,0)),""))</f>
        <v/>
      </c>
      <c r="E531" s="24">
        <f>IF($A531="","",IFERROR(INDEX('03 Raw Data'!$K$3:$K$722,MATCH($A531,'03 Raw Data'!$J$3:$J$722,0)),""))</f>
        <v/>
      </c>
      <c r="F531" s="24">
        <f>IF($A531="","",IFERROR(INDEX('03 Raw Data'!$N$3:$N$722,MATCH($A531,'03 Raw Data'!$M$3:$M$722,0)),""))</f>
        <v/>
      </c>
      <c r="G531" s="24">
        <f>IF($A531="","",IFERROR(INDEX('03 Raw Data'!$Q$3:$Q$722,MATCH($A531,'03 Raw Data'!$P$3:$P$722,0)),""))</f>
        <v/>
      </c>
      <c r="H531" s="24">
        <f>IF($A531="","",IFERROR(INDEX('03 Raw Data'!$T$3:$T$722,MATCH($A531,'03 Raw Data'!$S$3:$S$722,0)),""))</f>
        <v/>
      </c>
    </row>
    <row r="532">
      <c r="A532" s="23">
        <f>IFERROR(IF(OR('03 Raw Data'!A530="",'03 Raw Data'!A530=0),"",'03 Raw Data'!A530),"")</f>
        <v/>
      </c>
      <c r="B532" s="24">
        <f>IF($A532="","",IFERROR(INDEX('03 Raw Data'!$B$3:$B$722,MATCH($A532,'03 Raw Data'!$A$3:$A$722,0)),""))</f>
        <v/>
      </c>
      <c r="C532" s="24">
        <f>IF($A532="","",IFERROR(INDEX('03 Raw Data'!$E$3:$E$722,MATCH($A532,'03 Raw Data'!$D$3:$D$722,0)),""))</f>
        <v/>
      </c>
      <c r="D532" s="24">
        <f>IF($A532="","",IFERROR(INDEX('03 Raw Data'!$H$3:$H$722,MATCH($A532,'03 Raw Data'!$G$3:$G$722,0)),""))</f>
        <v/>
      </c>
      <c r="E532" s="24">
        <f>IF($A532="","",IFERROR(INDEX('03 Raw Data'!$K$3:$K$722,MATCH($A532,'03 Raw Data'!$J$3:$J$722,0)),""))</f>
        <v/>
      </c>
      <c r="F532" s="24">
        <f>IF($A532="","",IFERROR(INDEX('03 Raw Data'!$N$3:$N$722,MATCH($A532,'03 Raw Data'!$M$3:$M$722,0)),""))</f>
        <v/>
      </c>
      <c r="G532" s="24">
        <f>IF($A532="","",IFERROR(INDEX('03 Raw Data'!$Q$3:$Q$722,MATCH($A532,'03 Raw Data'!$P$3:$P$722,0)),""))</f>
        <v/>
      </c>
      <c r="H532" s="24">
        <f>IF($A532="","",IFERROR(INDEX('03 Raw Data'!$T$3:$T$722,MATCH($A532,'03 Raw Data'!$S$3:$S$722,0)),""))</f>
        <v/>
      </c>
    </row>
    <row r="533">
      <c r="A533" s="23">
        <f>IFERROR(IF(OR('03 Raw Data'!A531="",'03 Raw Data'!A531=0),"",'03 Raw Data'!A531),"")</f>
        <v/>
      </c>
      <c r="B533" s="24">
        <f>IF($A533="","",IFERROR(INDEX('03 Raw Data'!$B$3:$B$722,MATCH($A533,'03 Raw Data'!$A$3:$A$722,0)),""))</f>
        <v/>
      </c>
      <c r="C533" s="24">
        <f>IF($A533="","",IFERROR(INDEX('03 Raw Data'!$E$3:$E$722,MATCH($A533,'03 Raw Data'!$D$3:$D$722,0)),""))</f>
        <v/>
      </c>
      <c r="D533" s="24">
        <f>IF($A533="","",IFERROR(INDEX('03 Raw Data'!$H$3:$H$722,MATCH($A533,'03 Raw Data'!$G$3:$G$722,0)),""))</f>
        <v/>
      </c>
      <c r="E533" s="24">
        <f>IF($A533="","",IFERROR(INDEX('03 Raw Data'!$K$3:$K$722,MATCH($A533,'03 Raw Data'!$J$3:$J$722,0)),""))</f>
        <v/>
      </c>
      <c r="F533" s="24">
        <f>IF($A533="","",IFERROR(INDEX('03 Raw Data'!$N$3:$N$722,MATCH($A533,'03 Raw Data'!$M$3:$M$722,0)),""))</f>
        <v/>
      </c>
      <c r="G533" s="24">
        <f>IF($A533="","",IFERROR(INDEX('03 Raw Data'!$Q$3:$Q$722,MATCH($A533,'03 Raw Data'!$P$3:$P$722,0)),""))</f>
        <v/>
      </c>
      <c r="H533" s="24">
        <f>IF($A533="","",IFERROR(INDEX('03 Raw Data'!$T$3:$T$722,MATCH($A533,'03 Raw Data'!$S$3:$S$722,0)),""))</f>
        <v/>
      </c>
    </row>
    <row r="534">
      <c r="A534" s="23">
        <f>IFERROR(IF(OR('03 Raw Data'!A532="",'03 Raw Data'!A532=0),"",'03 Raw Data'!A532),"")</f>
        <v/>
      </c>
      <c r="B534" s="24">
        <f>IF($A534="","",IFERROR(INDEX('03 Raw Data'!$B$3:$B$722,MATCH($A534,'03 Raw Data'!$A$3:$A$722,0)),""))</f>
        <v/>
      </c>
      <c r="C534" s="24">
        <f>IF($A534="","",IFERROR(INDEX('03 Raw Data'!$E$3:$E$722,MATCH($A534,'03 Raw Data'!$D$3:$D$722,0)),""))</f>
        <v/>
      </c>
      <c r="D534" s="24">
        <f>IF($A534="","",IFERROR(INDEX('03 Raw Data'!$H$3:$H$722,MATCH($A534,'03 Raw Data'!$G$3:$G$722,0)),""))</f>
        <v/>
      </c>
      <c r="E534" s="24">
        <f>IF($A534="","",IFERROR(INDEX('03 Raw Data'!$K$3:$K$722,MATCH($A534,'03 Raw Data'!$J$3:$J$722,0)),""))</f>
        <v/>
      </c>
      <c r="F534" s="24">
        <f>IF($A534="","",IFERROR(INDEX('03 Raw Data'!$N$3:$N$722,MATCH($A534,'03 Raw Data'!$M$3:$M$722,0)),""))</f>
        <v/>
      </c>
      <c r="G534" s="24">
        <f>IF($A534="","",IFERROR(INDEX('03 Raw Data'!$Q$3:$Q$722,MATCH($A534,'03 Raw Data'!$P$3:$P$722,0)),""))</f>
        <v/>
      </c>
      <c r="H534" s="24">
        <f>IF($A534="","",IFERROR(INDEX('03 Raw Data'!$T$3:$T$722,MATCH($A534,'03 Raw Data'!$S$3:$S$722,0)),""))</f>
        <v/>
      </c>
    </row>
    <row r="535">
      <c r="A535" s="23">
        <f>IFERROR(IF(OR('03 Raw Data'!A533="",'03 Raw Data'!A533=0),"",'03 Raw Data'!A533),"")</f>
        <v/>
      </c>
      <c r="B535" s="24">
        <f>IF($A535="","",IFERROR(INDEX('03 Raw Data'!$B$3:$B$722,MATCH($A535,'03 Raw Data'!$A$3:$A$722,0)),""))</f>
        <v/>
      </c>
      <c r="C535" s="24">
        <f>IF($A535="","",IFERROR(INDEX('03 Raw Data'!$E$3:$E$722,MATCH($A535,'03 Raw Data'!$D$3:$D$722,0)),""))</f>
        <v/>
      </c>
      <c r="D535" s="24">
        <f>IF($A535="","",IFERROR(INDEX('03 Raw Data'!$H$3:$H$722,MATCH($A535,'03 Raw Data'!$G$3:$G$722,0)),""))</f>
        <v/>
      </c>
      <c r="E535" s="24">
        <f>IF($A535="","",IFERROR(INDEX('03 Raw Data'!$K$3:$K$722,MATCH($A535,'03 Raw Data'!$J$3:$J$722,0)),""))</f>
        <v/>
      </c>
      <c r="F535" s="24">
        <f>IF($A535="","",IFERROR(INDEX('03 Raw Data'!$N$3:$N$722,MATCH($A535,'03 Raw Data'!$M$3:$M$722,0)),""))</f>
        <v/>
      </c>
      <c r="G535" s="24">
        <f>IF($A535="","",IFERROR(INDEX('03 Raw Data'!$Q$3:$Q$722,MATCH($A535,'03 Raw Data'!$P$3:$P$722,0)),""))</f>
        <v/>
      </c>
      <c r="H535" s="24">
        <f>IF($A535="","",IFERROR(INDEX('03 Raw Data'!$T$3:$T$722,MATCH($A535,'03 Raw Data'!$S$3:$S$722,0)),""))</f>
        <v/>
      </c>
    </row>
    <row r="536">
      <c r="A536" s="23">
        <f>IFERROR(IF(OR('03 Raw Data'!A534="",'03 Raw Data'!A534=0),"",'03 Raw Data'!A534),"")</f>
        <v/>
      </c>
      <c r="B536" s="24">
        <f>IF($A536="","",IFERROR(INDEX('03 Raw Data'!$B$3:$B$722,MATCH($A536,'03 Raw Data'!$A$3:$A$722,0)),""))</f>
        <v/>
      </c>
      <c r="C536" s="24">
        <f>IF($A536="","",IFERROR(INDEX('03 Raw Data'!$E$3:$E$722,MATCH($A536,'03 Raw Data'!$D$3:$D$722,0)),""))</f>
        <v/>
      </c>
      <c r="D536" s="24">
        <f>IF($A536="","",IFERROR(INDEX('03 Raw Data'!$H$3:$H$722,MATCH($A536,'03 Raw Data'!$G$3:$G$722,0)),""))</f>
        <v/>
      </c>
      <c r="E536" s="24">
        <f>IF($A536="","",IFERROR(INDEX('03 Raw Data'!$K$3:$K$722,MATCH($A536,'03 Raw Data'!$J$3:$J$722,0)),""))</f>
        <v/>
      </c>
      <c r="F536" s="24">
        <f>IF($A536="","",IFERROR(INDEX('03 Raw Data'!$N$3:$N$722,MATCH($A536,'03 Raw Data'!$M$3:$M$722,0)),""))</f>
        <v/>
      </c>
      <c r="G536" s="24">
        <f>IF($A536="","",IFERROR(INDEX('03 Raw Data'!$Q$3:$Q$722,MATCH($A536,'03 Raw Data'!$P$3:$P$722,0)),""))</f>
        <v/>
      </c>
      <c r="H536" s="24">
        <f>IF($A536="","",IFERROR(INDEX('03 Raw Data'!$T$3:$T$722,MATCH($A536,'03 Raw Data'!$S$3:$S$722,0)),""))</f>
        <v/>
      </c>
    </row>
    <row r="537">
      <c r="A537" s="23">
        <f>IFERROR(IF(OR('03 Raw Data'!A535="",'03 Raw Data'!A535=0),"",'03 Raw Data'!A535),"")</f>
        <v/>
      </c>
      <c r="B537" s="24">
        <f>IF($A537="","",IFERROR(INDEX('03 Raw Data'!$B$3:$B$722,MATCH($A537,'03 Raw Data'!$A$3:$A$722,0)),""))</f>
        <v/>
      </c>
      <c r="C537" s="24">
        <f>IF($A537="","",IFERROR(INDEX('03 Raw Data'!$E$3:$E$722,MATCH($A537,'03 Raw Data'!$D$3:$D$722,0)),""))</f>
        <v/>
      </c>
      <c r="D537" s="24">
        <f>IF($A537="","",IFERROR(INDEX('03 Raw Data'!$H$3:$H$722,MATCH($A537,'03 Raw Data'!$G$3:$G$722,0)),""))</f>
        <v/>
      </c>
      <c r="E537" s="24">
        <f>IF($A537="","",IFERROR(INDEX('03 Raw Data'!$K$3:$K$722,MATCH($A537,'03 Raw Data'!$J$3:$J$722,0)),""))</f>
        <v/>
      </c>
      <c r="F537" s="24">
        <f>IF($A537="","",IFERROR(INDEX('03 Raw Data'!$N$3:$N$722,MATCH($A537,'03 Raw Data'!$M$3:$M$722,0)),""))</f>
        <v/>
      </c>
      <c r="G537" s="24">
        <f>IF($A537="","",IFERROR(INDEX('03 Raw Data'!$Q$3:$Q$722,MATCH($A537,'03 Raw Data'!$P$3:$P$722,0)),""))</f>
        <v/>
      </c>
      <c r="H537" s="24">
        <f>IF($A537="","",IFERROR(INDEX('03 Raw Data'!$T$3:$T$722,MATCH($A537,'03 Raw Data'!$S$3:$S$722,0)),""))</f>
        <v/>
      </c>
    </row>
    <row r="538">
      <c r="A538" s="23">
        <f>IFERROR(IF(OR('03 Raw Data'!A536="",'03 Raw Data'!A536=0),"",'03 Raw Data'!A536),"")</f>
        <v/>
      </c>
      <c r="B538" s="24">
        <f>IF($A538="","",IFERROR(INDEX('03 Raw Data'!$B$3:$B$722,MATCH($A538,'03 Raw Data'!$A$3:$A$722,0)),""))</f>
        <v/>
      </c>
      <c r="C538" s="24">
        <f>IF($A538="","",IFERROR(INDEX('03 Raw Data'!$E$3:$E$722,MATCH($A538,'03 Raw Data'!$D$3:$D$722,0)),""))</f>
        <v/>
      </c>
      <c r="D538" s="24">
        <f>IF($A538="","",IFERROR(INDEX('03 Raw Data'!$H$3:$H$722,MATCH($A538,'03 Raw Data'!$G$3:$G$722,0)),""))</f>
        <v/>
      </c>
      <c r="E538" s="24">
        <f>IF($A538="","",IFERROR(INDEX('03 Raw Data'!$K$3:$K$722,MATCH($A538,'03 Raw Data'!$J$3:$J$722,0)),""))</f>
        <v/>
      </c>
      <c r="F538" s="24">
        <f>IF($A538="","",IFERROR(INDEX('03 Raw Data'!$N$3:$N$722,MATCH($A538,'03 Raw Data'!$M$3:$M$722,0)),""))</f>
        <v/>
      </c>
      <c r="G538" s="24">
        <f>IF($A538="","",IFERROR(INDEX('03 Raw Data'!$Q$3:$Q$722,MATCH($A538,'03 Raw Data'!$P$3:$P$722,0)),""))</f>
        <v/>
      </c>
      <c r="H538" s="24">
        <f>IF($A538="","",IFERROR(INDEX('03 Raw Data'!$T$3:$T$722,MATCH($A538,'03 Raw Data'!$S$3:$S$722,0)),""))</f>
        <v/>
      </c>
    </row>
    <row r="539">
      <c r="A539" s="23">
        <f>IFERROR(IF(OR('03 Raw Data'!A537="",'03 Raw Data'!A537=0),"",'03 Raw Data'!A537),"")</f>
        <v/>
      </c>
      <c r="B539" s="24">
        <f>IF($A539="","",IFERROR(INDEX('03 Raw Data'!$B$3:$B$722,MATCH($A539,'03 Raw Data'!$A$3:$A$722,0)),""))</f>
        <v/>
      </c>
      <c r="C539" s="24">
        <f>IF($A539="","",IFERROR(INDEX('03 Raw Data'!$E$3:$E$722,MATCH($A539,'03 Raw Data'!$D$3:$D$722,0)),""))</f>
        <v/>
      </c>
      <c r="D539" s="24">
        <f>IF($A539="","",IFERROR(INDEX('03 Raw Data'!$H$3:$H$722,MATCH($A539,'03 Raw Data'!$G$3:$G$722,0)),""))</f>
        <v/>
      </c>
      <c r="E539" s="24">
        <f>IF($A539="","",IFERROR(INDEX('03 Raw Data'!$K$3:$K$722,MATCH($A539,'03 Raw Data'!$J$3:$J$722,0)),""))</f>
        <v/>
      </c>
      <c r="F539" s="24">
        <f>IF($A539="","",IFERROR(INDEX('03 Raw Data'!$N$3:$N$722,MATCH($A539,'03 Raw Data'!$M$3:$M$722,0)),""))</f>
        <v/>
      </c>
      <c r="G539" s="24">
        <f>IF($A539="","",IFERROR(INDEX('03 Raw Data'!$Q$3:$Q$722,MATCH($A539,'03 Raw Data'!$P$3:$P$722,0)),""))</f>
        <v/>
      </c>
      <c r="H539" s="24">
        <f>IF($A539="","",IFERROR(INDEX('03 Raw Data'!$T$3:$T$722,MATCH($A539,'03 Raw Data'!$S$3:$S$722,0)),""))</f>
        <v/>
      </c>
    </row>
    <row r="540">
      <c r="A540" s="23">
        <f>IFERROR(IF(OR('03 Raw Data'!A538="",'03 Raw Data'!A538=0),"",'03 Raw Data'!A538),"")</f>
        <v/>
      </c>
      <c r="B540" s="24">
        <f>IF($A540="","",IFERROR(INDEX('03 Raw Data'!$B$3:$B$722,MATCH($A540,'03 Raw Data'!$A$3:$A$722,0)),""))</f>
        <v/>
      </c>
      <c r="C540" s="24">
        <f>IF($A540="","",IFERROR(INDEX('03 Raw Data'!$E$3:$E$722,MATCH($A540,'03 Raw Data'!$D$3:$D$722,0)),""))</f>
        <v/>
      </c>
      <c r="D540" s="24">
        <f>IF($A540="","",IFERROR(INDEX('03 Raw Data'!$H$3:$H$722,MATCH($A540,'03 Raw Data'!$G$3:$G$722,0)),""))</f>
        <v/>
      </c>
      <c r="E540" s="24">
        <f>IF($A540="","",IFERROR(INDEX('03 Raw Data'!$K$3:$K$722,MATCH($A540,'03 Raw Data'!$J$3:$J$722,0)),""))</f>
        <v/>
      </c>
      <c r="F540" s="24">
        <f>IF($A540="","",IFERROR(INDEX('03 Raw Data'!$N$3:$N$722,MATCH($A540,'03 Raw Data'!$M$3:$M$722,0)),""))</f>
        <v/>
      </c>
      <c r="G540" s="24">
        <f>IF($A540="","",IFERROR(INDEX('03 Raw Data'!$Q$3:$Q$722,MATCH($A540,'03 Raw Data'!$P$3:$P$722,0)),""))</f>
        <v/>
      </c>
      <c r="H540" s="24">
        <f>IF($A540="","",IFERROR(INDEX('03 Raw Data'!$T$3:$T$722,MATCH($A540,'03 Raw Data'!$S$3:$S$722,0)),""))</f>
        <v/>
      </c>
    </row>
    <row r="541">
      <c r="A541" s="23">
        <f>IFERROR(IF(OR('03 Raw Data'!A539="",'03 Raw Data'!A539=0),"",'03 Raw Data'!A539),"")</f>
        <v/>
      </c>
      <c r="B541" s="24">
        <f>IF($A541="","",IFERROR(INDEX('03 Raw Data'!$B$3:$B$722,MATCH($A541,'03 Raw Data'!$A$3:$A$722,0)),""))</f>
        <v/>
      </c>
      <c r="C541" s="24">
        <f>IF($A541="","",IFERROR(INDEX('03 Raw Data'!$E$3:$E$722,MATCH($A541,'03 Raw Data'!$D$3:$D$722,0)),""))</f>
        <v/>
      </c>
      <c r="D541" s="24">
        <f>IF($A541="","",IFERROR(INDEX('03 Raw Data'!$H$3:$H$722,MATCH($A541,'03 Raw Data'!$G$3:$G$722,0)),""))</f>
        <v/>
      </c>
      <c r="E541" s="24">
        <f>IF($A541="","",IFERROR(INDEX('03 Raw Data'!$K$3:$K$722,MATCH($A541,'03 Raw Data'!$J$3:$J$722,0)),""))</f>
        <v/>
      </c>
      <c r="F541" s="24">
        <f>IF($A541="","",IFERROR(INDEX('03 Raw Data'!$N$3:$N$722,MATCH($A541,'03 Raw Data'!$M$3:$M$722,0)),""))</f>
        <v/>
      </c>
      <c r="G541" s="24">
        <f>IF($A541="","",IFERROR(INDEX('03 Raw Data'!$Q$3:$Q$722,MATCH($A541,'03 Raw Data'!$P$3:$P$722,0)),""))</f>
        <v/>
      </c>
      <c r="H541" s="24">
        <f>IF($A541="","",IFERROR(INDEX('03 Raw Data'!$T$3:$T$722,MATCH($A541,'03 Raw Data'!$S$3:$S$722,0)),""))</f>
        <v/>
      </c>
    </row>
    <row r="542">
      <c r="A542" s="23">
        <f>IFERROR(IF(OR('03 Raw Data'!A540="",'03 Raw Data'!A540=0),"",'03 Raw Data'!A540),"")</f>
        <v/>
      </c>
      <c r="B542" s="24">
        <f>IF($A542="","",IFERROR(INDEX('03 Raw Data'!$B$3:$B$722,MATCH($A542,'03 Raw Data'!$A$3:$A$722,0)),""))</f>
        <v/>
      </c>
      <c r="C542" s="24">
        <f>IF($A542="","",IFERROR(INDEX('03 Raw Data'!$E$3:$E$722,MATCH($A542,'03 Raw Data'!$D$3:$D$722,0)),""))</f>
        <v/>
      </c>
      <c r="D542" s="24">
        <f>IF($A542="","",IFERROR(INDEX('03 Raw Data'!$H$3:$H$722,MATCH($A542,'03 Raw Data'!$G$3:$G$722,0)),""))</f>
        <v/>
      </c>
      <c r="E542" s="24">
        <f>IF($A542="","",IFERROR(INDEX('03 Raw Data'!$K$3:$K$722,MATCH($A542,'03 Raw Data'!$J$3:$J$722,0)),""))</f>
        <v/>
      </c>
      <c r="F542" s="24">
        <f>IF($A542="","",IFERROR(INDEX('03 Raw Data'!$N$3:$N$722,MATCH($A542,'03 Raw Data'!$M$3:$M$722,0)),""))</f>
        <v/>
      </c>
      <c r="G542" s="24">
        <f>IF($A542="","",IFERROR(INDEX('03 Raw Data'!$Q$3:$Q$722,MATCH($A542,'03 Raw Data'!$P$3:$P$722,0)),""))</f>
        <v/>
      </c>
      <c r="H542" s="24">
        <f>IF($A542="","",IFERROR(INDEX('03 Raw Data'!$T$3:$T$722,MATCH($A542,'03 Raw Data'!$S$3:$S$722,0)),""))</f>
        <v/>
      </c>
    </row>
    <row r="543">
      <c r="A543" s="23">
        <f>IFERROR(IF(OR('03 Raw Data'!A541="",'03 Raw Data'!A541=0),"",'03 Raw Data'!A541),"")</f>
        <v/>
      </c>
      <c r="B543" s="24">
        <f>IF($A543="","",IFERROR(INDEX('03 Raw Data'!$B$3:$B$722,MATCH($A543,'03 Raw Data'!$A$3:$A$722,0)),""))</f>
        <v/>
      </c>
      <c r="C543" s="24">
        <f>IF($A543="","",IFERROR(INDEX('03 Raw Data'!$E$3:$E$722,MATCH($A543,'03 Raw Data'!$D$3:$D$722,0)),""))</f>
        <v/>
      </c>
      <c r="D543" s="24">
        <f>IF($A543="","",IFERROR(INDEX('03 Raw Data'!$H$3:$H$722,MATCH($A543,'03 Raw Data'!$G$3:$G$722,0)),""))</f>
        <v/>
      </c>
      <c r="E543" s="24">
        <f>IF($A543="","",IFERROR(INDEX('03 Raw Data'!$K$3:$K$722,MATCH($A543,'03 Raw Data'!$J$3:$J$722,0)),""))</f>
        <v/>
      </c>
      <c r="F543" s="24">
        <f>IF($A543="","",IFERROR(INDEX('03 Raw Data'!$N$3:$N$722,MATCH($A543,'03 Raw Data'!$M$3:$M$722,0)),""))</f>
        <v/>
      </c>
      <c r="G543" s="24">
        <f>IF($A543="","",IFERROR(INDEX('03 Raw Data'!$Q$3:$Q$722,MATCH($A543,'03 Raw Data'!$P$3:$P$722,0)),""))</f>
        <v/>
      </c>
      <c r="H543" s="24">
        <f>IF($A543="","",IFERROR(INDEX('03 Raw Data'!$T$3:$T$722,MATCH($A543,'03 Raw Data'!$S$3:$S$722,0)),""))</f>
        <v/>
      </c>
    </row>
    <row r="544">
      <c r="A544" s="23">
        <f>IFERROR(IF(OR('03 Raw Data'!A542="",'03 Raw Data'!A542=0),"",'03 Raw Data'!A542),"")</f>
        <v/>
      </c>
      <c r="B544" s="24">
        <f>IF($A544="","",IFERROR(INDEX('03 Raw Data'!$B$3:$B$722,MATCH($A544,'03 Raw Data'!$A$3:$A$722,0)),""))</f>
        <v/>
      </c>
      <c r="C544" s="24">
        <f>IF($A544="","",IFERROR(INDEX('03 Raw Data'!$E$3:$E$722,MATCH($A544,'03 Raw Data'!$D$3:$D$722,0)),""))</f>
        <v/>
      </c>
      <c r="D544" s="24">
        <f>IF($A544="","",IFERROR(INDEX('03 Raw Data'!$H$3:$H$722,MATCH($A544,'03 Raw Data'!$G$3:$G$722,0)),""))</f>
        <v/>
      </c>
      <c r="E544" s="24">
        <f>IF($A544="","",IFERROR(INDEX('03 Raw Data'!$K$3:$K$722,MATCH($A544,'03 Raw Data'!$J$3:$J$722,0)),""))</f>
        <v/>
      </c>
      <c r="F544" s="24">
        <f>IF($A544="","",IFERROR(INDEX('03 Raw Data'!$N$3:$N$722,MATCH($A544,'03 Raw Data'!$M$3:$M$722,0)),""))</f>
        <v/>
      </c>
      <c r="G544" s="24">
        <f>IF($A544="","",IFERROR(INDEX('03 Raw Data'!$Q$3:$Q$722,MATCH($A544,'03 Raw Data'!$P$3:$P$722,0)),""))</f>
        <v/>
      </c>
      <c r="H544" s="24">
        <f>IF($A544="","",IFERROR(INDEX('03 Raw Data'!$T$3:$T$722,MATCH($A544,'03 Raw Data'!$S$3:$S$722,0)),""))</f>
        <v/>
      </c>
    </row>
    <row r="545">
      <c r="A545" s="23">
        <f>IFERROR(IF(OR('03 Raw Data'!A543="",'03 Raw Data'!A543=0),"",'03 Raw Data'!A543),"")</f>
        <v/>
      </c>
      <c r="B545" s="24">
        <f>IF($A545="","",IFERROR(INDEX('03 Raw Data'!$B$3:$B$722,MATCH($A545,'03 Raw Data'!$A$3:$A$722,0)),""))</f>
        <v/>
      </c>
      <c r="C545" s="24">
        <f>IF($A545="","",IFERROR(INDEX('03 Raw Data'!$E$3:$E$722,MATCH($A545,'03 Raw Data'!$D$3:$D$722,0)),""))</f>
        <v/>
      </c>
      <c r="D545" s="24">
        <f>IF($A545="","",IFERROR(INDEX('03 Raw Data'!$H$3:$H$722,MATCH($A545,'03 Raw Data'!$G$3:$G$722,0)),""))</f>
        <v/>
      </c>
      <c r="E545" s="24">
        <f>IF($A545="","",IFERROR(INDEX('03 Raw Data'!$K$3:$K$722,MATCH($A545,'03 Raw Data'!$J$3:$J$722,0)),""))</f>
        <v/>
      </c>
      <c r="F545" s="24">
        <f>IF($A545="","",IFERROR(INDEX('03 Raw Data'!$N$3:$N$722,MATCH($A545,'03 Raw Data'!$M$3:$M$722,0)),""))</f>
        <v/>
      </c>
      <c r="G545" s="24">
        <f>IF($A545="","",IFERROR(INDEX('03 Raw Data'!$Q$3:$Q$722,MATCH($A545,'03 Raw Data'!$P$3:$P$722,0)),""))</f>
        <v/>
      </c>
      <c r="H545" s="24">
        <f>IF($A545="","",IFERROR(INDEX('03 Raw Data'!$T$3:$T$722,MATCH($A545,'03 Raw Data'!$S$3:$S$722,0)),""))</f>
        <v/>
      </c>
    </row>
    <row r="546">
      <c r="A546" s="23">
        <f>IFERROR(IF(OR('03 Raw Data'!A544="",'03 Raw Data'!A544=0),"",'03 Raw Data'!A544),"")</f>
        <v/>
      </c>
      <c r="B546" s="24">
        <f>IF($A546="","",IFERROR(INDEX('03 Raw Data'!$B$3:$B$722,MATCH($A546,'03 Raw Data'!$A$3:$A$722,0)),""))</f>
        <v/>
      </c>
      <c r="C546" s="24">
        <f>IF($A546="","",IFERROR(INDEX('03 Raw Data'!$E$3:$E$722,MATCH($A546,'03 Raw Data'!$D$3:$D$722,0)),""))</f>
        <v/>
      </c>
      <c r="D546" s="24">
        <f>IF($A546="","",IFERROR(INDEX('03 Raw Data'!$H$3:$H$722,MATCH($A546,'03 Raw Data'!$G$3:$G$722,0)),""))</f>
        <v/>
      </c>
      <c r="E546" s="24">
        <f>IF($A546="","",IFERROR(INDEX('03 Raw Data'!$K$3:$K$722,MATCH($A546,'03 Raw Data'!$J$3:$J$722,0)),""))</f>
        <v/>
      </c>
      <c r="F546" s="24">
        <f>IF($A546="","",IFERROR(INDEX('03 Raw Data'!$N$3:$N$722,MATCH($A546,'03 Raw Data'!$M$3:$M$722,0)),""))</f>
        <v/>
      </c>
      <c r="G546" s="24">
        <f>IF($A546="","",IFERROR(INDEX('03 Raw Data'!$Q$3:$Q$722,MATCH($A546,'03 Raw Data'!$P$3:$P$722,0)),""))</f>
        <v/>
      </c>
      <c r="H546" s="24">
        <f>IF($A546="","",IFERROR(INDEX('03 Raw Data'!$T$3:$T$722,MATCH($A546,'03 Raw Data'!$S$3:$S$722,0)),""))</f>
        <v/>
      </c>
    </row>
    <row r="547">
      <c r="A547" s="23">
        <f>IFERROR(IF(OR('03 Raw Data'!A545="",'03 Raw Data'!A545=0),"",'03 Raw Data'!A545),"")</f>
        <v/>
      </c>
      <c r="B547" s="24">
        <f>IF($A547="","",IFERROR(INDEX('03 Raw Data'!$B$3:$B$722,MATCH($A547,'03 Raw Data'!$A$3:$A$722,0)),""))</f>
        <v/>
      </c>
      <c r="C547" s="24">
        <f>IF($A547="","",IFERROR(INDEX('03 Raw Data'!$E$3:$E$722,MATCH($A547,'03 Raw Data'!$D$3:$D$722,0)),""))</f>
        <v/>
      </c>
      <c r="D547" s="24">
        <f>IF($A547="","",IFERROR(INDEX('03 Raw Data'!$H$3:$H$722,MATCH($A547,'03 Raw Data'!$G$3:$G$722,0)),""))</f>
        <v/>
      </c>
      <c r="E547" s="24">
        <f>IF($A547="","",IFERROR(INDEX('03 Raw Data'!$K$3:$K$722,MATCH($A547,'03 Raw Data'!$J$3:$J$722,0)),""))</f>
        <v/>
      </c>
      <c r="F547" s="24">
        <f>IF($A547="","",IFERROR(INDEX('03 Raw Data'!$N$3:$N$722,MATCH($A547,'03 Raw Data'!$M$3:$M$722,0)),""))</f>
        <v/>
      </c>
      <c r="G547" s="24">
        <f>IF($A547="","",IFERROR(INDEX('03 Raw Data'!$Q$3:$Q$722,MATCH($A547,'03 Raw Data'!$P$3:$P$722,0)),""))</f>
        <v/>
      </c>
      <c r="H547" s="24">
        <f>IF($A547="","",IFERROR(INDEX('03 Raw Data'!$T$3:$T$722,MATCH($A547,'03 Raw Data'!$S$3:$S$722,0)),""))</f>
        <v/>
      </c>
    </row>
    <row r="548">
      <c r="A548" s="23">
        <f>IFERROR(IF(OR('03 Raw Data'!A546="",'03 Raw Data'!A546=0),"",'03 Raw Data'!A546),"")</f>
        <v/>
      </c>
      <c r="B548" s="24">
        <f>IF($A548="","",IFERROR(INDEX('03 Raw Data'!$B$3:$B$722,MATCH($A548,'03 Raw Data'!$A$3:$A$722,0)),""))</f>
        <v/>
      </c>
      <c r="C548" s="24">
        <f>IF($A548="","",IFERROR(INDEX('03 Raw Data'!$E$3:$E$722,MATCH($A548,'03 Raw Data'!$D$3:$D$722,0)),""))</f>
        <v/>
      </c>
      <c r="D548" s="24">
        <f>IF($A548="","",IFERROR(INDEX('03 Raw Data'!$H$3:$H$722,MATCH($A548,'03 Raw Data'!$G$3:$G$722,0)),""))</f>
        <v/>
      </c>
      <c r="E548" s="24">
        <f>IF($A548="","",IFERROR(INDEX('03 Raw Data'!$K$3:$K$722,MATCH($A548,'03 Raw Data'!$J$3:$J$722,0)),""))</f>
        <v/>
      </c>
      <c r="F548" s="24">
        <f>IF($A548="","",IFERROR(INDEX('03 Raw Data'!$N$3:$N$722,MATCH($A548,'03 Raw Data'!$M$3:$M$722,0)),""))</f>
        <v/>
      </c>
      <c r="G548" s="24">
        <f>IF($A548="","",IFERROR(INDEX('03 Raw Data'!$Q$3:$Q$722,MATCH($A548,'03 Raw Data'!$P$3:$P$722,0)),""))</f>
        <v/>
      </c>
      <c r="H548" s="24">
        <f>IF($A548="","",IFERROR(INDEX('03 Raw Data'!$T$3:$T$722,MATCH($A548,'03 Raw Data'!$S$3:$S$722,0)),""))</f>
        <v/>
      </c>
    </row>
    <row r="549">
      <c r="A549" s="23">
        <f>IFERROR(IF(OR('03 Raw Data'!A547="",'03 Raw Data'!A547=0),"",'03 Raw Data'!A547),"")</f>
        <v/>
      </c>
      <c r="B549" s="24">
        <f>IF($A549="","",IFERROR(INDEX('03 Raw Data'!$B$3:$B$722,MATCH($A549,'03 Raw Data'!$A$3:$A$722,0)),""))</f>
        <v/>
      </c>
      <c r="C549" s="24">
        <f>IF($A549="","",IFERROR(INDEX('03 Raw Data'!$E$3:$E$722,MATCH($A549,'03 Raw Data'!$D$3:$D$722,0)),""))</f>
        <v/>
      </c>
      <c r="D549" s="24">
        <f>IF($A549="","",IFERROR(INDEX('03 Raw Data'!$H$3:$H$722,MATCH($A549,'03 Raw Data'!$G$3:$G$722,0)),""))</f>
        <v/>
      </c>
      <c r="E549" s="24">
        <f>IF($A549="","",IFERROR(INDEX('03 Raw Data'!$K$3:$K$722,MATCH($A549,'03 Raw Data'!$J$3:$J$722,0)),""))</f>
        <v/>
      </c>
      <c r="F549" s="24">
        <f>IF($A549="","",IFERROR(INDEX('03 Raw Data'!$N$3:$N$722,MATCH($A549,'03 Raw Data'!$M$3:$M$722,0)),""))</f>
        <v/>
      </c>
      <c r="G549" s="24">
        <f>IF($A549="","",IFERROR(INDEX('03 Raw Data'!$Q$3:$Q$722,MATCH($A549,'03 Raw Data'!$P$3:$P$722,0)),""))</f>
        <v/>
      </c>
      <c r="H549" s="24">
        <f>IF($A549="","",IFERROR(INDEX('03 Raw Data'!$T$3:$T$722,MATCH($A549,'03 Raw Data'!$S$3:$S$722,0)),""))</f>
        <v/>
      </c>
    </row>
    <row r="550">
      <c r="A550" s="23">
        <f>IFERROR(IF(OR('03 Raw Data'!A548="",'03 Raw Data'!A548=0),"",'03 Raw Data'!A548),"")</f>
        <v/>
      </c>
      <c r="B550" s="24">
        <f>IF($A550="","",IFERROR(INDEX('03 Raw Data'!$B$3:$B$722,MATCH($A550,'03 Raw Data'!$A$3:$A$722,0)),""))</f>
        <v/>
      </c>
      <c r="C550" s="24">
        <f>IF($A550="","",IFERROR(INDEX('03 Raw Data'!$E$3:$E$722,MATCH($A550,'03 Raw Data'!$D$3:$D$722,0)),""))</f>
        <v/>
      </c>
      <c r="D550" s="24">
        <f>IF($A550="","",IFERROR(INDEX('03 Raw Data'!$H$3:$H$722,MATCH($A550,'03 Raw Data'!$G$3:$G$722,0)),""))</f>
        <v/>
      </c>
      <c r="E550" s="24">
        <f>IF($A550="","",IFERROR(INDEX('03 Raw Data'!$K$3:$K$722,MATCH($A550,'03 Raw Data'!$J$3:$J$722,0)),""))</f>
        <v/>
      </c>
      <c r="F550" s="24">
        <f>IF($A550="","",IFERROR(INDEX('03 Raw Data'!$N$3:$N$722,MATCH($A550,'03 Raw Data'!$M$3:$M$722,0)),""))</f>
        <v/>
      </c>
      <c r="G550" s="24">
        <f>IF($A550="","",IFERROR(INDEX('03 Raw Data'!$Q$3:$Q$722,MATCH($A550,'03 Raw Data'!$P$3:$P$722,0)),""))</f>
        <v/>
      </c>
      <c r="H550" s="24">
        <f>IF($A550="","",IFERROR(INDEX('03 Raw Data'!$T$3:$T$722,MATCH($A550,'03 Raw Data'!$S$3:$S$722,0)),""))</f>
        <v/>
      </c>
    </row>
    <row r="551">
      <c r="A551" s="23">
        <f>IFERROR(IF(OR('03 Raw Data'!A549="",'03 Raw Data'!A549=0),"",'03 Raw Data'!A549),"")</f>
        <v/>
      </c>
      <c r="B551" s="24">
        <f>IF($A551="","",IFERROR(INDEX('03 Raw Data'!$B$3:$B$722,MATCH($A551,'03 Raw Data'!$A$3:$A$722,0)),""))</f>
        <v/>
      </c>
      <c r="C551" s="24">
        <f>IF($A551="","",IFERROR(INDEX('03 Raw Data'!$E$3:$E$722,MATCH($A551,'03 Raw Data'!$D$3:$D$722,0)),""))</f>
        <v/>
      </c>
      <c r="D551" s="24">
        <f>IF($A551="","",IFERROR(INDEX('03 Raw Data'!$H$3:$H$722,MATCH($A551,'03 Raw Data'!$G$3:$G$722,0)),""))</f>
        <v/>
      </c>
      <c r="E551" s="24">
        <f>IF($A551="","",IFERROR(INDEX('03 Raw Data'!$K$3:$K$722,MATCH($A551,'03 Raw Data'!$J$3:$J$722,0)),""))</f>
        <v/>
      </c>
      <c r="F551" s="24">
        <f>IF($A551="","",IFERROR(INDEX('03 Raw Data'!$N$3:$N$722,MATCH($A551,'03 Raw Data'!$M$3:$M$722,0)),""))</f>
        <v/>
      </c>
      <c r="G551" s="24">
        <f>IF($A551="","",IFERROR(INDEX('03 Raw Data'!$Q$3:$Q$722,MATCH($A551,'03 Raw Data'!$P$3:$P$722,0)),""))</f>
        <v/>
      </c>
      <c r="H551" s="24">
        <f>IF($A551="","",IFERROR(INDEX('03 Raw Data'!$T$3:$T$722,MATCH($A551,'03 Raw Data'!$S$3:$S$722,0)),""))</f>
        <v/>
      </c>
    </row>
    <row r="552">
      <c r="A552" s="23">
        <f>IFERROR(IF(OR('03 Raw Data'!A550="",'03 Raw Data'!A550=0),"",'03 Raw Data'!A550),"")</f>
        <v/>
      </c>
      <c r="B552" s="24">
        <f>IF($A552="","",IFERROR(INDEX('03 Raw Data'!$B$3:$B$722,MATCH($A552,'03 Raw Data'!$A$3:$A$722,0)),""))</f>
        <v/>
      </c>
      <c r="C552" s="24">
        <f>IF($A552="","",IFERROR(INDEX('03 Raw Data'!$E$3:$E$722,MATCH($A552,'03 Raw Data'!$D$3:$D$722,0)),""))</f>
        <v/>
      </c>
      <c r="D552" s="24">
        <f>IF($A552="","",IFERROR(INDEX('03 Raw Data'!$H$3:$H$722,MATCH($A552,'03 Raw Data'!$G$3:$G$722,0)),""))</f>
        <v/>
      </c>
      <c r="E552" s="24">
        <f>IF($A552="","",IFERROR(INDEX('03 Raw Data'!$K$3:$K$722,MATCH($A552,'03 Raw Data'!$J$3:$J$722,0)),""))</f>
        <v/>
      </c>
      <c r="F552" s="24">
        <f>IF($A552="","",IFERROR(INDEX('03 Raw Data'!$N$3:$N$722,MATCH($A552,'03 Raw Data'!$M$3:$M$722,0)),""))</f>
        <v/>
      </c>
      <c r="G552" s="24">
        <f>IF($A552="","",IFERROR(INDEX('03 Raw Data'!$Q$3:$Q$722,MATCH($A552,'03 Raw Data'!$P$3:$P$722,0)),""))</f>
        <v/>
      </c>
      <c r="H552" s="24">
        <f>IF($A552="","",IFERROR(INDEX('03 Raw Data'!$T$3:$T$722,MATCH($A552,'03 Raw Data'!$S$3:$S$722,0)),""))</f>
        <v/>
      </c>
    </row>
    <row r="553">
      <c r="A553" s="23">
        <f>IFERROR(IF(OR('03 Raw Data'!A551="",'03 Raw Data'!A551=0),"",'03 Raw Data'!A551),"")</f>
        <v/>
      </c>
      <c r="B553" s="24">
        <f>IF($A553="","",IFERROR(INDEX('03 Raw Data'!$B$3:$B$722,MATCH($A553,'03 Raw Data'!$A$3:$A$722,0)),""))</f>
        <v/>
      </c>
      <c r="C553" s="24">
        <f>IF($A553="","",IFERROR(INDEX('03 Raw Data'!$E$3:$E$722,MATCH($A553,'03 Raw Data'!$D$3:$D$722,0)),""))</f>
        <v/>
      </c>
      <c r="D553" s="24">
        <f>IF($A553="","",IFERROR(INDEX('03 Raw Data'!$H$3:$H$722,MATCH($A553,'03 Raw Data'!$G$3:$G$722,0)),""))</f>
        <v/>
      </c>
      <c r="E553" s="24">
        <f>IF($A553="","",IFERROR(INDEX('03 Raw Data'!$K$3:$K$722,MATCH($A553,'03 Raw Data'!$J$3:$J$722,0)),""))</f>
        <v/>
      </c>
      <c r="F553" s="24">
        <f>IF($A553="","",IFERROR(INDEX('03 Raw Data'!$N$3:$N$722,MATCH($A553,'03 Raw Data'!$M$3:$M$722,0)),""))</f>
        <v/>
      </c>
      <c r="G553" s="24">
        <f>IF($A553="","",IFERROR(INDEX('03 Raw Data'!$Q$3:$Q$722,MATCH($A553,'03 Raw Data'!$P$3:$P$722,0)),""))</f>
        <v/>
      </c>
      <c r="H553" s="24">
        <f>IF($A553="","",IFERROR(INDEX('03 Raw Data'!$T$3:$T$722,MATCH($A553,'03 Raw Data'!$S$3:$S$722,0)),""))</f>
        <v/>
      </c>
    </row>
    <row r="554">
      <c r="A554" s="23">
        <f>IFERROR(IF(OR('03 Raw Data'!A552="",'03 Raw Data'!A552=0),"",'03 Raw Data'!A552),"")</f>
        <v/>
      </c>
      <c r="B554" s="24">
        <f>IF($A554="","",IFERROR(INDEX('03 Raw Data'!$B$3:$B$722,MATCH($A554,'03 Raw Data'!$A$3:$A$722,0)),""))</f>
        <v/>
      </c>
      <c r="C554" s="24">
        <f>IF($A554="","",IFERROR(INDEX('03 Raw Data'!$E$3:$E$722,MATCH($A554,'03 Raw Data'!$D$3:$D$722,0)),""))</f>
        <v/>
      </c>
      <c r="D554" s="24">
        <f>IF($A554="","",IFERROR(INDEX('03 Raw Data'!$H$3:$H$722,MATCH($A554,'03 Raw Data'!$G$3:$G$722,0)),""))</f>
        <v/>
      </c>
      <c r="E554" s="24">
        <f>IF($A554="","",IFERROR(INDEX('03 Raw Data'!$K$3:$K$722,MATCH($A554,'03 Raw Data'!$J$3:$J$722,0)),""))</f>
        <v/>
      </c>
      <c r="F554" s="24">
        <f>IF($A554="","",IFERROR(INDEX('03 Raw Data'!$N$3:$N$722,MATCH($A554,'03 Raw Data'!$M$3:$M$722,0)),""))</f>
        <v/>
      </c>
      <c r="G554" s="24">
        <f>IF($A554="","",IFERROR(INDEX('03 Raw Data'!$Q$3:$Q$722,MATCH($A554,'03 Raw Data'!$P$3:$P$722,0)),""))</f>
        <v/>
      </c>
      <c r="H554" s="24">
        <f>IF($A554="","",IFERROR(INDEX('03 Raw Data'!$T$3:$T$722,MATCH($A554,'03 Raw Data'!$S$3:$S$722,0)),""))</f>
        <v/>
      </c>
    </row>
    <row r="555">
      <c r="A555" s="23">
        <f>IFERROR(IF(OR('03 Raw Data'!A553="",'03 Raw Data'!A553=0),"",'03 Raw Data'!A553),"")</f>
        <v/>
      </c>
      <c r="B555" s="24">
        <f>IF($A555="","",IFERROR(INDEX('03 Raw Data'!$B$3:$B$722,MATCH($A555,'03 Raw Data'!$A$3:$A$722,0)),""))</f>
        <v/>
      </c>
      <c r="C555" s="24">
        <f>IF($A555="","",IFERROR(INDEX('03 Raw Data'!$E$3:$E$722,MATCH($A555,'03 Raw Data'!$D$3:$D$722,0)),""))</f>
        <v/>
      </c>
      <c r="D555" s="24">
        <f>IF($A555="","",IFERROR(INDEX('03 Raw Data'!$H$3:$H$722,MATCH($A555,'03 Raw Data'!$G$3:$G$722,0)),""))</f>
        <v/>
      </c>
      <c r="E555" s="24">
        <f>IF($A555="","",IFERROR(INDEX('03 Raw Data'!$K$3:$K$722,MATCH($A555,'03 Raw Data'!$J$3:$J$722,0)),""))</f>
        <v/>
      </c>
      <c r="F555" s="24">
        <f>IF($A555="","",IFERROR(INDEX('03 Raw Data'!$N$3:$N$722,MATCH($A555,'03 Raw Data'!$M$3:$M$722,0)),""))</f>
        <v/>
      </c>
      <c r="G555" s="24">
        <f>IF($A555="","",IFERROR(INDEX('03 Raw Data'!$Q$3:$Q$722,MATCH($A555,'03 Raw Data'!$P$3:$P$722,0)),""))</f>
        <v/>
      </c>
      <c r="H555" s="24">
        <f>IF($A555="","",IFERROR(INDEX('03 Raw Data'!$T$3:$T$722,MATCH($A555,'03 Raw Data'!$S$3:$S$722,0)),""))</f>
        <v/>
      </c>
    </row>
    <row r="556">
      <c r="A556" s="23">
        <f>IFERROR(IF(OR('03 Raw Data'!A554="",'03 Raw Data'!A554=0),"",'03 Raw Data'!A554),"")</f>
        <v/>
      </c>
      <c r="B556" s="24">
        <f>IF($A556="","",IFERROR(INDEX('03 Raw Data'!$B$3:$B$722,MATCH($A556,'03 Raw Data'!$A$3:$A$722,0)),""))</f>
        <v/>
      </c>
      <c r="C556" s="24">
        <f>IF($A556="","",IFERROR(INDEX('03 Raw Data'!$E$3:$E$722,MATCH($A556,'03 Raw Data'!$D$3:$D$722,0)),""))</f>
        <v/>
      </c>
      <c r="D556" s="24">
        <f>IF($A556="","",IFERROR(INDEX('03 Raw Data'!$H$3:$H$722,MATCH($A556,'03 Raw Data'!$G$3:$G$722,0)),""))</f>
        <v/>
      </c>
      <c r="E556" s="24">
        <f>IF($A556="","",IFERROR(INDEX('03 Raw Data'!$K$3:$K$722,MATCH($A556,'03 Raw Data'!$J$3:$J$722,0)),""))</f>
        <v/>
      </c>
      <c r="F556" s="24">
        <f>IF($A556="","",IFERROR(INDEX('03 Raw Data'!$N$3:$N$722,MATCH($A556,'03 Raw Data'!$M$3:$M$722,0)),""))</f>
        <v/>
      </c>
      <c r="G556" s="24">
        <f>IF($A556="","",IFERROR(INDEX('03 Raw Data'!$Q$3:$Q$722,MATCH($A556,'03 Raw Data'!$P$3:$P$722,0)),""))</f>
        <v/>
      </c>
      <c r="H556" s="24">
        <f>IF($A556="","",IFERROR(INDEX('03 Raw Data'!$T$3:$T$722,MATCH($A556,'03 Raw Data'!$S$3:$S$722,0)),""))</f>
        <v/>
      </c>
    </row>
    <row r="557">
      <c r="A557" s="23">
        <f>IFERROR(IF(OR('03 Raw Data'!A555="",'03 Raw Data'!A555=0),"",'03 Raw Data'!A555),"")</f>
        <v/>
      </c>
      <c r="B557" s="24">
        <f>IF($A557="","",IFERROR(INDEX('03 Raw Data'!$B$3:$B$722,MATCH($A557,'03 Raw Data'!$A$3:$A$722,0)),""))</f>
        <v/>
      </c>
      <c r="C557" s="24">
        <f>IF($A557="","",IFERROR(INDEX('03 Raw Data'!$E$3:$E$722,MATCH($A557,'03 Raw Data'!$D$3:$D$722,0)),""))</f>
        <v/>
      </c>
      <c r="D557" s="24">
        <f>IF($A557="","",IFERROR(INDEX('03 Raw Data'!$H$3:$H$722,MATCH($A557,'03 Raw Data'!$G$3:$G$722,0)),""))</f>
        <v/>
      </c>
      <c r="E557" s="24">
        <f>IF($A557="","",IFERROR(INDEX('03 Raw Data'!$K$3:$K$722,MATCH($A557,'03 Raw Data'!$J$3:$J$722,0)),""))</f>
        <v/>
      </c>
      <c r="F557" s="24">
        <f>IF($A557="","",IFERROR(INDEX('03 Raw Data'!$N$3:$N$722,MATCH($A557,'03 Raw Data'!$M$3:$M$722,0)),""))</f>
        <v/>
      </c>
      <c r="G557" s="24">
        <f>IF($A557="","",IFERROR(INDEX('03 Raw Data'!$Q$3:$Q$722,MATCH($A557,'03 Raw Data'!$P$3:$P$722,0)),""))</f>
        <v/>
      </c>
      <c r="H557" s="24">
        <f>IF($A557="","",IFERROR(INDEX('03 Raw Data'!$T$3:$T$722,MATCH($A557,'03 Raw Data'!$S$3:$S$722,0)),""))</f>
        <v/>
      </c>
    </row>
    <row r="558">
      <c r="A558" s="23">
        <f>IFERROR(IF(OR('03 Raw Data'!A556="",'03 Raw Data'!A556=0),"",'03 Raw Data'!A556),"")</f>
        <v/>
      </c>
      <c r="B558" s="24">
        <f>IF($A558="","",IFERROR(INDEX('03 Raw Data'!$B$3:$B$722,MATCH($A558,'03 Raw Data'!$A$3:$A$722,0)),""))</f>
        <v/>
      </c>
      <c r="C558" s="24">
        <f>IF($A558="","",IFERROR(INDEX('03 Raw Data'!$E$3:$E$722,MATCH($A558,'03 Raw Data'!$D$3:$D$722,0)),""))</f>
        <v/>
      </c>
      <c r="D558" s="24">
        <f>IF($A558="","",IFERROR(INDEX('03 Raw Data'!$H$3:$H$722,MATCH($A558,'03 Raw Data'!$G$3:$G$722,0)),""))</f>
        <v/>
      </c>
      <c r="E558" s="24">
        <f>IF($A558="","",IFERROR(INDEX('03 Raw Data'!$K$3:$K$722,MATCH($A558,'03 Raw Data'!$J$3:$J$722,0)),""))</f>
        <v/>
      </c>
      <c r="F558" s="24">
        <f>IF($A558="","",IFERROR(INDEX('03 Raw Data'!$N$3:$N$722,MATCH($A558,'03 Raw Data'!$M$3:$M$722,0)),""))</f>
        <v/>
      </c>
      <c r="G558" s="24">
        <f>IF($A558="","",IFERROR(INDEX('03 Raw Data'!$Q$3:$Q$722,MATCH($A558,'03 Raw Data'!$P$3:$P$722,0)),""))</f>
        <v/>
      </c>
      <c r="H558" s="24">
        <f>IF($A558="","",IFERROR(INDEX('03 Raw Data'!$T$3:$T$722,MATCH($A558,'03 Raw Data'!$S$3:$S$722,0)),""))</f>
        <v/>
      </c>
    </row>
    <row r="559">
      <c r="A559" s="23">
        <f>IFERROR(IF(OR('03 Raw Data'!A557="",'03 Raw Data'!A557=0),"",'03 Raw Data'!A557),"")</f>
        <v/>
      </c>
      <c r="B559" s="24">
        <f>IF($A559="","",IFERROR(INDEX('03 Raw Data'!$B$3:$B$722,MATCH($A559,'03 Raw Data'!$A$3:$A$722,0)),""))</f>
        <v/>
      </c>
      <c r="C559" s="24">
        <f>IF($A559="","",IFERROR(INDEX('03 Raw Data'!$E$3:$E$722,MATCH($A559,'03 Raw Data'!$D$3:$D$722,0)),""))</f>
        <v/>
      </c>
      <c r="D559" s="24">
        <f>IF($A559="","",IFERROR(INDEX('03 Raw Data'!$H$3:$H$722,MATCH($A559,'03 Raw Data'!$G$3:$G$722,0)),""))</f>
        <v/>
      </c>
      <c r="E559" s="24">
        <f>IF($A559="","",IFERROR(INDEX('03 Raw Data'!$K$3:$K$722,MATCH($A559,'03 Raw Data'!$J$3:$J$722,0)),""))</f>
        <v/>
      </c>
      <c r="F559" s="24">
        <f>IF($A559="","",IFERROR(INDEX('03 Raw Data'!$N$3:$N$722,MATCH($A559,'03 Raw Data'!$M$3:$M$722,0)),""))</f>
        <v/>
      </c>
      <c r="G559" s="24">
        <f>IF($A559="","",IFERROR(INDEX('03 Raw Data'!$Q$3:$Q$722,MATCH($A559,'03 Raw Data'!$P$3:$P$722,0)),""))</f>
        <v/>
      </c>
      <c r="H559" s="24">
        <f>IF($A559="","",IFERROR(INDEX('03 Raw Data'!$T$3:$T$722,MATCH($A559,'03 Raw Data'!$S$3:$S$722,0)),""))</f>
        <v/>
      </c>
    </row>
    <row r="560">
      <c r="A560" s="23">
        <f>IFERROR(IF(OR('03 Raw Data'!A558="",'03 Raw Data'!A558=0),"",'03 Raw Data'!A558),"")</f>
        <v/>
      </c>
      <c r="B560" s="24">
        <f>IF($A560="","",IFERROR(INDEX('03 Raw Data'!$B$3:$B$722,MATCH($A560,'03 Raw Data'!$A$3:$A$722,0)),""))</f>
        <v/>
      </c>
      <c r="C560" s="24">
        <f>IF($A560="","",IFERROR(INDEX('03 Raw Data'!$E$3:$E$722,MATCH($A560,'03 Raw Data'!$D$3:$D$722,0)),""))</f>
        <v/>
      </c>
      <c r="D560" s="24">
        <f>IF($A560="","",IFERROR(INDEX('03 Raw Data'!$H$3:$H$722,MATCH($A560,'03 Raw Data'!$G$3:$G$722,0)),""))</f>
        <v/>
      </c>
      <c r="E560" s="24">
        <f>IF($A560="","",IFERROR(INDEX('03 Raw Data'!$K$3:$K$722,MATCH($A560,'03 Raw Data'!$J$3:$J$722,0)),""))</f>
        <v/>
      </c>
      <c r="F560" s="24">
        <f>IF($A560="","",IFERROR(INDEX('03 Raw Data'!$N$3:$N$722,MATCH($A560,'03 Raw Data'!$M$3:$M$722,0)),""))</f>
        <v/>
      </c>
      <c r="G560" s="24">
        <f>IF($A560="","",IFERROR(INDEX('03 Raw Data'!$Q$3:$Q$722,MATCH($A560,'03 Raw Data'!$P$3:$P$722,0)),""))</f>
        <v/>
      </c>
      <c r="H560" s="24">
        <f>IF($A560="","",IFERROR(INDEX('03 Raw Data'!$T$3:$T$722,MATCH($A560,'03 Raw Data'!$S$3:$S$722,0)),""))</f>
        <v/>
      </c>
    </row>
    <row r="561">
      <c r="A561" s="23">
        <f>IFERROR(IF(OR('03 Raw Data'!A559="",'03 Raw Data'!A559=0),"",'03 Raw Data'!A559),"")</f>
        <v/>
      </c>
      <c r="B561" s="24">
        <f>IF($A561="","",IFERROR(INDEX('03 Raw Data'!$B$3:$B$722,MATCH($A561,'03 Raw Data'!$A$3:$A$722,0)),""))</f>
        <v/>
      </c>
      <c r="C561" s="24">
        <f>IF($A561="","",IFERROR(INDEX('03 Raw Data'!$E$3:$E$722,MATCH($A561,'03 Raw Data'!$D$3:$D$722,0)),""))</f>
        <v/>
      </c>
      <c r="D561" s="24">
        <f>IF($A561="","",IFERROR(INDEX('03 Raw Data'!$H$3:$H$722,MATCH($A561,'03 Raw Data'!$G$3:$G$722,0)),""))</f>
        <v/>
      </c>
      <c r="E561" s="24">
        <f>IF($A561="","",IFERROR(INDEX('03 Raw Data'!$K$3:$K$722,MATCH($A561,'03 Raw Data'!$J$3:$J$722,0)),""))</f>
        <v/>
      </c>
      <c r="F561" s="24">
        <f>IF($A561="","",IFERROR(INDEX('03 Raw Data'!$N$3:$N$722,MATCH($A561,'03 Raw Data'!$M$3:$M$722,0)),""))</f>
        <v/>
      </c>
      <c r="G561" s="24">
        <f>IF($A561="","",IFERROR(INDEX('03 Raw Data'!$Q$3:$Q$722,MATCH($A561,'03 Raw Data'!$P$3:$P$722,0)),""))</f>
        <v/>
      </c>
      <c r="H561" s="24">
        <f>IF($A561="","",IFERROR(INDEX('03 Raw Data'!$T$3:$T$722,MATCH($A561,'03 Raw Data'!$S$3:$S$722,0)),""))</f>
        <v/>
      </c>
    </row>
    <row r="562">
      <c r="A562" s="23">
        <f>IFERROR(IF(OR('03 Raw Data'!A560="",'03 Raw Data'!A560=0),"",'03 Raw Data'!A560),"")</f>
        <v/>
      </c>
      <c r="B562" s="24">
        <f>IF($A562="","",IFERROR(INDEX('03 Raw Data'!$B$3:$B$722,MATCH($A562,'03 Raw Data'!$A$3:$A$722,0)),""))</f>
        <v/>
      </c>
      <c r="C562" s="24">
        <f>IF($A562="","",IFERROR(INDEX('03 Raw Data'!$E$3:$E$722,MATCH($A562,'03 Raw Data'!$D$3:$D$722,0)),""))</f>
        <v/>
      </c>
      <c r="D562" s="24">
        <f>IF($A562="","",IFERROR(INDEX('03 Raw Data'!$H$3:$H$722,MATCH($A562,'03 Raw Data'!$G$3:$G$722,0)),""))</f>
        <v/>
      </c>
      <c r="E562" s="24">
        <f>IF($A562="","",IFERROR(INDEX('03 Raw Data'!$K$3:$K$722,MATCH($A562,'03 Raw Data'!$J$3:$J$722,0)),""))</f>
        <v/>
      </c>
      <c r="F562" s="24">
        <f>IF($A562="","",IFERROR(INDEX('03 Raw Data'!$N$3:$N$722,MATCH($A562,'03 Raw Data'!$M$3:$M$722,0)),""))</f>
        <v/>
      </c>
      <c r="G562" s="24">
        <f>IF($A562="","",IFERROR(INDEX('03 Raw Data'!$Q$3:$Q$722,MATCH($A562,'03 Raw Data'!$P$3:$P$722,0)),""))</f>
        <v/>
      </c>
      <c r="H562" s="24">
        <f>IF($A562="","",IFERROR(INDEX('03 Raw Data'!$T$3:$T$722,MATCH($A562,'03 Raw Data'!$S$3:$S$722,0)),""))</f>
        <v/>
      </c>
    </row>
    <row r="563">
      <c r="A563" s="23">
        <f>IFERROR(IF(OR('03 Raw Data'!A561="",'03 Raw Data'!A561=0),"",'03 Raw Data'!A561),"")</f>
        <v/>
      </c>
      <c r="B563" s="24">
        <f>IF($A563="","",IFERROR(INDEX('03 Raw Data'!$B$3:$B$722,MATCH($A563,'03 Raw Data'!$A$3:$A$722,0)),""))</f>
        <v/>
      </c>
      <c r="C563" s="24">
        <f>IF($A563="","",IFERROR(INDEX('03 Raw Data'!$E$3:$E$722,MATCH($A563,'03 Raw Data'!$D$3:$D$722,0)),""))</f>
        <v/>
      </c>
      <c r="D563" s="24">
        <f>IF($A563="","",IFERROR(INDEX('03 Raw Data'!$H$3:$H$722,MATCH($A563,'03 Raw Data'!$G$3:$G$722,0)),""))</f>
        <v/>
      </c>
      <c r="E563" s="24">
        <f>IF($A563="","",IFERROR(INDEX('03 Raw Data'!$K$3:$K$722,MATCH($A563,'03 Raw Data'!$J$3:$J$722,0)),""))</f>
        <v/>
      </c>
      <c r="F563" s="24">
        <f>IF($A563="","",IFERROR(INDEX('03 Raw Data'!$N$3:$N$722,MATCH($A563,'03 Raw Data'!$M$3:$M$722,0)),""))</f>
        <v/>
      </c>
      <c r="G563" s="24">
        <f>IF($A563="","",IFERROR(INDEX('03 Raw Data'!$Q$3:$Q$722,MATCH($A563,'03 Raw Data'!$P$3:$P$722,0)),""))</f>
        <v/>
      </c>
      <c r="H563" s="24">
        <f>IF($A563="","",IFERROR(INDEX('03 Raw Data'!$T$3:$T$722,MATCH($A563,'03 Raw Data'!$S$3:$S$722,0)),""))</f>
        <v/>
      </c>
    </row>
    <row r="564">
      <c r="A564" s="23">
        <f>IFERROR(IF(OR('03 Raw Data'!A562="",'03 Raw Data'!A562=0),"",'03 Raw Data'!A562),"")</f>
        <v/>
      </c>
      <c r="B564" s="24">
        <f>IF($A564="","",IFERROR(INDEX('03 Raw Data'!$B$3:$B$722,MATCH($A564,'03 Raw Data'!$A$3:$A$722,0)),""))</f>
        <v/>
      </c>
      <c r="C564" s="24">
        <f>IF($A564="","",IFERROR(INDEX('03 Raw Data'!$E$3:$E$722,MATCH($A564,'03 Raw Data'!$D$3:$D$722,0)),""))</f>
        <v/>
      </c>
      <c r="D564" s="24">
        <f>IF($A564="","",IFERROR(INDEX('03 Raw Data'!$H$3:$H$722,MATCH($A564,'03 Raw Data'!$G$3:$G$722,0)),""))</f>
        <v/>
      </c>
      <c r="E564" s="24">
        <f>IF($A564="","",IFERROR(INDEX('03 Raw Data'!$K$3:$K$722,MATCH($A564,'03 Raw Data'!$J$3:$J$722,0)),""))</f>
        <v/>
      </c>
      <c r="F564" s="24">
        <f>IF($A564="","",IFERROR(INDEX('03 Raw Data'!$N$3:$N$722,MATCH($A564,'03 Raw Data'!$M$3:$M$722,0)),""))</f>
        <v/>
      </c>
      <c r="G564" s="24">
        <f>IF($A564="","",IFERROR(INDEX('03 Raw Data'!$Q$3:$Q$722,MATCH($A564,'03 Raw Data'!$P$3:$P$722,0)),""))</f>
        <v/>
      </c>
      <c r="H564" s="24">
        <f>IF($A564="","",IFERROR(INDEX('03 Raw Data'!$T$3:$T$722,MATCH($A564,'03 Raw Data'!$S$3:$S$722,0)),""))</f>
        <v/>
      </c>
    </row>
    <row r="565">
      <c r="A565" s="23">
        <f>IFERROR(IF(OR('03 Raw Data'!A563="",'03 Raw Data'!A563=0),"",'03 Raw Data'!A563),"")</f>
        <v/>
      </c>
      <c r="B565" s="24">
        <f>IF($A565="","",IFERROR(INDEX('03 Raw Data'!$B$3:$B$722,MATCH($A565,'03 Raw Data'!$A$3:$A$722,0)),""))</f>
        <v/>
      </c>
      <c r="C565" s="24">
        <f>IF($A565="","",IFERROR(INDEX('03 Raw Data'!$E$3:$E$722,MATCH($A565,'03 Raw Data'!$D$3:$D$722,0)),""))</f>
        <v/>
      </c>
      <c r="D565" s="24">
        <f>IF($A565="","",IFERROR(INDEX('03 Raw Data'!$H$3:$H$722,MATCH($A565,'03 Raw Data'!$G$3:$G$722,0)),""))</f>
        <v/>
      </c>
      <c r="E565" s="24">
        <f>IF($A565="","",IFERROR(INDEX('03 Raw Data'!$K$3:$K$722,MATCH($A565,'03 Raw Data'!$J$3:$J$722,0)),""))</f>
        <v/>
      </c>
      <c r="F565" s="24">
        <f>IF($A565="","",IFERROR(INDEX('03 Raw Data'!$N$3:$N$722,MATCH($A565,'03 Raw Data'!$M$3:$M$722,0)),""))</f>
        <v/>
      </c>
      <c r="G565" s="24">
        <f>IF($A565="","",IFERROR(INDEX('03 Raw Data'!$Q$3:$Q$722,MATCH($A565,'03 Raw Data'!$P$3:$P$722,0)),""))</f>
        <v/>
      </c>
      <c r="H565" s="24">
        <f>IF($A565="","",IFERROR(INDEX('03 Raw Data'!$T$3:$T$722,MATCH($A565,'03 Raw Data'!$S$3:$S$722,0)),""))</f>
        <v/>
      </c>
    </row>
    <row r="566">
      <c r="A566" s="23">
        <f>IFERROR(IF(OR('03 Raw Data'!A564="",'03 Raw Data'!A564=0),"",'03 Raw Data'!A564),"")</f>
        <v/>
      </c>
      <c r="B566" s="24">
        <f>IF($A566="","",IFERROR(INDEX('03 Raw Data'!$B$3:$B$722,MATCH($A566,'03 Raw Data'!$A$3:$A$722,0)),""))</f>
        <v/>
      </c>
      <c r="C566" s="24">
        <f>IF($A566="","",IFERROR(INDEX('03 Raw Data'!$E$3:$E$722,MATCH($A566,'03 Raw Data'!$D$3:$D$722,0)),""))</f>
        <v/>
      </c>
      <c r="D566" s="24">
        <f>IF($A566="","",IFERROR(INDEX('03 Raw Data'!$H$3:$H$722,MATCH($A566,'03 Raw Data'!$G$3:$G$722,0)),""))</f>
        <v/>
      </c>
      <c r="E566" s="24">
        <f>IF($A566="","",IFERROR(INDEX('03 Raw Data'!$K$3:$K$722,MATCH($A566,'03 Raw Data'!$J$3:$J$722,0)),""))</f>
        <v/>
      </c>
      <c r="F566" s="24">
        <f>IF($A566="","",IFERROR(INDEX('03 Raw Data'!$N$3:$N$722,MATCH($A566,'03 Raw Data'!$M$3:$M$722,0)),""))</f>
        <v/>
      </c>
      <c r="G566" s="24">
        <f>IF($A566="","",IFERROR(INDEX('03 Raw Data'!$Q$3:$Q$722,MATCH($A566,'03 Raw Data'!$P$3:$P$722,0)),""))</f>
        <v/>
      </c>
      <c r="H566" s="24">
        <f>IF($A566="","",IFERROR(INDEX('03 Raw Data'!$T$3:$T$722,MATCH($A566,'03 Raw Data'!$S$3:$S$722,0)),""))</f>
        <v/>
      </c>
    </row>
    <row r="567">
      <c r="A567" s="23">
        <f>IFERROR(IF(OR('03 Raw Data'!A565="",'03 Raw Data'!A565=0),"",'03 Raw Data'!A565),"")</f>
        <v/>
      </c>
      <c r="B567" s="24">
        <f>IF($A567="","",IFERROR(INDEX('03 Raw Data'!$B$3:$B$722,MATCH($A567,'03 Raw Data'!$A$3:$A$722,0)),""))</f>
        <v/>
      </c>
      <c r="C567" s="24">
        <f>IF($A567="","",IFERROR(INDEX('03 Raw Data'!$E$3:$E$722,MATCH($A567,'03 Raw Data'!$D$3:$D$722,0)),""))</f>
        <v/>
      </c>
      <c r="D567" s="24">
        <f>IF($A567="","",IFERROR(INDEX('03 Raw Data'!$H$3:$H$722,MATCH($A567,'03 Raw Data'!$G$3:$G$722,0)),""))</f>
        <v/>
      </c>
      <c r="E567" s="24">
        <f>IF($A567="","",IFERROR(INDEX('03 Raw Data'!$K$3:$K$722,MATCH($A567,'03 Raw Data'!$J$3:$J$722,0)),""))</f>
        <v/>
      </c>
      <c r="F567" s="24">
        <f>IF($A567="","",IFERROR(INDEX('03 Raw Data'!$N$3:$N$722,MATCH($A567,'03 Raw Data'!$M$3:$M$722,0)),""))</f>
        <v/>
      </c>
      <c r="G567" s="24">
        <f>IF($A567="","",IFERROR(INDEX('03 Raw Data'!$Q$3:$Q$722,MATCH($A567,'03 Raw Data'!$P$3:$P$722,0)),""))</f>
        <v/>
      </c>
      <c r="H567" s="24">
        <f>IF($A567="","",IFERROR(INDEX('03 Raw Data'!$T$3:$T$722,MATCH($A567,'03 Raw Data'!$S$3:$S$722,0)),""))</f>
        <v/>
      </c>
    </row>
    <row r="568">
      <c r="A568" s="23">
        <f>IFERROR(IF(OR('03 Raw Data'!A566="",'03 Raw Data'!A566=0),"",'03 Raw Data'!A566),"")</f>
        <v/>
      </c>
      <c r="B568" s="24">
        <f>IF($A568="","",IFERROR(INDEX('03 Raw Data'!$B$3:$B$722,MATCH($A568,'03 Raw Data'!$A$3:$A$722,0)),""))</f>
        <v/>
      </c>
      <c r="C568" s="24">
        <f>IF($A568="","",IFERROR(INDEX('03 Raw Data'!$E$3:$E$722,MATCH($A568,'03 Raw Data'!$D$3:$D$722,0)),""))</f>
        <v/>
      </c>
      <c r="D568" s="24">
        <f>IF($A568="","",IFERROR(INDEX('03 Raw Data'!$H$3:$H$722,MATCH($A568,'03 Raw Data'!$G$3:$G$722,0)),""))</f>
        <v/>
      </c>
      <c r="E568" s="24">
        <f>IF($A568="","",IFERROR(INDEX('03 Raw Data'!$K$3:$K$722,MATCH($A568,'03 Raw Data'!$J$3:$J$722,0)),""))</f>
        <v/>
      </c>
      <c r="F568" s="24">
        <f>IF($A568="","",IFERROR(INDEX('03 Raw Data'!$N$3:$N$722,MATCH($A568,'03 Raw Data'!$M$3:$M$722,0)),""))</f>
        <v/>
      </c>
      <c r="G568" s="24">
        <f>IF($A568="","",IFERROR(INDEX('03 Raw Data'!$Q$3:$Q$722,MATCH($A568,'03 Raw Data'!$P$3:$P$722,0)),""))</f>
        <v/>
      </c>
      <c r="H568" s="24">
        <f>IF($A568="","",IFERROR(INDEX('03 Raw Data'!$T$3:$T$722,MATCH($A568,'03 Raw Data'!$S$3:$S$722,0)),""))</f>
        <v/>
      </c>
    </row>
    <row r="569">
      <c r="A569" s="23">
        <f>IFERROR(IF(OR('03 Raw Data'!A567="",'03 Raw Data'!A567=0),"",'03 Raw Data'!A567),"")</f>
        <v/>
      </c>
      <c r="B569" s="24">
        <f>IF($A569="","",IFERROR(INDEX('03 Raw Data'!$B$3:$B$722,MATCH($A569,'03 Raw Data'!$A$3:$A$722,0)),""))</f>
        <v/>
      </c>
      <c r="C569" s="24">
        <f>IF($A569="","",IFERROR(INDEX('03 Raw Data'!$E$3:$E$722,MATCH($A569,'03 Raw Data'!$D$3:$D$722,0)),""))</f>
        <v/>
      </c>
      <c r="D569" s="24">
        <f>IF($A569="","",IFERROR(INDEX('03 Raw Data'!$H$3:$H$722,MATCH($A569,'03 Raw Data'!$G$3:$G$722,0)),""))</f>
        <v/>
      </c>
      <c r="E569" s="24">
        <f>IF($A569="","",IFERROR(INDEX('03 Raw Data'!$K$3:$K$722,MATCH($A569,'03 Raw Data'!$J$3:$J$722,0)),""))</f>
        <v/>
      </c>
      <c r="F569" s="24">
        <f>IF($A569="","",IFERROR(INDEX('03 Raw Data'!$N$3:$N$722,MATCH($A569,'03 Raw Data'!$M$3:$M$722,0)),""))</f>
        <v/>
      </c>
      <c r="G569" s="24">
        <f>IF($A569="","",IFERROR(INDEX('03 Raw Data'!$Q$3:$Q$722,MATCH($A569,'03 Raw Data'!$P$3:$P$722,0)),""))</f>
        <v/>
      </c>
      <c r="H569" s="24">
        <f>IF($A569="","",IFERROR(INDEX('03 Raw Data'!$T$3:$T$722,MATCH($A569,'03 Raw Data'!$S$3:$S$722,0)),""))</f>
        <v/>
      </c>
    </row>
    <row r="570">
      <c r="A570" s="23">
        <f>IFERROR(IF(OR('03 Raw Data'!A568="",'03 Raw Data'!A568=0),"",'03 Raw Data'!A568),"")</f>
        <v/>
      </c>
      <c r="B570" s="24">
        <f>IF($A570="","",IFERROR(INDEX('03 Raw Data'!$B$3:$B$722,MATCH($A570,'03 Raw Data'!$A$3:$A$722,0)),""))</f>
        <v/>
      </c>
      <c r="C570" s="24">
        <f>IF($A570="","",IFERROR(INDEX('03 Raw Data'!$E$3:$E$722,MATCH($A570,'03 Raw Data'!$D$3:$D$722,0)),""))</f>
        <v/>
      </c>
      <c r="D570" s="24">
        <f>IF($A570="","",IFERROR(INDEX('03 Raw Data'!$H$3:$H$722,MATCH($A570,'03 Raw Data'!$G$3:$G$722,0)),""))</f>
        <v/>
      </c>
      <c r="E570" s="24">
        <f>IF($A570="","",IFERROR(INDEX('03 Raw Data'!$K$3:$K$722,MATCH($A570,'03 Raw Data'!$J$3:$J$722,0)),""))</f>
        <v/>
      </c>
      <c r="F570" s="24">
        <f>IF($A570="","",IFERROR(INDEX('03 Raw Data'!$N$3:$N$722,MATCH($A570,'03 Raw Data'!$M$3:$M$722,0)),""))</f>
        <v/>
      </c>
      <c r="G570" s="24">
        <f>IF($A570="","",IFERROR(INDEX('03 Raw Data'!$Q$3:$Q$722,MATCH($A570,'03 Raw Data'!$P$3:$P$722,0)),""))</f>
        <v/>
      </c>
      <c r="H570" s="24">
        <f>IF($A570="","",IFERROR(INDEX('03 Raw Data'!$T$3:$T$722,MATCH($A570,'03 Raw Data'!$S$3:$S$722,0)),""))</f>
        <v/>
      </c>
    </row>
    <row r="571">
      <c r="A571" s="23">
        <f>IFERROR(IF(OR('03 Raw Data'!A569="",'03 Raw Data'!A569=0),"",'03 Raw Data'!A569),"")</f>
        <v/>
      </c>
      <c r="B571" s="24">
        <f>IF($A571="","",IFERROR(INDEX('03 Raw Data'!$B$3:$B$722,MATCH($A571,'03 Raw Data'!$A$3:$A$722,0)),""))</f>
        <v/>
      </c>
      <c r="C571" s="24">
        <f>IF($A571="","",IFERROR(INDEX('03 Raw Data'!$E$3:$E$722,MATCH($A571,'03 Raw Data'!$D$3:$D$722,0)),""))</f>
        <v/>
      </c>
      <c r="D571" s="24">
        <f>IF($A571="","",IFERROR(INDEX('03 Raw Data'!$H$3:$H$722,MATCH($A571,'03 Raw Data'!$G$3:$G$722,0)),""))</f>
        <v/>
      </c>
      <c r="E571" s="24">
        <f>IF($A571="","",IFERROR(INDEX('03 Raw Data'!$K$3:$K$722,MATCH($A571,'03 Raw Data'!$J$3:$J$722,0)),""))</f>
        <v/>
      </c>
      <c r="F571" s="24">
        <f>IF($A571="","",IFERROR(INDEX('03 Raw Data'!$N$3:$N$722,MATCH($A571,'03 Raw Data'!$M$3:$M$722,0)),""))</f>
        <v/>
      </c>
      <c r="G571" s="24">
        <f>IF($A571="","",IFERROR(INDEX('03 Raw Data'!$Q$3:$Q$722,MATCH($A571,'03 Raw Data'!$P$3:$P$722,0)),""))</f>
        <v/>
      </c>
      <c r="H571" s="24">
        <f>IF($A571="","",IFERROR(INDEX('03 Raw Data'!$T$3:$T$722,MATCH($A571,'03 Raw Data'!$S$3:$S$722,0)),""))</f>
        <v/>
      </c>
    </row>
    <row r="572">
      <c r="A572" s="23">
        <f>IFERROR(IF(OR('03 Raw Data'!A570="",'03 Raw Data'!A570=0),"",'03 Raw Data'!A570),"")</f>
        <v/>
      </c>
      <c r="B572" s="24">
        <f>IF($A572="","",IFERROR(INDEX('03 Raw Data'!$B$3:$B$722,MATCH($A572,'03 Raw Data'!$A$3:$A$722,0)),""))</f>
        <v/>
      </c>
      <c r="C572" s="24">
        <f>IF($A572="","",IFERROR(INDEX('03 Raw Data'!$E$3:$E$722,MATCH($A572,'03 Raw Data'!$D$3:$D$722,0)),""))</f>
        <v/>
      </c>
      <c r="D572" s="24">
        <f>IF($A572="","",IFERROR(INDEX('03 Raw Data'!$H$3:$H$722,MATCH($A572,'03 Raw Data'!$G$3:$G$722,0)),""))</f>
        <v/>
      </c>
      <c r="E572" s="24">
        <f>IF($A572="","",IFERROR(INDEX('03 Raw Data'!$K$3:$K$722,MATCH($A572,'03 Raw Data'!$J$3:$J$722,0)),""))</f>
        <v/>
      </c>
      <c r="F572" s="24">
        <f>IF($A572="","",IFERROR(INDEX('03 Raw Data'!$N$3:$N$722,MATCH($A572,'03 Raw Data'!$M$3:$M$722,0)),""))</f>
        <v/>
      </c>
      <c r="G572" s="24">
        <f>IF($A572="","",IFERROR(INDEX('03 Raw Data'!$Q$3:$Q$722,MATCH($A572,'03 Raw Data'!$P$3:$P$722,0)),""))</f>
        <v/>
      </c>
      <c r="H572" s="24">
        <f>IF($A572="","",IFERROR(INDEX('03 Raw Data'!$T$3:$T$722,MATCH($A572,'03 Raw Data'!$S$3:$S$722,0)),""))</f>
        <v/>
      </c>
    </row>
    <row r="573">
      <c r="A573" s="23">
        <f>IFERROR(IF(OR('03 Raw Data'!A571="",'03 Raw Data'!A571=0),"",'03 Raw Data'!A571),"")</f>
        <v/>
      </c>
      <c r="B573" s="24">
        <f>IF($A573="","",IFERROR(INDEX('03 Raw Data'!$B$3:$B$722,MATCH($A573,'03 Raw Data'!$A$3:$A$722,0)),""))</f>
        <v/>
      </c>
      <c r="C573" s="24">
        <f>IF($A573="","",IFERROR(INDEX('03 Raw Data'!$E$3:$E$722,MATCH($A573,'03 Raw Data'!$D$3:$D$722,0)),""))</f>
        <v/>
      </c>
      <c r="D573" s="24">
        <f>IF($A573="","",IFERROR(INDEX('03 Raw Data'!$H$3:$H$722,MATCH($A573,'03 Raw Data'!$G$3:$G$722,0)),""))</f>
        <v/>
      </c>
      <c r="E573" s="24">
        <f>IF($A573="","",IFERROR(INDEX('03 Raw Data'!$K$3:$K$722,MATCH($A573,'03 Raw Data'!$J$3:$J$722,0)),""))</f>
        <v/>
      </c>
      <c r="F573" s="24">
        <f>IF($A573="","",IFERROR(INDEX('03 Raw Data'!$N$3:$N$722,MATCH($A573,'03 Raw Data'!$M$3:$M$722,0)),""))</f>
        <v/>
      </c>
      <c r="G573" s="24">
        <f>IF($A573="","",IFERROR(INDEX('03 Raw Data'!$Q$3:$Q$722,MATCH($A573,'03 Raw Data'!$P$3:$P$722,0)),""))</f>
        <v/>
      </c>
      <c r="H573" s="24">
        <f>IF($A573="","",IFERROR(INDEX('03 Raw Data'!$T$3:$T$722,MATCH($A573,'03 Raw Data'!$S$3:$S$722,0)),""))</f>
        <v/>
      </c>
    </row>
    <row r="574">
      <c r="A574" s="23">
        <f>IFERROR(IF(OR('03 Raw Data'!A572="",'03 Raw Data'!A572=0),"",'03 Raw Data'!A572),"")</f>
        <v/>
      </c>
      <c r="B574" s="24">
        <f>IF($A574="","",IFERROR(INDEX('03 Raw Data'!$B$3:$B$722,MATCH($A574,'03 Raw Data'!$A$3:$A$722,0)),""))</f>
        <v/>
      </c>
      <c r="C574" s="24">
        <f>IF($A574="","",IFERROR(INDEX('03 Raw Data'!$E$3:$E$722,MATCH($A574,'03 Raw Data'!$D$3:$D$722,0)),""))</f>
        <v/>
      </c>
      <c r="D574" s="24">
        <f>IF($A574="","",IFERROR(INDEX('03 Raw Data'!$H$3:$H$722,MATCH($A574,'03 Raw Data'!$G$3:$G$722,0)),""))</f>
        <v/>
      </c>
      <c r="E574" s="24">
        <f>IF($A574="","",IFERROR(INDEX('03 Raw Data'!$K$3:$K$722,MATCH($A574,'03 Raw Data'!$J$3:$J$722,0)),""))</f>
        <v/>
      </c>
      <c r="F574" s="24">
        <f>IF($A574="","",IFERROR(INDEX('03 Raw Data'!$N$3:$N$722,MATCH($A574,'03 Raw Data'!$M$3:$M$722,0)),""))</f>
        <v/>
      </c>
      <c r="G574" s="24">
        <f>IF($A574="","",IFERROR(INDEX('03 Raw Data'!$Q$3:$Q$722,MATCH($A574,'03 Raw Data'!$P$3:$P$722,0)),""))</f>
        <v/>
      </c>
      <c r="H574" s="24">
        <f>IF($A574="","",IFERROR(INDEX('03 Raw Data'!$T$3:$T$722,MATCH($A574,'03 Raw Data'!$S$3:$S$722,0)),""))</f>
        <v/>
      </c>
    </row>
    <row r="575">
      <c r="A575" s="23">
        <f>IFERROR(IF(OR('03 Raw Data'!A573="",'03 Raw Data'!A573=0),"",'03 Raw Data'!A573),"")</f>
        <v/>
      </c>
      <c r="B575" s="24">
        <f>IF($A575="","",IFERROR(INDEX('03 Raw Data'!$B$3:$B$722,MATCH($A575,'03 Raw Data'!$A$3:$A$722,0)),""))</f>
        <v/>
      </c>
      <c r="C575" s="24">
        <f>IF($A575="","",IFERROR(INDEX('03 Raw Data'!$E$3:$E$722,MATCH($A575,'03 Raw Data'!$D$3:$D$722,0)),""))</f>
        <v/>
      </c>
      <c r="D575" s="24">
        <f>IF($A575="","",IFERROR(INDEX('03 Raw Data'!$H$3:$H$722,MATCH($A575,'03 Raw Data'!$G$3:$G$722,0)),""))</f>
        <v/>
      </c>
      <c r="E575" s="24">
        <f>IF($A575="","",IFERROR(INDEX('03 Raw Data'!$K$3:$K$722,MATCH($A575,'03 Raw Data'!$J$3:$J$722,0)),""))</f>
        <v/>
      </c>
      <c r="F575" s="24">
        <f>IF($A575="","",IFERROR(INDEX('03 Raw Data'!$N$3:$N$722,MATCH($A575,'03 Raw Data'!$M$3:$M$722,0)),""))</f>
        <v/>
      </c>
      <c r="G575" s="24">
        <f>IF($A575="","",IFERROR(INDEX('03 Raw Data'!$Q$3:$Q$722,MATCH($A575,'03 Raw Data'!$P$3:$P$722,0)),""))</f>
        <v/>
      </c>
      <c r="H575" s="24">
        <f>IF($A575="","",IFERROR(INDEX('03 Raw Data'!$T$3:$T$722,MATCH($A575,'03 Raw Data'!$S$3:$S$722,0)),""))</f>
        <v/>
      </c>
    </row>
    <row r="576">
      <c r="A576" s="23">
        <f>IFERROR(IF(OR('03 Raw Data'!A574="",'03 Raw Data'!A574=0),"",'03 Raw Data'!A574),"")</f>
        <v/>
      </c>
      <c r="B576" s="24">
        <f>IF($A576="","",IFERROR(INDEX('03 Raw Data'!$B$3:$B$722,MATCH($A576,'03 Raw Data'!$A$3:$A$722,0)),""))</f>
        <v/>
      </c>
      <c r="C576" s="24">
        <f>IF($A576="","",IFERROR(INDEX('03 Raw Data'!$E$3:$E$722,MATCH($A576,'03 Raw Data'!$D$3:$D$722,0)),""))</f>
        <v/>
      </c>
      <c r="D576" s="24">
        <f>IF($A576="","",IFERROR(INDEX('03 Raw Data'!$H$3:$H$722,MATCH($A576,'03 Raw Data'!$G$3:$G$722,0)),""))</f>
        <v/>
      </c>
      <c r="E576" s="24">
        <f>IF($A576="","",IFERROR(INDEX('03 Raw Data'!$K$3:$K$722,MATCH($A576,'03 Raw Data'!$J$3:$J$722,0)),""))</f>
        <v/>
      </c>
      <c r="F576" s="24">
        <f>IF($A576="","",IFERROR(INDEX('03 Raw Data'!$N$3:$N$722,MATCH($A576,'03 Raw Data'!$M$3:$M$722,0)),""))</f>
        <v/>
      </c>
      <c r="G576" s="24">
        <f>IF($A576="","",IFERROR(INDEX('03 Raw Data'!$Q$3:$Q$722,MATCH($A576,'03 Raw Data'!$P$3:$P$722,0)),""))</f>
        <v/>
      </c>
      <c r="H576" s="24">
        <f>IF($A576="","",IFERROR(INDEX('03 Raw Data'!$T$3:$T$722,MATCH($A576,'03 Raw Data'!$S$3:$S$722,0)),""))</f>
        <v/>
      </c>
    </row>
    <row r="577">
      <c r="A577" s="23">
        <f>IFERROR(IF(OR('03 Raw Data'!A575="",'03 Raw Data'!A575=0),"",'03 Raw Data'!A575),"")</f>
        <v/>
      </c>
      <c r="B577" s="24">
        <f>IF($A577="","",IFERROR(INDEX('03 Raw Data'!$B$3:$B$722,MATCH($A577,'03 Raw Data'!$A$3:$A$722,0)),""))</f>
        <v/>
      </c>
      <c r="C577" s="24">
        <f>IF($A577="","",IFERROR(INDEX('03 Raw Data'!$E$3:$E$722,MATCH($A577,'03 Raw Data'!$D$3:$D$722,0)),""))</f>
        <v/>
      </c>
      <c r="D577" s="24">
        <f>IF($A577="","",IFERROR(INDEX('03 Raw Data'!$H$3:$H$722,MATCH($A577,'03 Raw Data'!$G$3:$G$722,0)),""))</f>
        <v/>
      </c>
      <c r="E577" s="24">
        <f>IF($A577="","",IFERROR(INDEX('03 Raw Data'!$K$3:$K$722,MATCH($A577,'03 Raw Data'!$J$3:$J$722,0)),""))</f>
        <v/>
      </c>
      <c r="F577" s="24">
        <f>IF($A577="","",IFERROR(INDEX('03 Raw Data'!$N$3:$N$722,MATCH($A577,'03 Raw Data'!$M$3:$M$722,0)),""))</f>
        <v/>
      </c>
      <c r="G577" s="24">
        <f>IF($A577="","",IFERROR(INDEX('03 Raw Data'!$Q$3:$Q$722,MATCH($A577,'03 Raw Data'!$P$3:$P$722,0)),""))</f>
        <v/>
      </c>
      <c r="H577" s="24">
        <f>IF($A577="","",IFERROR(INDEX('03 Raw Data'!$T$3:$T$722,MATCH($A577,'03 Raw Data'!$S$3:$S$722,0)),""))</f>
        <v/>
      </c>
    </row>
    <row r="578">
      <c r="A578" s="23">
        <f>IFERROR(IF(OR('03 Raw Data'!A576="",'03 Raw Data'!A576=0),"",'03 Raw Data'!A576),"")</f>
        <v/>
      </c>
      <c r="B578" s="24">
        <f>IF($A578="","",IFERROR(INDEX('03 Raw Data'!$B$3:$B$722,MATCH($A578,'03 Raw Data'!$A$3:$A$722,0)),""))</f>
        <v/>
      </c>
      <c r="C578" s="24">
        <f>IF($A578="","",IFERROR(INDEX('03 Raw Data'!$E$3:$E$722,MATCH($A578,'03 Raw Data'!$D$3:$D$722,0)),""))</f>
        <v/>
      </c>
      <c r="D578" s="24">
        <f>IF($A578="","",IFERROR(INDEX('03 Raw Data'!$H$3:$H$722,MATCH($A578,'03 Raw Data'!$G$3:$G$722,0)),""))</f>
        <v/>
      </c>
      <c r="E578" s="24">
        <f>IF($A578="","",IFERROR(INDEX('03 Raw Data'!$K$3:$K$722,MATCH($A578,'03 Raw Data'!$J$3:$J$722,0)),""))</f>
        <v/>
      </c>
      <c r="F578" s="24">
        <f>IF($A578="","",IFERROR(INDEX('03 Raw Data'!$N$3:$N$722,MATCH($A578,'03 Raw Data'!$M$3:$M$722,0)),""))</f>
        <v/>
      </c>
      <c r="G578" s="24">
        <f>IF($A578="","",IFERROR(INDEX('03 Raw Data'!$Q$3:$Q$722,MATCH($A578,'03 Raw Data'!$P$3:$P$722,0)),""))</f>
        <v/>
      </c>
      <c r="H578" s="24">
        <f>IF($A578="","",IFERROR(INDEX('03 Raw Data'!$T$3:$T$722,MATCH($A578,'03 Raw Data'!$S$3:$S$722,0)),""))</f>
        <v/>
      </c>
    </row>
    <row r="579">
      <c r="A579" s="23">
        <f>IFERROR(IF(OR('03 Raw Data'!A577="",'03 Raw Data'!A577=0),"",'03 Raw Data'!A577),"")</f>
        <v/>
      </c>
      <c r="B579" s="24">
        <f>IF($A579="","",IFERROR(INDEX('03 Raw Data'!$B$3:$B$722,MATCH($A579,'03 Raw Data'!$A$3:$A$722,0)),""))</f>
        <v/>
      </c>
      <c r="C579" s="24">
        <f>IF($A579="","",IFERROR(INDEX('03 Raw Data'!$E$3:$E$722,MATCH($A579,'03 Raw Data'!$D$3:$D$722,0)),""))</f>
        <v/>
      </c>
      <c r="D579" s="24">
        <f>IF($A579="","",IFERROR(INDEX('03 Raw Data'!$H$3:$H$722,MATCH($A579,'03 Raw Data'!$G$3:$G$722,0)),""))</f>
        <v/>
      </c>
      <c r="E579" s="24">
        <f>IF($A579="","",IFERROR(INDEX('03 Raw Data'!$K$3:$K$722,MATCH($A579,'03 Raw Data'!$J$3:$J$722,0)),""))</f>
        <v/>
      </c>
      <c r="F579" s="24">
        <f>IF($A579="","",IFERROR(INDEX('03 Raw Data'!$N$3:$N$722,MATCH($A579,'03 Raw Data'!$M$3:$M$722,0)),""))</f>
        <v/>
      </c>
      <c r="G579" s="24">
        <f>IF($A579="","",IFERROR(INDEX('03 Raw Data'!$Q$3:$Q$722,MATCH($A579,'03 Raw Data'!$P$3:$P$722,0)),""))</f>
        <v/>
      </c>
      <c r="H579" s="24">
        <f>IF($A579="","",IFERROR(INDEX('03 Raw Data'!$T$3:$T$722,MATCH($A579,'03 Raw Data'!$S$3:$S$722,0)),""))</f>
        <v/>
      </c>
    </row>
    <row r="580">
      <c r="A580" s="23">
        <f>IFERROR(IF(OR('03 Raw Data'!A578="",'03 Raw Data'!A578=0),"",'03 Raw Data'!A578),"")</f>
        <v/>
      </c>
      <c r="B580" s="24">
        <f>IF($A580="","",IFERROR(INDEX('03 Raw Data'!$B$3:$B$722,MATCH($A580,'03 Raw Data'!$A$3:$A$722,0)),""))</f>
        <v/>
      </c>
      <c r="C580" s="24">
        <f>IF($A580="","",IFERROR(INDEX('03 Raw Data'!$E$3:$E$722,MATCH($A580,'03 Raw Data'!$D$3:$D$722,0)),""))</f>
        <v/>
      </c>
      <c r="D580" s="24">
        <f>IF($A580="","",IFERROR(INDEX('03 Raw Data'!$H$3:$H$722,MATCH($A580,'03 Raw Data'!$G$3:$G$722,0)),""))</f>
        <v/>
      </c>
      <c r="E580" s="24">
        <f>IF($A580="","",IFERROR(INDEX('03 Raw Data'!$K$3:$K$722,MATCH($A580,'03 Raw Data'!$J$3:$J$722,0)),""))</f>
        <v/>
      </c>
      <c r="F580" s="24">
        <f>IF($A580="","",IFERROR(INDEX('03 Raw Data'!$N$3:$N$722,MATCH($A580,'03 Raw Data'!$M$3:$M$722,0)),""))</f>
        <v/>
      </c>
      <c r="G580" s="24">
        <f>IF($A580="","",IFERROR(INDEX('03 Raw Data'!$Q$3:$Q$722,MATCH($A580,'03 Raw Data'!$P$3:$P$722,0)),""))</f>
        <v/>
      </c>
      <c r="H580" s="24">
        <f>IF($A580="","",IFERROR(INDEX('03 Raw Data'!$T$3:$T$722,MATCH($A580,'03 Raw Data'!$S$3:$S$722,0)),""))</f>
        <v/>
      </c>
    </row>
    <row r="581">
      <c r="A581" s="23">
        <f>IFERROR(IF(OR('03 Raw Data'!A579="",'03 Raw Data'!A579=0),"",'03 Raw Data'!A579),"")</f>
        <v/>
      </c>
      <c r="B581" s="24">
        <f>IF($A581="","",IFERROR(INDEX('03 Raw Data'!$B$3:$B$722,MATCH($A581,'03 Raw Data'!$A$3:$A$722,0)),""))</f>
        <v/>
      </c>
      <c r="C581" s="24">
        <f>IF($A581="","",IFERROR(INDEX('03 Raw Data'!$E$3:$E$722,MATCH($A581,'03 Raw Data'!$D$3:$D$722,0)),""))</f>
        <v/>
      </c>
      <c r="D581" s="24">
        <f>IF($A581="","",IFERROR(INDEX('03 Raw Data'!$H$3:$H$722,MATCH($A581,'03 Raw Data'!$G$3:$G$722,0)),""))</f>
        <v/>
      </c>
      <c r="E581" s="24">
        <f>IF($A581="","",IFERROR(INDEX('03 Raw Data'!$K$3:$K$722,MATCH($A581,'03 Raw Data'!$J$3:$J$722,0)),""))</f>
        <v/>
      </c>
      <c r="F581" s="24">
        <f>IF($A581="","",IFERROR(INDEX('03 Raw Data'!$N$3:$N$722,MATCH($A581,'03 Raw Data'!$M$3:$M$722,0)),""))</f>
        <v/>
      </c>
      <c r="G581" s="24">
        <f>IF($A581="","",IFERROR(INDEX('03 Raw Data'!$Q$3:$Q$722,MATCH($A581,'03 Raw Data'!$P$3:$P$722,0)),""))</f>
        <v/>
      </c>
      <c r="H581" s="24">
        <f>IF($A581="","",IFERROR(INDEX('03 Raw Data'!$T$3:$T$722,MATCH($A581,'03 Raw Data'!$S$3:$S$722,0)),""))</f>
        <v/>
      </c>
    </row>
    <row r="582">
      <c r="A582" s="23">
        <f>IFERROR(IF(OR('03 Raw Data'!A580="",'03 Raw Data'!A580=0),"",'03 Raw Data'!A580),"")</f>
        <v/>
      </c>
      <c r="B582" s="24">
        <f>IF($A582="","",IFERROR(INDEX('03 Raw Data'!$B$3:$B$722,MATCH($A582,'03 Raw Data'!$A$3:$A$722,0)),""))</f>
        <v/>
      </c>
      <c r="C582" s="24">
        <f>IF($A582="","",IFERROR(INDEX('03 Raw Data'!$E$3:$E$722,MATCH($A582,'03 Raw Data'!$D$3:$D$722,0)),""))</f>
        <v/>
      </c>
      <c r="D582" s="24">
        <f>IF($A582="","",IFERROR(INDEX('03 Raw Data'!$H$3:$H$722,MATCH($A582,'03 Raw Data'!$G$3:$G$722,0)),""))</f>
        <v/>
      </c>
      <c r="E582" s="24">
        <f>IF($A582="","",IFERROR(INDEX('03 Raw Data'!$K$3:$K$722,MATCH($A582,'03 Raw Data'!$J$3:$J$722,0)),""))</f>
        <v/>
      </c>
      <c r="F582" s="24">
        <f>IF($A582="","",IFERROR(INDEX('03 Raw Data'!$N$3:$N$722,MATCH($A582,'03 Raw Data'!$M$3:$M$722,0)),""))</f>
        <v/>
      </c>
      <c r="G582" s="24">
        <f>IF($A582="","",IFERROR(INDEX('03 Raw Data'!$Q$3:$Q$722,MATCH($A582,'03 Raw Data'!$P$3:$P$722,0)),""))</f>
        <v/>
      </c>
      <c r="H582" s="24">
        <f>IF($A582="","",IFERROR(INDEX('03 Raw Data'!$T$3:$T$722,MATCH($A582,'03 Raw Data'!$S$3:$S$722,0)),""))</f>
        <v/>
      </c>
    </row>
    <row r="583">
      <c r="A583" s="23">
        <f>IFERROR(IF(OR('03 Raw Data'!A581="",'03 Raw Data'!A581=0),"",'03 Raw Data'!A581),"")</f>
        <v/>
      </c>
      <c r="B583" s="24">
        <f>IF($A583="","",IFERROR(INDEX('03 Raw Data'!$B$3:$B$722,MATCH($A583,'03 Raw Data'!$A$3:$A$722,0)),""))</f>
        <v/>
      </c>
      <c r="C583" s="24">
        <f>IF($A583="","",IFERROR(INDEX('03 Raw Data'!$E$3:$E$722,MATCH($A583,'03 Raw Data'!$D$3:$D$722,0)),""))</f>
        <v/>
      </c>
      <c r="D583" s="24">
        <f>IF($A583="","",IFERROR(INDEX('03 Raw Data'!$H$3:$H$722,MATCH($A583,'03 Raw Data'!$G$3:$G$722,0)),""))</f>
        <v/>
      </c>
      <c r="E583" s="24">
        <f>IF($A583="","",IFERROR(INDEX('03 Raw Data'!$K$3:$K$722,MATCH($A583,'03 Raw Data'!$J$3:$J$722,0)),""))</f>
        <v/>
      </c>
      <c r="F583" s="24">
        <f>IF($A583="","",IFERROR(INDEX('03 Raw Data'!$N$3:$N$722,MATCH($A583,'03 Raw Data'!$M$3:$M$722,0)),""))</f>
        <v/>
      </c>
      <c r="G583" s="24">
        <f>IF($A583="","",IFERROR(INDEX('03 Raw Data'!$Q$3:$Q$722,MATCH($A583,'03 Raw Data'!$P$3:$P$722,0)),""))</f>
        <v/>
      </c>
      <c r="H583" s="24">
        <f>IF($A583="","",IFERROR(INDEX('03 Raw Data'!$T$3:$T$722,MATCH($A583,'03 Raw Data'!$S$3:$S$722,0)),""))</f>
        <v/>
      </c>
    </row>
    <row r="584">
      <c r="A584" s="23">
        <f>IFERROR(IF(OR('03 Raw Data'!A582="",'03 Raw Data'!A582=0),"",'03 Raw Data'!A582),"")</f>
        <v/>
      </c>
      <c r="B584" s="24">
        <f>IF($A584="","",IFERROR(INDEX('03 Raw Data'!$B$3:$B$722,MATCH($A584,'03 Raw Data'!$A$3:$A$722,0)),""))</f>
        <v/>
      </c>
      <c r="C584" s="24">
        <f>IF($A584="","",IFERROR(INDEX('03 Raw Data'!$E$3:$E$722,MATCH($A584,'03 Raw Data'!$D$3:$D$722,0)),""))</f>
        <v/>
      </c>
      <c r="D584" s="24">
        <f>IF($A584="","",IFERROR(INDEX('03 Raw Data'!$H$3:$H$722,MATCH($A584,'03 Raw Data'!$G$3:$G$722,0)),""))</f>
        <v/>
      </c>
      <c r="E584" s="24">
        <f>IF($A584="","",IFERROR(INDEX('03 Raw Data'!$K$3:$K$722,MATCH($A584,'03 Raw Data'!$J$3:$J$722,0)),""))</f>
        <v/>
      </c>
      <c r="F584" s="24">
        <f>IF($A584="","",IFERROR(INDEX('03 Raw Data'!$N$3:$N$722,MATCH($A584,'03 Raw Data'!$M$3:$M$722,0)),""))</f>
        <v/>
      </c>
      <c r="G584" s="24">
        <f>IF($A584="","",IFERROR(INDEX('03 Raw Data'!$Q$3:$Q$722,MATCH($A584,'03 Raw Data'!$P$3:$P$722,0)),""))</f>
        <v/>
      </c>
      <c r="H584" s="24">
        <f>IF($A584="","",IFERROR(INDEX('03 Raw Data'!$T$3:$T$722,MATCH($A584,'03 Raw Data'!$S$3:$S$722,0)),""))</f>
        <v/>
      </c>
    </row>
    <row r="585">
      <c r="A585" s="23">
        <f>IFERROR(IF(OR('03 Raw Data'!A583="",'03 Raw Data'!A583=0),"",'03 Raw Data'!A583),"")</f>
        <v/>
      </c>
      <c r="B585" s="24">
        <f>IF($A585="","",IFERROR(INDEX('03 Raw Data'!$B$3:$B$722,MATCH($A585,'03 Raw Data'!$A$3:$A$722,0)),""))</f>
        <v/>
      </c>
      <c r="C585" s="24">
        <f>IF($A585="","",IFERROR(INDEX('03 Raw Data'!$E$3:$E$722,MATCH($A585,'03 Raw Data'!$D$3:$D$722,0)),""))</f>
        <v/>
      </c>
      <c r="D585" s="24">
        <f>IF($A585="","",IFERROR(INDEX('03 Raw Data'!$H$3:$H$722,MATCH($A585,'03 Raw Data'!$G$3:$G$722,0)),""))</f>
        <v/>
      </c>
      <c r="E585" s="24">
        <f>IF($A585="","",IFERROR(INDEX('03 Raw Data'!$K$3:$K$722,MATCH($A585,'03 Raw Data'!$J$3:$J$722,0)),""))</f>
        <v/>
      </c>
      <c r="F585" s="24">
        <f>IF($A585="","",IFERROR(INDEX('03 Raw Data'!$N$3:$N$722,MATCH($A585,'03 Raw Data'!$M$3:$M$722,0)),""))</f>
        <v/>
      </c>
      <c r="G585" s="24">
        <f>IF($A585="","",IFERROR(INDEX('03 Raw Data'!$Q$3:$Q$722,MATCH($A585,'03 Raw Data'!$P$3:$P$722,0)),""))</f>
        <v/>
      </c>
      <c r="H585" s="24">
        <f>IF($A585="","",IFERROR(INDEX('03 Raw Data'!$T$3:$T$722,MATCH($A585,'03 Raw Data'!$S$3:$S$722,0)),""))</f>
        <v/>
      </c>
    </row>
    <row r="586">
      <c r="A586" s="23">
        <f>IFERROR(IF(OR('03 Raw Data'!A584="",'03 Raw Data'!A584=0),"",'03 Raw Data'!A584),"")</f>
        <v/>
      </c>
      <c r="B586" s="24">
        <f>IF($A586="","",IFERROR(INDEX('03 Raw Data'!$B$3:$B$722,MATCH($A586,'03 Raw Data'!$A$3:$A$722,0)),""))</f>
        <v/>
      </c>
      <c r="C586" s="24">
        <f>IF($A586="","",IFERROR(INDEX('03 Raw Data'!$E$3:$E$722,MATCH($A586,'03 Raw Data'!$D$3:$D$722,0)),""))</f>
        <v/>
      </c>
      <c r="D586" s="24">
        <f>IF($A586="","",IFERROR(INDEX('03 Raw Data'!$H$3:$H$722,MATCH($A586,'03 Raw Data'!$G$3:$G$722,0)),""))</f>
        <v/>
      </c>
      <c r="E586" s="24">
        <f>IF($A586="","",IFERROR(INDEX('03 Raw Data'!$K$3:$K$722,MATCH($A586,'03 Raw Data'!$J$3:$J$722,0)),""))</f>
        <v/>
      </c>
      <c r="F586" s="24">
        <f>IF($A586="","",IFERROR(INDEX('03 Raw Data'!$N$3:$N$722,MATCH($A586,'03 Raw Data'!$M$3:$M$722,0)),""))</f>
        <v/>
      </c>
      <c r="G586" s="24">
        <f>IF($A586="","",IFERROR(INDEX('03 Raw Data'!$Q$3:$Q$722,MATCH($A586,'03 Raw Data'!$P$3:$P$722,0)),""))</f>
        <v/>
      </c>
      <c r="H586" s="24">
        <f>IF($A586="","",IFERROR(INDEX('03 Raw Data'!$T$3:$T$722,MATCH($A586,'03 Raw Data'!$S$3:$S$722,0)),""))</f>
        <v/>
      </c>
    </row>
    <row r="587">
      <c r="A587" s="23">
        <f>IFERROR(IF(OR('03 Raw Data'!A585="",'03 Raw Data'!A585=0),"",'03 Raw Data'!A585),"")</f>
        <v/>
      </c>
      <c r="B587" s="24">
        <f>IF($A587="","",IFERROR(INDEX('03 Raw Data'!$B$3:$B$722,MATCH($A587,'03 Raw Data'!$A$3:$A$722,0)),""))</f>
        <v/>
      </c>
      <c r="C587" s="24">
        <f>IF($A587="","",IFERROR(INDEX('03 Raw Data'!$E$3:$E$722,MATCH($A587,'03 Raw Data'!$D$3:$D$722,0)),""))</f>
        <v/>
      </c>
      <c r="D587" s="24">
        <f>IF($A587="","",IFERROR(INDEX('03 Raw Data'!$H$3:$H$722,MATCH($A587,'03 Raw Data'!$G$3:$G$722,0)),""))</f>
        <v/>
      </c>
      <c r="E587" s="24">
        <f>IF($A587="","",IFERROR(INDEX('03 Raw Data'!$K$3:$K$722,MATCH($A587,'03 Raw Data'!$J$3:$J$722,0)),""))</f>
        <v/>
      </c>
      <c r="F587" s="24">
        <f>IF($A587="","",IFERROR(INDEX('03 Raw Data'!$N$3:$N$722,MATCH($A587,'03 Raw Data'!$M$3:$M$722,0)),""))</f>
        <v/>
      </c>
      <c r="G587" s="24">
        <f>IF($A587="","",IFERROR(INDEX('03 Raw Data'!$Q$3:$Q$722,MATCH($A587,'03 Raw Data'!$P$3:$P$722,0)),""))</f>
        <v/>
      </c>
      <c r="H587" s="24">
        <f>IF($A587="","",IFERROR(INDEX('03 Raw Data'!$T$3:$T$722,MATCH($A587,'03 Raw Data'!$S$3:$S$722,0)),""))</f>
        <v/>
      </c>
    </row>
    <row r="588">
      <c r="A588" s="23">
        <f>IFERROR(IF(OR('03 Raw Data'!A586="",'03 Raw Data'!A586=0),"",'03 Raw Data'!A586),"")</f>
        <v/>
      </c>
      <c r="B588" s="24">
        <f>IF($A588="","",IFERROR(INDEX('03 Raw Data'!$B$3:$B$722,MATCH($A588,'03 Raw Data'!$A$3:$A$722,0)),""))</f>
        <v/>
      </c>
      <c r="C588" s="24">
        <f>IF($A588="","",IFERROR(INDEX('03 Raw Data'!$E$3:$E$722,MATCH($A588,'03 Raw Data'!$D$3:$D$722,0)),""))</f>
        <v/>
      </c>
      <c r="D588" s="24">
        <f>IF($A588="","",IFERROR(INDEX('03 Raw Data'!$H$3:$H$722,MATCH($A588,'03 Raw Data'!$G$3:$G$722,0)),""))</f>
        <v/>
      </c>
      <c r="E588" s="24">
        <f>IF($A588="","",IFERROR(INDEX('03 Raw Data'!$K$3:$K$722,MATCH($A588,'03 Raw Data'!$J$3:$J$722,0)),""))</f>
        <v/>
      </c>
      <c r="F588" s="24">
        <f>IF($A588="","",IFERROR(INDEX('03 Raw Data'!$N$3:$N$722,MATCH($A588,'03 Raw Data'!$M$3:$M$722,0)),""))</f>
        <v/>
      </c>
      <c r="G588" s="24">
        <f>IF($A588="","",IFERROR(INDEX('03 Raw Data'!$Q$3:$Q$722,MATCH($A588,'03 Raw Data'!$P$3:$P$722,0)),""))</f>
        <v/>
      </c>
      <c r="H588" s="24">
        <f>IF($A588="","",IFERROR(INDEX('03 Raw Data'!$T$3:$T$722,MATCH($A588,'03 Raw Data'!$S$3:$S$722,0)),""))</f>
        <v/>
      </c>
    </row>
    <row r="589">
      <c r="A589" s="23">
        <f>IFERROR(IF(OR('03 Raw Data'!A587="",'03 Raw Data'!A587=0),"",'03 Raw Data'!A587),"")</f>
        <v/>
      </c>
      <c r="B589" s="24">
        <f>IF($A589="","",IFERROR(INDEX('03 Raw Data'!$B$3:$B$722,MATCH($A589,'03 Raw Data'!$A$3:$A$722,0)),""))</f>
        <v/>
      </c>
      <c r="C589" s="24">
        <f>IF($A589="","",IFERROR(INDEX('03 Raw Data'!$E$3:$E$722,MATCH($A589,'03 Raw Data'!$D$3:$D$722,0)),""))</f>
        <v/>
      </c>
      <c r="D589" s="24">
        <f>IF($A589="","",IFERROR(INDEX('03 Raw Data'!$H$3:$H$722,MATCH($A589,'03 Raw Data'!$G$3:$G$722,0)),""))</f>
        <v/>
      </c>
      <c r="E589" s="24">
        <f>IF($A589="","",IFERROR(INDEX('03 Raw Data'!$K$3:$K$722,MATCH($A589,'03 Raw Data'!$J$3:$J$722,0)),""))</f>
        <v/>
      </c>
      <c r="F589" s="24">
        <f>IF($A589="","",IFERROR(INDEX('03 Raw Data'!$N$3:$N$722,MATCH($A589,'03 Raw Data'!$M$3:$M$722,0)),""))</f>
        <v/>
      </c>
      <c r="G589" s="24">
        <f>IF($A589="","",IFERROR(INDEX('03 Raw Data'!$Q$3:$Q$722,MATCH($A589,'03 Raw Data'!$P$3:$P$722,0)),""))</f>
        <v/>
      </c>
      <c r="H589" s="24">
        <f>IF($A589="","",IFERROR(INDEX('03 Raw Data'!$T$3:$T$722,MATCH($A589,'03 Raw Data'!$S$3:$S$722,0)),""))</f>
        <v/>
      </c>
    </row>
    <row r="590">
      <c r="A590" s="23">
        <f>IFERROR(IF(OR('03 Raw Data'!A588="",'03 Raw Data'!A588=0),"",'03 Raw Data'!A588),"")</f>
        <v/>
      </c>
      <c r="B590" s="24">
        <f>IF($A590="","",IFERROR(INDEX('03 Raw Data'!$B$3:$B$722,MATCH($A590,'03 Raw Data'!$A$3:$A$722,0)),""))</f>
        <v/>
      </c>
      <c r="C590" s="24">
        <f>IF($A590="","",IFERROR(INDEX('03 Raw Data'!$E$3:$E$722,MATCH($A590,'03 Raw Data'!$D$3:$D$722,0)),""))</f>
        <v/>
      </c>
      <c r="D590" s="24">
        <f>IF($A590="","",IFERROR(INDEX('03 Raw Data'!$H$3:$H$722,MATCH($A590,'03 Raw Data'!$G$3:$G$722,0)),""))</f>
        <v/>
      </c>
      <c r="E590" s="24">
        <f>IF($A590="","",IFERROR(INDEX('03 Raw Data'!$K$3:$K$722,MATCH($A590,'03 Raw Data'!$J$3:$J$722,0)),""))</f>
        <v/>
      </c>
      <c r="F590" s="24">
        <f>IF($A590="","",IFERROR(INDEX('03 Raw Data'!$N$3:$N$722,MATCH($A590,'03 Raw Data'!$M$3:$M$722,0)),""))</f>
        <v/>
      </c>
      <c r="G590" s="24">
        <f>IF($A590="","",IFERROR(INDEX('03 Raw Data'!$Q$3:$Q$722,MATCH($A590,'03 Raw Data'!$P$3:$P$722,0)),""))</f>
        <v/>
      </c>
      <c r="H590" s="24">
        <f>IF($A590="","",IFERROR(INDEX('03 Raw Data'!$T$3:$T$722,MATCH($A590,'03 Raw Data'!$S$3:$S$722,0)),""))</f>
        <v/>
      </c>
    </row>
    <row r="591">
      <c r="A591" s="23">
        <f>IFERROR(IF(OR('03 Raw Data'!A589="",'03 Raw Data'!A589=0),"",'03 Raw Data'!A589),"")</f>
        <v/>
      </c>
      <c r="B591" s="24">
        <f>IF($A591="","",IFERROR(INDEX('03 Raw Data'!$B$3:$B$722,MATCH($A591,'03 Raw Data'!$A$3:$A$722,0)),""))</f>
        <v/>
      </c>
      <c r="C591" s="24">
        <f>IF($A591="","",IFERROR(INDEX('03 Raw Data'!$E$3:$E$722,MATCH($A591,'03 Raw Data'!$D$3:$D$722,0)),""))</f>
        <v/>
      </c>
      <c r="D591" s="24">
        <f>IF($A591="","",IFERROR(INDEX('03 Raw Data'!$H$3:$H$722,MATCH($A591,'03 Raw Data'!$G$3:$G$722,0)),""))</f>
        <v/>
      </c>
      <c r="E591" s="24">
        <f>IF($A591="","",IFERROR(INDEX('03 Raw Data'!$K$3:$K$722,MATCH($A591,'03 Raw Data'!$J$3:$J$722,0)),""))</f>
        <v/>
      </c>
      <c r="F591" s="24">
        <f>IF($A591="","",IFERROR(INDEX('03 Raw Data'!$N$3:$N$722,MATCH($A591,'03 Raw Data'!$M$3:$M$722,0)),""))</f>
        <v/>
      </c>
      <c r="G591" s="24">
        <f>IF($A591="","",IFERROR(INDEX('03 Raw Data'!$Q$3:$Q$722,MATCH($A591,'03 Raw Data'!$P$3:$P$722,0)),""))</f>
        <v/>
      </c>
      <c r="H591" s="24">
        <f>IF($A591="","",IFERROR(INDEX('03 Raw Data'!$T$3:$T$722,MATCH($A591,'03 Raw Data'!$S$3:$S$722,0)),""))</f>
        <v/>
      </c>
    </row>
    <row r="592">
      <c r="A592" s="23">
        <f>IFERROR(IF(OR('03 Raw Data'!A590="",'03 Raw Data'!A590=0),"",'03 Raw Data'!A590),"")</f>
        <v/>
      </c>
      <c r="B592" s="24">
        <f>IF($A592="","",IFERROR(INDEX('03 Raw Data'!$B$3:$B$722,MATCH($A592,'03 Raw Data'!$A$3:$A$722,0)),""))</f>
        <v/>
      </c>
      <c r="C592" s="24">
        <f>IF($A592="","",IFERROR(INDEX('03 Raw Data'!$E$3:$E$722,MATCH($A592,'03 Raw Data'!$D$3:$D$722,0)),""))</f>
        <v/>
      </c>
      <c r="D592" s="24">
        <f>IF($A592="","",IFERROR(INDEX('03 Raw Data'!$H$3:$H$722,MATCH($A592,'03 Raw Data'!$G$3:$G$722,0)),""))</f>
        <v/>
      </c>
      <c r="E592" s="24">
        <f>IF($A592="","",IFERROR(INDEX('03 Raw Data'!$K$3:$K$722,MATCH($A592,'03 Raw Data'!$J$3:$J$722,0)),""))</f>
        <v/>
      </c>
      <c r="F592" s="24">
        <f>IF($A592="","",IFERROR(INDEX('03 Raw Data'!$N$3:$N$722,MATCH($A592,'03 Raw Data'!$M$3:$M$722,0)),""))</f>
        <v/>
      </c>
      <c r="G592" s="24">
        <f>IF($A592="","",IFERROR(INDEX('03 Raw Data'!$Q$3:$Q$722,MATCH($A592,'03 Raw Data'!$P$3:$P$722,0)),""))</f>
        <v/>
      </c>
      <c r="H592" s="24">
        <f>IF($A592="","",IFERROR(INDEX('03 Raw Data'!$T$3:$T$722,MATCH($A592,'03 Raw Data'!$S$3:$S$722,0)),""))</f>
        <v/>
      </c>
    </row>
    <row r="593">
      <c r="A593" s="23">
        <f>IFERROR(IF(OR('03 Raw Data'!A591="",'03 Raw Data'!A591=0),"",'03 Raw Data'!A591),"")</f>
        <v/>
      </c>
      <c r="B593" s="24">
        <f>IF($A593="","",IFERROR(INDEX('03 Raw Data'!$B$3:$B$722,MATCH($A593,'03 Raw Data'!$A$3:$A$722,0)),""))</f>
        <v/>
      </c>
      <c r="C593" s="24">
        <f>IF($A593="","",IFERROR(INDEX('03 Raw Data'!$E$3:$E$722,MATCH($A593,'03 Raw Data'!$D$3:$D$722,0)),""))</f>
        <v/>
      </c>
      <c r="D593" s="24">
        <f>IF($A593="","",IFERROR(INDEX('03 Raw Data'!$H$3:$H$722,MATCH($A593,'03 Raw Data'!$G$3:$G$722,0)),""))</f>
        <v/>
      </c>
      <c r="E593" s="24">
        <f>IF($A593="","",IFERROR(INDEX('03 Raw Data'!$K$3:$K$722,MATCH($A593,'03 Raw Data'!$J$3:$J$722,0)),""))</f>
        <v/>
      </c>
      <c r="F593" s="24">
        <f>IF($A593="","",IFERROR(INDEX('03 Raw Data'!$N$3:$N$722,MATCH($A593,'03 Raw Data'!$M$3:$M$722,0)),""))</f>
        <v/>
      </c>
      <c r="G593" s="24">
        <f>IF($A593="","",IFERROR(INDEX('03 Raw Data'!$Q$3:$Q$722,MATCH($A593,'03 Raw Data'!$P$3:$P$722,0)),""))</f>
        <v/>
      </c>
      <c r="H593" s="24">
        <f>IF($A593="","",IFERROR(INDEX('03 Raw Data'!$T$3:$T$722,MATCH($A593,'03 Raw Data'!$S$3:$S$722,0)),""))</f>
        <v/>
      </c>
    </row>
    <row r="594">
      <c r="A594" s="23">
        <f>IFERROR(IF(OR('03 Raw Data'!A592="",'03 Raw Data'!A592=0),"",'03 Raw Data'!A592),"")</f>
        <v/>
      </c>
      <c r="B594" s="24">
        <f>IF($A594="","",IFERROR(INDEX('03 Raw Data'!$B$3:$B$722,MATCH($A594,'03 Raw Data'!$A$3:$A$722,0)),""))</f>
        <v/>
      </c>
      <c r="C594" s="24">
        <f>IF($A594="","",IFERROR(INDEX('03 Raw Data'!$E$3:$E$722,MATCH($A594,'03 Raw Data'!$D$3:$D$722,0)),""))</f>
        <v/>
      </c>
      <c r="D594" s="24">
        <f>IF($A594="","",IFERROR(INDEX('03 Raw Data'!$H$3:$H$722,MATCH($A594,'03 Raw Data'!$G$3:$G$722,0)),""))</f>
        <v/>
      </c>
      <c r="E594" s="24">
        <f>IF($A594="","",IFERROR(INDEX('03 Raw Data'!$K$3:$K$722,MATCH($A594,'03 Raw Data'!$J$3:$J$722,0)),""))</f>
        <v/>
      </c>
      <c r="F594" s="24">
        <f>IF($A594="","",IFERROR(INDEX('03 Raw Data'!$N$3:$N$722,MATCH($A594,'03 Raw Data'!$M$3:$M$722,0)),""))</f>
        <v/>
      </c>
      <c r="G594" s="24">
        <f>IF($A594="","",IFERROR(INDEX('03 Raw Data'!$Q$3:$Q$722,MATCH($A594,'03 Raw Data'!$P$3:$P$722,0)),""))</f>
        <v/>
      </c>
      <c r="H594" s="24">
        <f>IF($A594="","",IFERROR(INDEX('03 Raw Data'!$T$3:$T$722,MATCH($A594,'03 Raw Data'!$S$3:$S$722,0)),""))</f>
        <v/>
      </c>
    </row>
    <row r="595">
      <c r="A595" s="23">
        <f>IFERROR(IF(OR('03 Raw Data'!A593="",'03 Raw Data'!A593=0),"",'03 Raw Data'!A593),"")</f>
        <v/>
      </c>
      <c r="B595" s="24">
        <f>IF($A595="","",IFERROR(INDEX('03 Raw Data'!$B$3:$B$722,MATCH($A595,'03 Raw Data'!$A$3:$A$722,0)),""))</f>
        <v/>
      </c>
      <c r="C595" s="24">
        <f>IF($A595="","",IFERROR(INDEX('03 Raw Data'!$E$3:$E$722,MATCH($A595,'03 Raw Data'!$D$3:$D$722,0)),""))</f>
        <v/>
      </c>
      <c r="D595" s="24">
        <f>IF($A595="","",IFERROR(INDEX('03 Raw Data'!$H$3:$H$722,MATCH($A595,'03 Raw Data'!$G$3:$G$722,0)),""))</f>
        <v/>
      </c>
      <c r="E595" s="24">
        <f>IF($A595="","",IFERROR(INDEX('03 Raw Data'!$K$3:$K$722,MATCH($A595,'03 Raw Data'!$J$3:$J$722,0)),""))</f>
        <v/>
      </c>
      <c r="F595" s="24">
        <f>IF($A595="","",IFERROR(INDEX('03 Raw Data'!$N$3:$N$722,MATCH($A595,'03 Raw Data'!$M$3:$M$722,0)),""))</f>
        <v/>
      </c>
      <c r="G595" s="24">
        <f>IF($A595="","",IFERROR(INDEX('03 Raw Data'!$Q$3:$Q$722,MATCH($A595,'03 Raw Data'!$P$3:$P$722,0)),""))</f>
        <v/>
      </c>
      <c r="H595" s="24">
        <f>IF($A595="","",IFERROR(INDEX('03 Raw Data'!$T$3:$T$722,MATCH($A595,'03 Raw Data'!$S$3:$S$722,0)),""))</f>
        <v/>
      </c>
    </row>
    <row r="596">
      <c r="A596" s="23">
        <f>IFERROR(IF(OR('03 Raw Data'!A594="",'03 Raw Data'!A594=0),"",'03 Raw Data'!A594),"")</f>
        <v/>
      </c>
      <c r="B596" s="24">
        <f>IF($A596="","",IFERROR(INDEX('03 Raw Data'!$B$3:$B$722,MATCH($A596,'03 Raw Data'!$A$3:$A$722,0)),""))</f>
        <v/>
      </c>
      <c r="C596" s="24">
        <f>IF($A596="","",IFERROR(INDEX('03 Raw Data'!$E$3:$E$722,MATCH($A596,'03 Raw Data'!$D$3:$D$722,0)),""))</f>
        <v/>
      </c>
      <c r="D596" s="24">
        <f>IF($A596="","",IFERROR(INDEX('03 Raw Data'!$H$3:$H$722,MATCH($A596,'03 Raw Data'!$G$3:$G$722,0)),""))</f>
        <v/>
      </c>
      <c r="E596" s="24">
        <f>IF($A596="","",IFERROR(INDEX('03 Raw Data'!$K$3:$K$722,MATCH($A596,'03 Raw Data'!$J$3:$J$722,0)),""))</f>
        <v/>
      </c>
      <c r="F596" s="24">
        <f>IF($A596="","",IFERROR(INDEX('03 Raw Data'!$N$3:$N$722,MATCH($A596,'03 Raw Data'!$M$3:$M$722,0)),""))</f>
        <v/>
      </c>
      <c r="G596" s="24">
        <f>IF($A596="","",IFERROR(INDEX('03 Raw Data'!$Q$3:$Q$722,MATCH($A596,'03 Raw Data'!$P$3:$P$722,0)),""))</f>
        <v/>
      </c>
      <c r="H596" s="24">
        <f>IF($A596="","",IFERROR(INDEX('03 Raw Data'!$T$3:$T$722,MATCH($A596,'03 Raw Data'!$S$3:$S$722,0)),""))</f>
        <v/>
      </c>
    </row>
    <row r="597">
      <c r="A597" s="23">
        <f>IFERROR(IF(OR('03 Raw Data'!A595="",'03 Raw Data'!A595=0),"",'03 Raw Data'!A595),"")</f>
        <v/>
      </c>
      <c r="B597" s="24">
        <f>IF($A597="","",IFERROR(INDEX('03 Raw Data'!$B$3:$B$722,MATCH($A597,'03 Raw Data'!$A$3:$A$722,0)),""))</f>
        <v/>
      </c>
      <c r="C597" s="24">
        <f>IF($A597="","",IFERROR(INDEX('03 Raw Data'!$E$3:$E$722,MATCH($A597,'03 Raw Data'!$D$3:$D$722,0)),""))</f>
        <v/>
      </c>
      <c r="D597" s="24">
        <f>IF($A597="","",IFERROR(INDEX('03 Raw Data'!$H$3:$H$722,MATCH($A597,'03 Raw Data'!$G$3:$G$722,0)),""))</f>
        <v/>
      </c>
      <c r="E597" s="24">
        <f>IF($A597="","",IFERROR(INDEX('03 Raw Data'!$K$3:$K$722,MATCH($A597,'03 Raw Data'!$J$3:$J$722,0)),""))</f>
        <v/>
      </c>
      <c r="F597" s="24">
        <f>IF($A597="","",IFERROR(INDEX('03 Raw Data'!$N$3:$N$722,MATCH($A597,'03 Raw Data'!$M$3:$M$722,0)),""))</f>
        <v/>
      </c>
      <c r="G597" s="24">
        <f>IF($A597="","",IFERROR(INDEX('03 Raw Data'!$Q$3:$Q$722,MATCH($A597,'03 Raw Data'!$P$3:$P$722,0)),""))</f>
        <v/>
      </c>
      <c r="H597" s="24">
        <f>IF($A597="","",IFERROR(INDEX('03 Raw Data'!$T$3:$T$722,MATCH($A597,'03 Raw Data'!$S$3:$S$722,0)),""))</f>
        <v/>
      </c>
    </row>
    <row r="598">
      <c r="A598" s="23">
        <f>IFERROR(IF(OR('03 Raw Data'!A596="",'03 Raw Data'!A596=0),"",'03 Raw Data'!A596),"")</f>
        <v/>
      </c>
      <c r="B598" s="24">
        <f>IF($A598="","",IFERROR(INDEX('03 Raw Data'!$B$3:$B$722,MATCH($A598,'03 Raw Data'!$A$3:$A$722,0)),""))</f>
        <v/>
      </c>
      <c r="C598" s="24">
        <f>IF($A598="","",IFERROR(INDEX('03 Raw Data'!$E$3:$E$722,MATCH($A598,'03 Raw Data'!$D$3:$D$722,0)),""))</f>
        <v/>
      </c>
      <c r="D598" s="24">
        <f>IF($A598="","",IFERROR(INDEX('03 Raw Data'!$H$3:$H$722,MATCH($A598,'03 Raw Data'!$G$3:$G$722,0)),""))</f>
        <v/>
      </c>
      <c r="E598" s="24">
        <f>IF($A598="","",IFERROR(INDEX('03 Raw Data'!$K$3:$K$722,MATCH($A598,'03 Raw Data'!$J$3:$J$722,0)),""))</f>
        <v/>
      </c>
      <c r="F598" s="24">
        <f>IF($A598="","",IFERROR(INDEX('03 Raw Data'!$N$3:$N$722,MATCH($A598,'03 Raw Data'!$M$3:$M$722,0)),""))</f>
        <v/>
      </c>
      <c r="G598" s="24">
        <f>IF($A598="","",IFERROR(INDEX('03 Raw Data'!$Q$3:$Q$722,MATCH($A598,'03 Raw Data'!$P$3:$P$722,0)),""))</f>
        <v/>
      </c>
      <c r="H598" s="24">
        <f>IF($A598="","",IFERROR(INDEX('03 Raw Data'!$T$3:$T$722,MATCH($A598,'03 Raw Data'!$S$3:$S$722,0)),""))</f>
        <v/>
      </c>
    </row>
    <row r="599">
      <c r="A599" s="23">
        <f>IFERROR(IF(OR('03 Raw Data'!A597="",'03 Raw Data'!A597=0),"",'03 Raw Data'!A597),"")</f>
        <v/>
      </c>
      <c r="B599" s="24">
        <f>IF($A599="","",IFERROR(INDEX('03 Raw Data'!$B$3:$B$722,MATCH($A599,'03 Raw Data'!$A$3:$A$722,0)),""))</f>
        <v/>
      </c>
      <c r="C599" s="24">
        <f>IF($A599="","",IFERROR(INDEX('03 Raw Data'!$E$3:$E$722,MATCH($A599,'03 Raw Data'!$D$3:$D$722,0)),""))</f>
        <v/>
      </c>
      <c r="D599" s="24">
        <f>IF($A599="","",IFERROR(INDEX('03 Raw Data'!$H$3:$H$722,MATCH($A599,'03 Raw Data'!$G$3:$G$722,0)),""))</f>
        <v/>
      </c>
      <c r="E599" s="24">
        <f>IF($A599="","",IFERROR(INDEX('03 Raw Data'!$K$3:$K$722,MATCH($A599,'03 Raw Data'!$J$3:$J$722,0)),""))</f>
        <v/>
      </c>
      <c r="F599" s="24">
        <f>IF($A599="","",IFERROR(INDEX('03 Raw Data'!$N$3:$N$722,MATCH($A599,'03 Raw Data'!$M$3:$M$722,0)),""))</f>
        <v/>
      </c>
      <c r="G599" s="24">
        <f>IF($A599="","",IFERROR(INDEX('03 Raw Data'!$Q$3:$Q$722,MATCH($A599,'03 Raw Data'!$P$3:$P$722,0)),""))</f>
        <v/>
      </c>
      <c r="H599" s="24">
        <f>IF($A599="","",IFERROR(INDEX('03 Raw Data'!$T$3:$T$722,MATCH($A599,'03 Raw Data'!$S$3:$S$722,0)),""))</f>
        <v/>
      </c>
    </row>
    <row r="600">
      <c r="A600" s="23">
        <f>IFERROR(IF(OR('03 Raw Data'!A598="",'03 Raw Data'!A598=0),"",'03 Raw Data'!A598),"")</f>
        <v/>
      </c>
      <c r="B600" s="24">
        <f>IF($A600="","",IFERROR(INDEX('03 Raw Data'!$B$3:$B$722,MATCH($A600,'03 Raw Data'!$A$3:$A$722,0)),""))</f>
        <v/>
      </c>
      <c r="C600" s="24">
        <f>IF($A600="","",IFERROR(INDEX('03 Raw Data'!$E$3:$E$722,MATCH($A600,'03 Raw Data'!$D$3:$D$722,0)),""))</f>
        <v/>
      </c>
      <c r="D600" s="24">
        <f>IF($A600="","",IFERROR(INDEX('03 Raw Data'!$H$3:$H$722,MATCH($A600,'03 Raw Data'!$G$3:$G$722,0)),""))</f>
        <v/>
      </c>
      <c r="E600" s="24">
        <f>IF($A600="","",IFERROR(INDEX('03 Raw Data'!$K$3:$K$722,MATCH($A600,'03 Raw Data'!$J$3:$J$722,0)),""))</f>
        <v/>
      </c>
      <c r="F600" s="24">
        <f>IF($A600="","",IFERROR(INDEX('03 Raw Data'!$N$3:$N$722,MATCH($A600,'03 Raw Data'!$M$3:$M$722,0)),""))</f>
        <v/>
      </c>
      <c r="G600" s="24">
        <f>IF($A600="","",IFERROR(INDEX('03 Raw Data'!$Q$3:$Q$722,MATCH($A600,'03 Raw Data'!$P$3:$P$722,0)),""))</f>
        <v/>
      </c>
      <c r="H600" s="24">
        <f>IF($A600="","",IFERROR(INDEX('03 Raw Data'!$T$3:$T$722,MATCH($A600,'03 Raw Data'!$S$3:$S$722,0)),""))</f>
        <v/>
      </c>
    </row>
    <row r="601">
      <c r="A601" s="23">
        <f>IFERROR(IF(OR('03 Raw Data'!A599="",'03 Raw Data'!A599=0),"",'03 Raw Data'!A599),"")</f>
        <v/>
      </c>
      <c r="B601" s="24">
        <f>IF($A601="","",IFERROR(INDEX('03 Raw Data'!$B$3:$B$722,MATCH($A601,'03 Raw Data'!$A$3:$A$722,0)),""))</f>
        <v/>
      </c>
      <c r="C601" s="24">
        <f>IF($A601="","",IFERROR(INDEX('03 Raw Data'!$E$3:$E$722,MATCH($A601,'03 Raw Data'!$D$3:$D$722,0)),""))</f>
        <v/>
      </c>
      <c r="D601" s="24">
        <f>IF($A601="","",IFERROR(INDEX('03 Raw Data'!$H$3:$H$722,MATCH($A601,'03 Raw Data'!$G$3:$G$722,0)),""))</f>
        <v/>
      </c>
      <c r="E601" s="24">
        <f>IF($A601="","",IFERROR(INDEX('03 Raw Data'!$K$3:$K$722,MATCH($A601,'03 Raw Data'!$J$3:$J$722,0)),""))</f>
        <v/>
      </c>
      <c r="F601" s="24">
        <f>IF($A601="","",IFERROR(INDEX('03 Raw Data'!$N$3:$N$722,MATCH($A601,'03 Raw Data'!$M$3:$M$722,0)),""))</f>
        <v/>
      </c>
      <c r="G601" s="24">
        <f>IF($A601="","",IFERROR(INDEX('03 Raw Data'!$Q$3:$Q$722,MATCH($A601,'03 Raw Data'!$P$3:$P$722,0)),""))</f>
        <v/>
      </c>
      <c r="H601" s="24">
        <f>IF($A601="","",IFERROR(INDEX('03 Raw Data'!$T$3:$T$722,MATCH($A601,'03 Raw Data'!$S$3:$S$722,0)),""))</f>
        <v/>
      </c>
    </row>
    <row r="602">
      <c r="A602" s="23">
        <f>IFERROR(IF(OR('03 Raw Data'!A600="",'03 Raw Data'!A600=0),"",'03 Raw Data'!A600),"")</f>
        <v/>
      </c>
      <c r="B602" s="24">
        <f>IF($A602="","",IFERROR(INDEX('03 Raw Data'!$B$3:$B$722,MATCH($A602,'03 Raw Data'!$A$3:$A$722,0)),""))</f>
        <v/>
      </c>
      <c r="C602" s="24">
        <f>IF($A602="","",IFERROR(INDEX('03 Raw Data'!$E$3:$E$722,MATCH($A602,'03 Raw Data'!$D$3:$D$722,0)),""))</f>
        <v/>
      </c>
      <c r="D602" s="24">
        <f>IF($A602="","",IFERROR(INDEX('03 Raw Data'!$H$3:$H$722,MATCH($A602,'03 Raw Data'!$G$3:$G$722,0)),""))</f>
        <v/>
      </c>
      <c r="E602" s="24">
        <f>IF($A602="","",IFERROR(INDEX('03 Raw Data'!$K$3:$K$722,MATCH($A602,'03 Raw Data'!$J$3:$J$722,0)),""))</f>
        <v/>
      </c>
      <c r="F602" s="24">
        <f>IF($A602="","",IFERROR(INDEX('03 Raw Data'!$N$3:$N$722,MATCH($A602,'03 Raw Data'!$M$3:$M$722,0)),""))</f>
        <v/>
      </c>
      <c r="G602" s="24">
        <f>IF($A602="","",IFERROR(INDEX('03 Raw Data'!$Q$3:$Q$722,MATCH($A602,'03 Raw Data'!$P$3:$P$722,0)),""))</f>
        <v/>
      </c>
      <c r="H602" s="24">
        <f>IF($A602="","",IFERROR(INDEX('03 Raw Data'!$T$3:$T$722,MATCH($A602,'03 Raw Data'!$S$3:$S$722,0)),""))</f>
        <v/>
      </c>
    </row>
    <row r="603">
      <c r="A603" s="23">
        <f>IFERROR(IF(OR('03 Raw Data'!A601="",'03 Raw Data'!A601=0),"",'03 Raw Data'!A601),"")</f>
        <v/>
      </c>
      <c r="B603" s="24">
        <f>IF($A603="","",IFERROR(INDEX('03 Raw Data'!$B$3:$B$722,MATCH($A603,'03 Raw Data'!$A$3:$A$722,0)),""))</f>
        <v/>
      </c>
      <c r="C603" s="24">
        <f>IF($A603="","",IFERROR(INDEX('03 Raw Data'!$E$3:$E$722,MATCH($A603,'03 Raw Data'!$D$3:$D$722,0)),""))</f>
        <v/>
      </c>
      <c r="D603" s="24">
        <f>IF($A603="","",IFERROR(INDEX('03 Raw Data'!$H$3:$H$722,MATCH($A603,'03 Raw Data'!$G$3:$G$722,0)),""))</f>
        <v/>
      </c>
      <c r="E603" s="24">
        <f>IF($A603="","",IFERROR(INDEX('03 Raw Data'!$K$3:$K$722,MATCH($A603,'03 Raw Data'!$J$3:$J$722,0)),""))</f>
        <v/>
      </c>
      <c r="F603" s="24">
        <f>IF($A603="","",IFERROR(INDEX('03 Raw Data'!$N$3:$N$722,MATCH($A603,'03 Raw Data'!$M$3:$M$722,0)),""))</f>
        <v/>
      </c>
      <c r="G603" s="24">
        <f>IF($A603="","",IFERROR(INDEX('03 Raw Data'!$Q$3:$Q$722,MATCH($A603,'03 Raw Data'!$P$3:$P$722,0)),""))</f>
        <v/>
      </c>
      <c r="H603" s="24">
        <f>IF($A603="","",IFERROR(INDEX('03 Raw Data'!$T$3:$T$722,MATCH($A603,'03 Raw Data'!$S$3:$S$722,0)),""))</f>
        <v/>
      </c>
    </row>
    <row r="604">
      <c r="A604" s="23">
        <f>IFERROR(IF(OR('03 Raw Data'!A602="",'03 Raw Data'!A602=0),"",'03 Raw Data'!A602),"")</f>
        <v/>
      </c>
      <c r="B604" s="24">
        <f>IF($A604="","",IFERROR(INDEX('03 Raw Data'!$B$3:$B$722,MATCH($A604,'03 Raw Data'!$A$3:$A$722,0)),""))</f>
        <v/>
      </c>
      <c r="C604" s="24">
        <f>IF($A604="","",IFERROR(INDEX('03 Raw Data'!$E$3:$E$722,MATCH($A604,'03 Raw Data'!$D$3:$D$722,0)),""))</f>
        <v/>
      </c>
      <c r="D604" s="24">
        <f>IF($A604="","",IFERROR(INDEX('03 Raw Data'!$H$3:$H$722,MATCH($A604,'03 Raw Data'!$G$3:$G$722,0)),""))</f>
        <v/>
      </c>
      <c r="E604" s="24">
        <f>IF($A604="","",IFERROR(INDEX('03 Raw Data'!$K$3:$K$722,MATCH($A604,'03 Raw Data'!$J$3:$J$722,0)),""))</f>
        <v/>
      </c>
      <c r="F604" s="24">
        <f>IF($A604="","",IFERROR(INDEX('03 Raw Data'!$N$3:$N$722,MATCH($A604,'03 Raw Data'!$M$3:$M$722,0)),""))</f>
        <v/>
      </c>
      <c r="G604" s="24">
        <f>IF($A604="","",IFERROR(INDEX('03 Raw Data'!$Q$3:$Q$722,MATCH($A604,'03 Raw Data'!$P$3:$P$722,0)),""))</f>
        <v/>
      </c>
      <c r="H604" s="24">
        <f>IF($A604="","",IFERROR(INDEX('03 Raw Data'!$T$3:$T$722,MATCH($A604,'03 Raw Data'!$S$3:$S$722,0)),""))</f>
        <v/>
      </c>
    </row>
    <row r="605">
      <c r="A605" s="23">
        <f>IFERROR(IF(OR('03 Raw Data'!A603="",'03 Raw Data'!A603=0),"",'03 Raw Data'!A603),"")</f>
        <v/>
      </c>
      <c r="B605" s="24">
        <f>IF($A605="","",IFERROR(INDEX('03 Raw Data'!$B$3:$B$722,MATCH($A605,'03 Raw Data'!$A$3:$A$722,0)),""))</f>
        <v/>
      </c>
      <c r="C605" s="24">
        <f>IF($A605="","",IFERROR(INDEX('03 Raw Data'!$E$3:$E$722,MATCH($A605,'03 Raw Data'!$D$3:$D$722,0)),""))</f>
        <v/>
      </c>
      <c r="D605" s="24">
        <f>IF($A605="","",IFERROR(INDEX('03 Raw Data'!$H$3:$H$722,MATCH($A605,'03 Raw Data'!$G$3:$G$722,0)),""))</f>
        <v/>
      </c>
      <c r="E605" s="24">
        <f>IF($A605="","",IFERROR(INDEX('03 Raw Data'!$K$3:$K$722,MATCH($A605,'03 Raw Data'!$J$3:$J$722,0)),""))</f>
        <v/>
      </c>
      <c r="F605" s="24">
        <f>IF($A605="","",IFERROR(INDEX('03 Raw Data'!$N$3:$N$722,MATCH($A605,'03 Raw Data'!$M$3:$M$722,0)),""))</f>
        <v/>
      </c>
      <c r="G605" s="24">
        <f>IF($A605="","",IFERROR(INDEX('03 Raw Data'!$Q$3:$Q$722,MATCH($A605,'03 Raw Data'!$P$3:$P$722,0)),""))</f>
        <v/>
      </c>
      <c r="H605" s="24">
        <f>IF($A605="","",IFERROR(INDEX('03 Raw Data'!$T$3:$T$722,MATCH($A605,'03 Raw Data'!$S$3:$S$722,0)),""))</f>
        <v/>
      </c>
    </row>
    <row r="606">
      <c r="A606" s="23">
        <f>IFERROR(IF(OR('03 Raw Data'!A604="",'03 Raw Data'!A604=0),"",'03 Raw Data'!A604),"")</f>
        <v/>
      </c>
      <c r="B606" s="24">
        <f>IF($A606="","",IFERROR(INDEX('03 Raw Data'!$B$3:$B$722,MATCH($A606,'03 Raw Data'!$A$3:$A$722,0)),""))</f>
        <v/>
      </c>
      <c r="C606" s="24">
        <f>IF($A606="","",IFERROR(INDEX('03 Raw Data'!$E$3:$E$722,MATCH($A606,'03 Raw Data'!$D$3:$D$722,0)),""))</f>
        <v/>
      </c>
      <c r="D606" s="24">
        <f>IF($A606="","",IFERROR(INDEX('03 Raw Data'!$H$3:$H$722,MATCH($A606,'03 Raw Data'!$G$3:$G$722,0)),""))</f>
        <v/>
      </c>
      <c r="E606" s="24">
        <f>IF($A606="","",IFERROR(INDEX('03 Raw Data'!$K$3:$K$722,MATCH($A606,'03 Raw Data'!$J$3:$J$722,0)),""))</f>
        <v/>
      </c>
      <c r="F606" s="24">
        <f>IF($A606="","",IFERROR(INDEX('03 Raw Data'!$N$3:$N$722,MATCH($A606,'03 Raw Data'!$M$3:$M$722,0)),""))</f>
        <v/>
      </c>
      <c r="G606" s="24">
        <f>IF($A606="","",IFERROR(INDEX('03 Raw Data'!$Q$3:$Q$722,MATCH($A606,'03 Raw Data'!$P$3:$P$722,0)),""))</f>
        <v/>
      </c>
      <c r="H606" s="24">
        <f>IF($A606="","",IFERROR(INDEX('03 Raw Data'!$T$3:$T$722,MATCH($A606,'03 Raw Data'!$S$3:$S$722,0)),""))</f>
        <v/>
      </c>
    </row>
    <row r="607">
      <c r="A607" s="23">
        <f>IFERROR(IF(OR('03 Raw Data'!A605="",'03 Raw Data'!A605=0),"",'03 Raw Data'!A605),"")</f>
        <v/>
      </c>
      <c r="B607" s="24">
        <f>IF($A607="","",IFERROR(INDEX('03 Raw Data'!$B$3:$B$722,MATCH($A607,'03 Raw Data'!$A$3:$A$722,0)),""))</f>
        <v/>
      </c>
      <c r="C607" s="24">
        <f>IF($A607="","",IFERROR(INDEX('03 Raw Data'!$E$3:$E$722,MATCH($A607,'03 Raw Data'!$D$3:$D$722,0)),""))</f>
        <v/>
      </c>
      <c r="D607" s="24">
        <f>IF($A607="","",IFERROR(INDEX('03 Raw Data'!$H$3:$H$722,MATCH($A607,'03 Raw Data'!$G$3:$G$722,0)),""))</f>
        <v/>
      </c>
      <c r="E607" s="24">
        <f>IF($A607="","",IFERROR(INDEX('03 Raw Data'!$K$3:$K$722,MATCH($A607,'03 Raw Data'!$J$3:$J$722,0)),""))</f>
        <v/>
      </c>
      <c r="F607" s="24">
        <f>IF($A607="","",IFERROR(INDEX('03 Raw Data'!$N$3:$N$722,MATCH($A607,'03 Raw Data'!$M$3:$M$722,0)),""))</f>
        <v/>
      </c>
      <c r="G607" s="24">
        <f>IF($A607="","",IFERROR(INDEX('03 Raw Data'!$Q$3:$Q$722,MATCH($A607,'03 Raw Data'!$P$3:$P$722,0)),""))</f>
        <v/>
      </c>
      <c r="H607" s="24">
        <f>IF($A607="","",IFERROR(INDEX('03 Raw Data'!$T$3:$T$722,MATCH($A607,'03 Raw Data'!$S$3:$S$722,0)),""))</f>
        <v/>
      </c>
    </row>
    <row r="608">
      <c r="A608" s="23">
        <f>IFERROR(IF(OR('03 Raw Data'!A606="",'03 Raw Data'!A606=0),"",'03 Raw Data'!A606),"")</f>
        <v/>
      </c>
      <c r="B608" s="24">
        <f>IF($A608="","",IFERROR(INDEX('03 Raw Data'!$B$3:$B$722,MATCH($A608,'03 Raw Data'!$A$3:$A$722,0)),""))</f>
        <v/>
      </c>
      <c r="C608" s="24">
        <f>IF($A608="","",IFERROR(INDEX('03 Raw Data'!$E$3:$E$722,MATCH($A608,'03 Raw Data'!$D$3:$D$722,0)),""))</f>
        <v/>
      </c>
      <c r="D608" s="24">
        <f>IF($A608="","",IFERROR(INDEX('03 Raw Data'!$H$3:$H$722,MATCH($A608,'03 Raw Data'!$G$3:$G$722,0)),""))</f>
        <v/>
      </c>
      <c r="E608" s="24">
        <f>IF($A608="","",IFERROR(INDEX('03 Raw Data'!$K$3:$K$722,MATCH($A608,'03 Raw Data'!$J$3:$J$722,0)),""))</f>
        <v/>
      </c>
      <c r="F608" s="24">
        <f>IF($A608="","",IFERROR(INDEX('03 Raw Data'!$N$3:$N$722,MATCH($A608,'03 Raw Data'!$M$3:$M$722,0)),""))</f>
        <v/>
      </c>
      <c r="G608" s="24">
        <f>IF($A608="","",IFERROR(INDEX('03 Raw Data'!$Q$3:$Q$722,MATCH($A608,'03 Raw Data'!$P$3:$P$722,0)),""))</f>
        <v/>
      </c>
      <c r="H608" s="24">
        <f>IF($A608="","",IFERROR(INDEX('03 Raw Data'!$T$3:$T$722,MATCH($A608,'03 Raw Data'!$S$3:$S$722,0)),""))</f>
        <v/>
      </c>
    </row>
    <row r="609">
      <c r="A609" s="23">
        <f>IFERROR(IF(OR('03 Raw Data'!A607="",'03 Raw Data'!A607=0),"",'03 Raw Data'!A607),"")</f>
        <v/>
      </c>
      <c r="B609" s="24">
        <f>IF($A609="","",IFERROR(INDEX('03 Raw Data'!$B$3:$B$722,MATCH($A609,'03 Raw Data'!$A$3:$A$722,0)),""))</f>
        <v/>
      </c>
      <c r="C609" s="24">
        <f>IF($A609="","",IFERROR(INDEX('03 Raw Data'!$E$3:$E$722,MATCH($A609,'03 Raw Data'!$D$3:$D$722,0)),""))</f>
        <v/>
      </c>
      <c r="D609" s="24">
        <f>IF($A609="","",IFERROR(INDEX('03 Raw Data'!$H$3:$H$722,MATCH($A609,'03 Raw Data'!$G$3:$G$722,0)),""))</f>
        <v/>
      </c>
      <c r="E609" s="24">
        <f>IF($A609="","",IFERROR(INDEX('03 Raw Data'!$K$3:$K$722,MATCH($A609,'03 Raw Data'!$J$3:$J$722,0)),""))</f>
        <v/>
      </c>
      <c r="F609" s="24">
        <f>IF($A609="","",IFERROR(INDEX('03 Raw Data'!$N$3:$N$722,MATCH($A609,'03 Raw Data'!$M$3:$M$722,0)),""))</f>
        <v/>
      </c>
      <c r="G609" s="24">
        <f>IF($A609="","",IFERROR(INDEX('03 Raw Data'!$Q$3:$Q$722,MATCH($A609,'03 Raw Data'!$P$3:$P$722,0)),""))</f>
        <v/>
      </c>
      <c r="H609" s="24">
        <f>IF($A609="","",IFERROR(INDEX('03 Raw Data'!$T$3:$T$722,MATCH($A609,'03 Raw Data'!$S$3:$S$722,0)),""))</f>
        <v/>
      </c>
    </row>
    <row r="610">
      <c r="A610" s="23">
        <f>IFERROR(IF(OR('03 Raw Data'!A608="",'03 Raw Data'!A608=0),"",'03 Raw Data'!A608),"")</f>
        <v/>
      </c>
      <c r="B610" s="24">
        <f>IF($A610="","",IFERROR(INDEX('03 Raw Data'!$B$3:$B$722,MATCH($A610,'03 Raw Data'!$A$3:$A$722,0)),""))</f>
        <v/>
      </c>
      <c r="C610" s="24">
        <f>IF($A610="","",IFERROR(INDEX('03 Raw Data'!$E$3:$E$722,MATCH($A610,'03 Raw Data'!$D$3:$D$722,0)),""))</f>
        <v/>
      </c>
      <c r="D610" s="24">
        <f>IF($A610="","",IFERROR(INDEX('03 Raw Data'!$H$3:$H$722,MATCH($A610,'03 Raw Data'!$G$3:$G$722,0)),""))</f>
        <v/>
      </c>
      <c r="E610" s="24">
        <f>IF($A610="","",IFERROR(INDEX('03 Raw Data'!$K$3:$K$722,MATCH($A610,'03 Raw Data'!$J$3:$J$722,0)),""))</f>
        <v/>
      </c>
      <c r="F610" s="24">
        <f>IF($A610="","",IFERROR(INDEX('03 Raw Data'!$N$3:$N$722,MATCH($A610,'03 Raw Data'!$M$3:$M$722,0)),""))</f>
        <v/>
      </c>
      <c r="G610" s="24">
        <f>IF($A610="","",IFERROR(INDEX('03 Raw Data'!$Q$3:$Q$722,MATCH($A610,'03 Raw Data'!$P$3:$P$722,0)),""))</f>
        <v/>
      </c>
      <c r="H610" s="24">
        <f>IF($A610="","",IFERROR(INDEX('03 Raw Data'!$T$3:$T$722,MATCH($A610,'03 Raw Data'!$S$3:$S$722,0)),""))</f>
        <v/>
      </c>
    </row>
    <row r="611">
      <c r="A611" s="23">
        <f>IFERROR(IF(OR('03 Raw Data'!A609="",'03 Raw Data'!A609=0),"",'03 Raw Data'!A609),"")</f>
        <v/>
      </c>
      <c r="B611" s="24">
        <f>IF($A611="","",IFERROR(INDEX('03 Raw Data'!$B$3:$B$722,MATCH($A611,'03 Raw Data'!$A$3:$A$722,0)),""))</f>
        <v/>
      </c>
      <c r="C611" s="24">
        <f>IF($A611="","",IFERROR(INDEX('03 Raw Data'!$E$3:$E$722,MATCH($A611,'03 Raw Data'!$D$3:$D$722,0)),""))</f>
        <v/>
      </c>
      <c r="D611" s="24">
        <f>IF($A611="","",IFERROR(INDEX('03 Raw Data'!$H$3:$H$722,MATCH($A611,'03 Raw Data'!$G$3:$G$722,0)),""))</f>
        <v/>
      </c>
      <c r="E611" s="24">
        <f>IF($A611="","",IFERROR(INDEX('03 Raw Data'!$K$3:$K$722,MATCH($A611,'03 Raw Data'!$J$3:$J$722,0)),""))</f>
        <v/>
      </c>
      <c r="F611" s="24">
        <f>IF($A611="","",IFERROR(INDEX('03 Raw Data'!$N$3:$N$722,MATCH($A611,'03 Raw Data'!$M$3:$M$722,0)),""))</f>
        <v/>
      </c>
      <c r="G611" s="24">
        <f>IF($A611="","",IFERROR(INDEX('03 Raw Data'!$Q$3:$Q$722,MATCH($A611,'03 Raw Data'!$P$3:$P$722,0)),""))</f>
        <v/>
      </c>
      <c r="H611" s="24">
        <f>IF($A611="","",IFERROR(INDEX('03 Raw Data'!$T$3:$T$722,MATCH($A611,'03 Raw Data'!$S$3:$S$722,0)),""))</f>
        <v/>
      </c>
    </row>
    <row r="612">
      <c r="A612" s="23">
        <f>IFERROR(IF(OR('03 Raw Data'!A610="",'03 Raw Data'!A610=0),"",'03 Raw Data'!A610),"")</f>
        <v/>
      </c>
      <c r="B612" s="24">
        <f>IF($A612="","",IFERROR(INDEX('03 Raw Data'!$B$3:$B$722,MATCH($A612,'03 Raw Data'!$A$3:$A$722,0)),""))</f>
        <v/>
      </c>
      <c r="C612" s="24">
        <f>IF($A612="","",IFERROR(INDEX('03 Raw Data'!$E$3:$E$722,MATCH($A612,'03 Raw Data'!$D$3:$D$722,0)),""))</f>
        <v/>
      </c>
      <c r="D612" s="24">
        <f>IF($A612="","",IFERROR(INDEX('03 Raw Data'!$H$3:$H$722,MATCH($A612,'03 Raw Data'!$G$3:$G$722,0)),""))</f>
        <v/>
      </c>
      <c r="E612" s="24">
        <f>IF($A612="","",IFERROR(INDEX('03 Raw Data'!$K$3:$K$722,MATCH($A612,'03 Raw Data'!$J$3:$J$722,0)),""))</f>
        <v/>
      </c>
      <c r="F612" s="24">
        <f>IF($A612="","",IFERROR(INDEX('03 Raw Data'!$N$3:$N$722,MATCH($A612,'03 Raw Data'!$M$3:$M$722,0)),""))</f>
        <v/>
      </c>
      <c r="G612" s="24">
        <f>IF($A612="","",IFERROR(INDEX('03 Raw Data'!$Q$3:$Q$722,MATCH($A612,'03 Raw Data'!$P$3:$P$722,0)),""))</f>
        <v/>
      </c>
      <c r="H612" s="24">
        <f>IF($A612="","",IFERROR(INDEX('03 Raw Data'!$T$3:$T$722,MATCH($A612,'03 Raw Data'!$S$3:$S$722,0)),""))</f>
        <v/>
      </c>
    </row>
    <row r="613">
      <c r="A613" s="23">
        <f>IFERROR(IF(OR('03 Raw Data'!A611="",'03 Raw Data'!A611=0),"",'03 Raw Data'!A611),"")</f>
        <v/>
      </c>
      <c r="B613" s="24">
        <f>IF($A613="","",IFERROR(INDEX('03 Raw Data'!$B$3:$B$722,MATCH($A613,'03 Raw Data'!$A$3:$A$722,0)),""))</f>
        <v/>
      </c>
      <c r="C613" s="24">
        <f>IF($A613="","",IFERROR(INDEX('03 Raw Data'!$E$3:$E$722,MATCH($A613,'03 Raw Data'!$D$3:$D$722,0)),""))</f>
        <v/>
      </c>
      <c r="D613" s="24">
        <f>IF($A613="","",IFERROR(INDEX('03 Raw Data'!$H$3:$H$722,MATCH($A613,'03 Raw Data'!$G$3:$G$722,0)),""))</f>
        <v/>
      </c>
      <c r="E613" s="24">
        <f>IF($A613="","",IFERROR(INDEX('03 Raw Data'!$K$3:$K$722,MATCH($A613,'03 Raw Data'!$J$3:$J$722,0)),""))</f>
        <v/>
      </c>
      <c r="F613" s="24">
        <f>IF($A613="","",IFERROR(INDEX('03 Raw Data'!$N$3:$N$722,MATCH($A613,'03 Raw Data'!$M$3:$M$722,0)),""))</f>
        <v/>
      </c>
      <c r="G613" s="24">
        <f>IF($A613="","",IFERROR(INDEX('03 Raw Data'!$Q$3:$Q$722,MATCH($A613,'03 Raw Data'!$P$3:$P$722,0)),""))</f>
        <v/>
      </c>
      <c r="H613" s="24">
        <f>IF($A613="","",IFERROR(INDEX('03 Raw Data'!$T$3:$T$722,MATCH($A613,'03 Raw Data'!$S$3:$S$722,0)),""))</f>
        <v/>
      </c>
    </row>
    <row r="614">
      <c r="A614" s="23">
        <f>IFERROR(IF(OR('03 Raw Data'!A612="",'03 Raw Data'!A612=0),"",'03 Raw Data'!A612),"")</f>
        <v/>
      </c>
      <c r="B614" s="24">
        <f>IF($A614="","",IFERROR(INDEX('03 Raw Data'!$B$3:$B$722,MATCH($A614,'03 Raw Data'!$A$3:$A$722,0)),""))</f>
        <v/>
      </c>
      <c r="C614" s="24">
        <f>IF($A614="","",IFERROR(INDEX('03 Raw Data'!$E$3:$E$722,MATCH($A614,'03 Raw Data'!$D$3:$D$722,0)),""))</f>
        <v/>
      </c>
      <c r="D614" s="24">
        <f>IF($A614="","",IFERROR(INDEX('03 Raw Data'!$H$3:$H$722,MATCH($A614,'03 Raw Data'!$G$3:$G$722,0)),""))</f>
        <v/>
      </c>
      <c r="E614" s="24">
        <f>IF($A614="","",IFERROR(INDEX('03 Raw Data'!$K$3:$K$722,MATCH($A614,'03 Raw Data'!$J$3:$J$722,0)),""))</f>
        <v/>
      </c>
      <c r="F614" s="24">
        <f>IF($A614="","",IFERROR(INDEX('03 Raw Data'!$N$3:$N$722,MATCH($A614,'03 Raw Data'!$M$3:$M$722,0)),""))</f>
        <v/>
      </c>
      <c r="G614" s="24">
        <f>IF($A614="","",IFERROR(INDEX('03 Raw Data'!$Q$3:$Q$722,MATCH($A614,'03 Raw Data'!$P$3:$P$722,0)),""))</f>
        <v/>
      </c>
      <c r="H614" s="24">
        <f>IF($A614="","",IFERROR(INDEX('03 Raw Data'!$T$3:$T$722,MATCH($A614,'03 Raw Data'!$S$3:$S$722,0)),""))</f>
        <v/>
      </c>
    </row>
    <row r="615">
      <c r="A615" s="23">
        <f>IFERROR(IF(OR('03 Raw Data'!A613="",'03 Raw Data'!A613=0),"",'03 Raw Data'!A613),"")</f>
        <v/>
      </c>
      <c r="B615" s="24">
        <f>IF($A615="","",IFERROR(INDEX('03 Raw Data'!$B$3:$B$722,MATCH($A615,'03 Raw Data'!$A$3:$A$722,0)),""))</f>
        <v/>
      </c>
      <c r="C615" s="24">
        <f>IF($A615="","",IFERROR(INDEX('03 Raw Data'!$E$3:$E$722,MATCH($A615,'03 Raw Data'!$D$3:$D$722,0)),""))</f>
        <v/>
      </c>
      <c r="D615" s="24">
        <f>IF($A615="","",IFERROR(INDEX('03 Raw Data'!$H$3:$H$722,MATCH($A615,'03 Raw Data'!$G$3:$G$722,0)),""))</f>
        <v/>
      </c>
      <c r="E615" s="24">
        <f>IF($A615="","",IFERROR(INDEX('03 Raw Data'!$K$3:$K$722,MATCH($A615,'03 Raw Data'!$J$3:$J$722,0)),""))</f>
        <v/>
      </c>
      <c r="F615" s="24">
        <f>IF($A615="","",IFERROR(INDEX('03 Raw Data'!$N$3:$N$722,MATCH($A615,'03 Raw Data'!$M$3:$M$722,0)),""))</f>
        <v/>
      </c>
      <c r="G615" s="24">
        <f>IF($A615="","",IFERROR(INDEX('03 Raw Data'!$Q$3:$Q$722,MATCH($A615,'03 Raw Data'!$P$3:$P$722,0)),""))</f>
        <v/>
      </c>
      <c r="H615" s="24">
        <f>IF($A615="","",IFERROR(INDEX('03 Raw Data'!$T$3:$T$722,MATCH($A615,'03 Raw Data'!$S$3:$S$722,0)),""))</f>
        <v/>
      </c>
    </row>
    <row r="616">
      <c r="A616" s="23">
        <f>IFERROR(IF(OR('03 Raw Data'!A614="",'03 Raw Data'!A614=0),"",'03 Raw Data'!A614),"")</f>
        <v/>
      </c>
      <c r="B616" s="24">
        <f>IF($A616="","",IFERROR(INDEX('03 Raw Data'!$B$3:$B$722,MATCH($A616,'03 Raw Data'!$A$3:$A$722,0)),""))</f>
        <v/>
      </c>
      <c r="C616" s="24">
        <f>IF($A616="","",IFERROR(INDEX('03 Raw Data'!$E$3:$E$722,MATCH($A616,'03 Raw Data'!$D$3:$D$722,0)),""))</f>
        <v/>
      </c>
      <c r="D616" s="24">
        <f>IF($A616="","",IFERROR(INDEX('03 Raw Data'!$H$3:$H$722,MATCH($A616,'03 Raw Data'!$G$3:$G$722,0)),""))</f>
        <v/>
      </c>
      <c r="E616" s="24">
        <f>IF($A616="","",IFERROR(INDEX('03 Raw Data'!$K$3:$K$722,MATCH($A616,'03 Raw Data'!$J$3:$J$722,0)),""))</f>
        <v/>
      </c>
      <c r="F616" s="24">
        <f>IF($A616="","",IFERROR(INDEX('03 Raw Data'!$N$3:$N$722,MATCH($A616,'03 Raw Data'!$M$3:$M$722,0)),""))</f>
        <v/>
      </c>
      <c r="G616" s="24">
        <f>IF($A616="","",IFERROR(INDEX('03 Raw Data'!$Q$3:$Q$722,MATCH($A616,'03 Raw Data'!$P$3:$P$722,0)),""))</f>
        <v/>
      </c>
      <c r="H616" s="24">
        <f>IF($A616="","",IFERROR(INDEX('03 Raw Data'!$T$3:$T$722,MATCH($A616,'03 Raw Data'!$S$3:$S$722,0)),""))</f>
        <v/>
      </c>
    </row>
    <row r="617">
      <c r="A617" s="23">
        <f>IFERROR(IF(OR('03 Raw Data'!A615="",'03 Raw Data'!A615=0),"",'03 Raw Data'!A615),"")</f>
        <v/>
      </c>
      <c r="B617" s="24">
        <f>IF($A617="","",IFERROR(INDEX('03 Raw Data'!$B$3:$B$722,MATCH($A617,'03 Raw Data'!$A$3:$A$722,0)),""))</f>
        <v/>
      </c>
      <c r="C617" s="24">
        <f>IF($A617="","",IFERROR(INDEX('03 Raw Data'!$E$3:$E$722,MATCH($A617,'03 Raw Data'!$D$3:$D$722,0)),""))</f>
        <v/>
      </c>
      <c r="D617" s="24">
        <f>IF($A617="","",IFERROR(INDEX('03 Raw Data'!$H$3:$H$722,MATCH($A617,'03 Raw Data'!$G$3:$G$722,0)),""))</f>
        <v/>
      </c>
      <c r="E617" s="24">
        <f>IF($A617="","",IFERROR(INDEX('03 Raw Data'!$K$3:$K$722,MATCH($A617,'03 Raw Data'!$J$3:$J$722,0)),""))</f>
        <v/>
      </c>
      <c r="F617" s="24">
        <f>IF($A617="","",IFERROR(INDEX('03 Raw Data'!$N$3:$N$722,MATCH($A617,'03 Raw Data'!$M$3:$M$722,0)),""))</f>
        <v/>
      </c>
      <c r="G617" s="24">
        <f>IF($A617="","",IFERROR(INDEX('03 Raw Data'!$Q$3:$Q$722,MATCH($A617,'03 Raw Data'!$P$3:$P$722,0)),""))</f>
        <v/>
      </c>
      <c r="H617" s="24">
        <f>IF($A617="","",IFERROR(INDEX('03 Raw Data'!$T$3:$T$722,MATCH($A617,'03 Raw Data'!$S$3:$S$722,0)),""))</f>
        <v/>
      </c>
    </row>
    <row r="618">
      <c r="A618" s="23">
        <f>IFERROR(IF(OR('03 Raw Data'!A616="",'03 Raw Data'!A616=0),"",'03 Raw Data'!A616),"")</f>
        <v/>
      </c>
      <c r="B618" s="24">
        <f>IF($A618="","",IFERROR(INDEX('03 Raw Data'!$B$3:$B$722,MATCH($A618,'03 Raw Data'!$A$3:$A$722,0)),""))</f>
        <v/>
      </c>
      <c r="C618" s="24">
        <f>IF($A618="","",IFERROR(INDEX('03 Raw Data'!$E$3:$E$722,MATCH($A618,'03 Raw Data'!$D$3:$D$722,0)),""))</f>
        <v/>
      </c>
      <c r="D618" s="24">
        <f>IF($A618="","",IFERROR(INDEX('03 Raw Data'!$H$3:$H$722,MATCH($A618,'03 Raw Data'!$G$3:$G$722,0)),""))</f>
        <v/>
      </c>
      <c r="E618" s="24">
        <f>IF($A618="","",IFERROR(INDEX('03 Raw Data'!$K$3:$K$722,MATCH($A618,'03 Raw Data'!$J$3:$J$722,0)),""))</f>
        <v/>
      </c>
      <c r="F618" s="24">
        <f>IF($A618="","",IFERROR(INDEX('03 Raw Data'!$N$3:$N$722,MATCH($A618,'03 Raw Data'!$M$3:$M$722,0)),""))</f>
        <v/>
      </c>
      <c r="G618" s="24">
        <f>IF($A618="","",IFERROR(INDEX('03 Raw Data'!$Q$3:$Q$722,MATCH($A618,'03 Raw Data'!$P$3:$P$722,0)),""))</f>
        <v/>
      </c>
      <c r="H618" s="24">
        <f>IF($A618="","",IFERROR(INDEX('03 Raw Data'!$T$3:$T$722,MATCH($A618,'03 Raw Data'!$S$3:$S$722,0)),""))</f>
        <v/>
      </c>
    </row>
    <row r="619">
      <c r="A619" s="23">
        <f>IFERROR(IF(OR('03 Raw Data'!A617="",'03 Raw Data'!A617=0),"",'03 Raw Data'!A617),"")</f>
        <v/>
      </c>
      <c r="B619" s="24">
        <f>IF($A619="","",IFERROR(INDEX('03 Raw Data'!$B$3:$B$722,MATCH($A619,'03 Raw Data'!$A$3:$A$722,0)),""))</f>
        <v/>
      </c>
      <c r="C619" s="24">
        <f>IF($A619="","",IFERROR(INDEX('03 Raw Data'!$E$3:$E$722,MATCH($A619,'03 Raw Data'!$D$3:$D$722,0)),""))</f>
        <v/>
      </c>
      <c r="D619" s="24">
        <f>IF($A619="","",IFERROR(INDEX('03 Raw Data'!$H$3:$H$722,MATCH($A619,'03 Raw Data'!$G$3:$G$722,0)),""))</f>
        <v/>
      </c>
      <c r="E619" s="24">
        <f>IF($A619="","",IFERROR(INDEX('03 Raw Data'!$K$3:$K$722,MATCH($A619,'03 Raw Data'!$J$3:$J$722,0)),""))</f>
        <v/>
      </c>
      <c r="F619" s="24">
        <f>IF($A619="","",IFERROR(INDEX('03 Raw Data'!$N$3:$N$722,MATCH($A619,'03 Raw Data'!$M$3:$M$722,0)),""))</f>
        <v/>
      </c>
      <c r="G619" s="24">
        <f>IF($A619="","",IFERROR(INDEX('03 Raw Data'!$Q$3:$Q$722,MATCH($A619,'03 Raw Data'!$P$3:$P$722,0)),""))</f>
        <v/>
      </c>
      <c r="H619" s="24">
        <f>IF($A619="","",IFERROR(INDEX('03 Raw Data'!$T$3:$T$722,MATCH($A619,'03 Raw Data'!$S$3:$S$722,0)),""))</f>
        <v/>
      </c>
    </row>
    <row r="620">
      <c r="A620" s="23">
        <f>IFERROR(IF(OR('03 Raw Data'!A618="",'03 Raw Data'!A618=0),"",'03 Raw Data'!A618),"")</f>
        <v/>
      </c>
      <c r="B620" s="24">
        <f>IF($A620="","",IFERROR(INDEX('03 Raw Data'!$B$3:$B$722,MATCH($A620,'03 Raw Data'!$A$3:$A$722,0)),""))</f>
        <v/>
      </c>
      <c r="C620" s="24">
        <f>IF($A620="","",IFERROR(INDEX('03 Raw Data'!$E$3:$E$722,MATCH($A620,'03 Raw Data'!$D$3:$D$722,0)),""))</f>
        <v/>
      </c>
      <c r="D620" s="24">
        <f>IF($A620="","",IFERROR(INDEX('03 Raw Data'!$H$3:$H$722,MATCH($A620,'03 Raw Data'!$G$3:$G$722,0)),""))</f>
        <v/>
      </c>
      <c r="E620" s="24">
        <f>IF($A620="","",IFERROR(INDEX('03 Raw Data'!$K$3:$K$722,MATCH($A620,'03 Raw Data'!$J$3:$J$722,0)),""))</f>
        <v/>
      </c>
      <c r="F620" s="24">
        <f>IF($A620="","",IFERROR(INDEX('03 Raw Data'!$N$3:$N$722,MATCH($A620,'03 Raw Data'!$M$3:$M$722,0)),""))</f>
        <v/>
      </c>
      <c r="G620" s="24">
        <f>IF($A620="","",IFERROR(INDEX('03 Raw Data'!$Q$3:$Q$722,MATCH($A620,'03 Raw Data'!$P$3:$P$722,0)),""))</f>
        <v/>
      </c>
      <c r="H620" s="24">
        <f>IF($A620="","",IFERROR(INDEX('03 Raw Data'!$T$3:$T$722,MATCH($A620,'03 Raw Data'!$S$3:$S$722,0)),""))</f>
        <v/>
      </c>
    </row>
    <row r="621">
      <c r="A621" s="23">
        <f>IFERROR(IF(OR('03 Raw Data'!A619="",'03 Raw Data'!A619=0),"",'03 Raw Data'!A619),"")</f>
        <v/>
      </c>
      <c r="B621" s="24">
        <f>IF($A621="","",IFERROR(INDEX('03 Raw Data'!$B$3:$B$722,MATCH($A621,'03 Raw Data'!$A$3:$A$722,0)),""))</f>
        <v/>
      </c>
      <c r="C621" s="24">
        <f>IF($A621="","",IFERROR(INDEX('03 Raw Data'!$E$3:$E$722,MATCH($A621,'03 Raw Data'!$D$3:$D$722,0)),""))</f>
        <v/>
      </c>
      <c r="D621" s="24">
        <f>IF($A621="","",IFERROR(INDEX('03 Raw Data'!$H$3:$H$722,MATCH($A621,'03 Raw Data'!$G$3:$G$722,0)),""))</f>
        <v/>
      </c>
      <c r="E621" s="24">
        <f>IF($A621="","",IFERROR(INDEX('03 Raw Data'!$K$3:$K$722,MATCH($A621,'03 Raw Data'!$J$3:$J$722,0)),""))</f>
        <v/>
      </c>
      <c r="F621" s="24">
        <f>IF($A621="","",IFERROR(INDEX('03 Raw Data'!$N$3:$N$722,MATCH($A621,'03 Raw Data'!$M$3:$M$722,0)),""))</f>
        <v/>
      </c>
      <c r="G621" s="24">
        <f>IF($A621="","",IFERROR(INDEX('03 Raw Data'!$Q$3:$Q$722,MATCH($A621,'03 Raw Data'!$P$3:$P$722,0)),""))</f>
        <v/>
      </c>
      <c r="H621" s="24">
        <f>IF($A621="","",IFERROR(INDEX('03 Raw Data'!$T$3:$T$722,MATCH($A621,'03 Raw Data'!$S$3:$S$722,0)),""))</f>
        <v/>
      </c>
    </row>
    <row r="622">
      <c r="A622" s="23">
        <f>IFERROR(IF(OR('03 Raw Data'!A620="",'03 Raw Data'!A620=0),"",'03 Raw Data'!A620),"")</f>
        <v/>
      </c>
      <c r="B622" s="24">
        <f>IF($A622="","",IFERROR(INDEX('03 Raw Data'!$B$3:$B$722,MATCH($A622,'03 Raw Data'!$A$3:$A$722,0)),""))</f>
        <v/>
      </c>
      <c r="C622" s="24">
        <f>IF($A622="","",IFERROR(INDEX('03 Raw Data'!$E$3:$E$722,MATCH($A622,'03 Raw Data'!$D$3:$D$722,0)),""))</f>
        <v/>
      </c>
      <c r="D622" s="24">
        <f>IF($A622="","",IFERROR(INDEX('03 Raw Data'!$H$3:$H$722,MATCH($A622,'03 Raw Data'!$G$3:$G$722,0)),""))</f>
        <v/>
      </c>
      <c r="E622" s="24">
        <f>IF($A622="","",IFERROR(INDEX('03 Raw Data'!$K$3:$K$722,MATCH($A622,'03 Raw Data'!$J$3:$J$722,0)),""))</f>
        <v/>
      </c>
      <c r="F622" s="24">
        <f>IF($A622="","",IFERROR(INDEX('03 Raw Data'!$N$3:$N$722,MATCH($A622,'03 Raw Data'!$M$3:$M$722,0)),""))</f>
        <v/>
      </c>
      <c r="G622" s="24">
        <f>IF($A622="","",IFERROR(INDEX('03 Raw Data'!$Q$3:$Q$722,MATCH($A622,'03 Raw Data'!$P$3:$P$722,0)),""))</f>
        <v/>
      </c>
      <c r="H622" s="24">
        <f>IF($A622="","",IFERROR(INDEX('03 Raw Data'!$T$3:$T$722,MATCH($A622,'03 Raw Data'!$S$3:$S$722,0)),""))</f>
        <v/>
      </c>
    </row>
    <row r="623">
      <c r="A623" s="23">
        <f>IFERROR(IF(OR('03 Raw Data'!A621="",'03 Raw Data'!A621=0),"",'03 Raw Data'!A621),"")</f>
        <v/>
      </c>
      <c r="B623" s="24">
        <f>IF($A623="","",IFERROR(INDEX('03 Raw Data'!$B$3:$B$722,MATCH($A623,'03 Raw Data'!$A$3:$A$722,0)),""))</f>
        <v/>
      </c>
      <c r="C623" s="24">
        <f>IF($A623="","",IFERROR(INDEX('03 Raw Data'!$E$3:$E$722,MATCH($A623,'03 Raw Data'!$D$3:$D$722,0)),""))</f>
        <v/>
      </c>
      <c r="D623" s="24">
        <f>IF($A623="","",IFERROR(INDEX('03 Raw Data'!$H$3:$H$722,MATCH($A623,'03 Raw Data'!$G$3:$G$722,0)),""))</f>
        <v/>
      </c>
      <c r="E623" s="24">
        <f>IF($A623="","",IFERROR(INDEX('03 Raw Data'!$K$3:$K$722,MATCH($A623,'03 Raw Data'!$J$3:$J$722,0)),""))</f>
        <v/>
      </c>
      <c r="F623" s="24">
        <f>IF($A623="","",IFERROR(INDEX('03 Raw Data'!$N$3:$N$722,MATCH($A623,'03 Raw Data'!$M$3:$M$722,0)),""))</f>
        <v/>
      </c>
      <c r="G623" s="24">
        <f>IF($A623="","",IFERROR(INDEX('03 Raw Data'!$Q$3:$Q$722,MATCH($A623,'03 Raw Data'!$P$3:$P$722,0)),""))</f>
        <v/>
      </c>
      <c r="H623" s="24">
        <f>IF($A623="","",IFERROR(INDEX('03 Raw Data'!$T$3:$T$722,MATCH($A623,'03 Raw Data'!$S$3:$S$722,0)),""))</f>
        <v/>
      </c>
    </row>
    <row r="624">
      <c r="A624" s="23">
        <f>IFERROR(IF(OR('03 Raw Data'!A622="",'03 Raw Data'!A622=0),"",'03 Raw Data'!A622),"")</f>
        <v/>
      </c>
      <c r="B624" s="24">
        <f>IF($A624="","",IFERROR(INDEX('03 Raw Data'!$B$3:$B$722,MATCH($A624,'03 Raw Data'!$A$3:$A$722,0)),""))</f>
        <v/>
      </c>
      <c r="C624" s="24">
        <f>IF($A624="","",IFERROR(INDEX('03 Raw Data'!$E$3:$E$722,MATCH($A624,'03 Raw Data'!$D$3:$D$722,0)),""))</f>
        <v/>
      </c>
      <c r="D624" s="24">
        <f>IF($A624="","",IFERROR(INDEX('03 Raw Data'!$H$3:$H$722,MATCH($A624,'03 Raw Data'!$G$3:$G$722,0)),""))</f>
        <v/>
      </c>
      <c r="E624" s="24">
        <f>IF($A624="","",IFERROR(INDEX('03 Raw Data'!$K$3:$K$722,MATCH($A624,'03 Raw Data'!$J$3:$J$722,0)),""))</f>
        <v/>
      </c>
      <c r="F624" s="24">
        <f>IF($A624="","",IFERROR(INDEX('03 Raw Data'!$N$3:$N$722,MATCH($A624,'03 Raw Data'!$M$3:$M$722,0)),""))</f>
        <v/>
      </c>
      <c r="G624" s="24">
        <f>IF($A624="","",IFERROR(INDEX('03 Raw Data'!$Q$3:$Q$722,MATCH($A624,'03 Raw Data'!$P$3:$P$722,0)),""))</f>
        <v/>
      </c>
      <c r="H624" s="24">
        <f>IF($A624="","",IFERROR(INDEX('03 Raw Data'!$T$3:$T$722,MATCH($A624,'03 Raw Data'!$S$3:$S$722,0)),""))</f>
        <v/>
      </c>
    </row>
    <row r="625">
      <c r="A625" s="23">
        <f>IFERROR(IF(OR('03 Raw Data'!A623="",'03 Raw Data'!A623=0),"",'03 Raw Data'!A623),"")</f>
        <v/>
      </c>
      <c r="B625" s="24">
        <f>IF($A625="","",IFERROR(INDEX('03 Raw Data'!$B$3:$B$722,MATCH($A625,'03 Raw Data'!$A$3:$A$722,0)),""))</f>
        <v/>
      </c>
      <c r="C625" s="24">
        <f>IF($A625="","",IFERROR(INDEX('03 Raw Data'!$E$3:$E$722,MATCH($A625,'03 Raw Data'!$D$3:$D$722,0)),""))</f>
        <v/>
      </c>
      <c r="D625" s="24">
        <f>IF($A625="","",IFERROR(INDEX('03 Raw Data'!$H$3:$H$722,MATCH($A625,'03 Raw Data'!$G$3:$G$722,0)),""))</f>
        <v/>
      </c>
      <c r="E625" s="24">
        <f>IF($A625="","",IFERROR(INDEX('03 Raw Data'!$K$3:$K$722,MATCH($A625,'03 Raw Data'!$J$3:$J$722,0)),""))</f>
        <v/>
      </c>
      <c r="F625" s="24">
        <f>IF($A625="","",IFERROR(INDEX('03 Raw Data'!$N$3:$N$722,MATCH($A625,'03 Raw Data'!$M$3:$M$722,0)),""))</f>
        <v/>
      </c>
      <c r="G625" s="24">
        <f>IF($A625="","",IFERROR(INDEX('03 Raw Data'!$Q$3:$Q$722,MATCH($A625,'03 Raw Data'!$P$3:$P$722,0)),""))</f>
        <v/>
      </c>
      <c r="H625" s="24">
        <f>IF($A625="","",IFERROR(INDEX('03 Raw Data'!$T$3:$T$722,MATCH($A625,'03 Raw Data'!$S$3:$S$722,0)),""))</f>
        <v/>
      </c>
    </row>
    <row r="626">
      <c r="A626" s="23">
        <f>IFERROR(IF(OR('03 Raw Data'!A624="",'03 Raw Data'!A624=0),"",'03 Raw Data'!A624),"")</f>
        <v/>
      </c>
      <c r="B626" s="24">
        <f>IF($A626="","",IFERROR(INDEX('03 Raw Data'!$B$3:$B$722,MATCH($A626,'03 Raw Data'!$A$3:$A$722,0)),""))</f>
        <v/>
      </c>
      <c r="C626" s="24">
        <f>IF($A626="","",IFERROR(INDEX('03 Raw Data'!$E$3:$E$722,MATCH($A626,'03 Raw Data'!$D$3:$D$722,0)),""))</f>
        <v/>
      </c>
      <c r="D626" s="24">
        <f>IF($A626="","",IFERROR(INDEX('03 Raw Data'!$H$3:$H$722,MATCH($A626,'03 Raw Data'!$G$3:$G$722,0)),""))</f>
        <v/>
      </c>
      <c r="E626" s="24">
        <f>IF($A626="","",IFERROR(INDEX('03 Raw Data'!$K$3:$K$722,MATCH($A626,'03 Raw Data'!$J$3:$J$722,0)),""))</f>
        <v/>
      </c>
      <c r="F626" s="24">
        <f>IF($A626="","",IFERROR(INDEX('03 Raw Data'!$N$3:$N$722,MATCH($A626,'03 Raw Data'!$M$3:$M$722,0)),""))</f>
        <v/>
      </c>
      <c r="G626" s="24">
        <f>IF($A626="","",IFERROR(INDEX('03 Raw Data'!$Q$3:$Q$722,MATCH($A626,'03 Raw Data'!$P$3:$P$722,0)),""))</f>
        <v/>
      </c>
      <c r="H626" s="24">
        <f>IF($A626="","",IFERROR(INDEX('03 Raw Data'!$T$3:$T$722,MATCH($A626,'03 Raw Data'!$S$3:$S$722,0)),""))</f>
        <v/>
      </c>
    </row>
    <row r="627">
      <c r="A627" s="23">
        <f>IFERROR(IF(OR('03 Raw Data'!A625="",'03 Raw Data'!A625=0),"",'03 Raw Data'!A625),"")</f>
        <v/>
      </c>
      <c r="B627" s="24">
        <f>IF($A627="","",IFERROR(INDEX('03 Raw Data'!$B$3:$B$722,MATCH($A627,'03 Raw Data'!$A$3:$A$722,0)),""))</f>
        <v/>
      </c>
      <c r="C627" s="24">
        <f>IF($A627="","",IFERROR(INDEX('03 Raw Data'!$E$3:$E$722,MATCH($A627,'03 Raw Data'!$D$3:$D$722,0)),""))</f>
        <v/>
      </c>
      <c r="D627" s="24">
        <f>IF($A627="","",IFERROR(INDEX('03 Raw Data'!$H$3:$H$722,MATCH($A627,'03 Raw Data'!$G$3:$G$722,0)),""))</f>
        <v/>
      </c>
      <c r="E627" s="24">
        <f>IF($A627="","",IFERROR(INDEX('03 Raw Data'!$K$3:$K$722,MATCH($A627,'03 Raw Data'!$J$3:$J$722,0)),""))</f>
        <v/>
      </c>
      <c r="F627" s="24">
        <f>IF($A627="","",IFERROR(INDEX('03 Raw Data'!$N$3:$N$722,MATCH($A627,'03 Raw Data'!$M$3:$M$722,0)),""))</f>
        <v/>
      </c>
      <c r="G627" s="24">
        <f>IF($A627="","",IFERROR(INDEX('03 Raw Data'!$Q$3:$Q$722,MATCH($A627,'03 Raw Data'!$P$3:$P$722,0)),""))</f>
        <v/>
      </c>
      <c r="H627" s="24">
        <f>IF($A627="","",IFERROR(INDEX('03 Raw Data'!$T$3:$T$722,MATCH($A627,'03 Raw Data'!$S$3:$S$722,0)),""))</f>
        <v/>
      </c>
    </row>
    <row r="628">
      <c r="A628" s="23">
        <f>IFERROR(IF(OR('03 Raw Data'!A626="",'03 Raw Data'!A626=0),"",'03 Raw Data'!A626),"")</f>
        <v/>
      </c>
      <c r="B628" s="24">
        <f>IF($A628="","",IFERROR(INDEX('03 Raw Data'!$B$3:$B$722,MATCH($A628,'03 Raw Data'!$A$3:$A$722,0)),""))</f>
        <v/>
      </c>
      <c r="C628" s="24">
        <f>IF($A628="","",IFERROR(INDEX('03 Raw Data'!$E$3:$E$722,MATCH($A628,'03 Raw Data'!$D$3:$D$722,0)),""))</f>
        <v/>
      </c>
      <c r="D628" s="24">
        <f>IF($A628="","",IFERROR(INDEX('03 Raw Data'!$H$3:$H$722,MATCH($A628,'03 Raw Data'!$G$3:$G$722,0)),""))</f>
        <v/>
      </c>
      <c r="E628" s="24">
        <f>IF($A628="","",IFERROR(INDEX('03 Raw Data'!$K$3:$K$722,MATCH($A628,'03 Raw Data'!$J$3:$J$722,0)),""))</f>
        <v/>
      </c>
      <c r="F628" s="24">
        <f>IF($A628="","",IFERROR(INDEX('03 Raw Data'!$N$3:$N$722,MATCH($A628,'03 Raw Data'!$M$3:$M$722,0)),""))</f>
        <v/>
      </c>
      <c r="G628" s="24">
        <f>IF($A628="","",IFERROR(INDEX('03 Raw Data'!$Q$3:$Q$722,MATCH($A628,'03 Raw Data'!$P$3:$P$722,0)),""))</f>
        <v/>
      </c>
      <c r="H628" s="24">
        <f>IF($A628="","",IFERROR(INDEX('03 Raw Data'!$T$3:$T$722,MATCH($A628,'03 Raw Data'!$S$3:$S$722,0)),""))</f>
        <v/>
      </c>
    </row>
    <row r="629">
      <c r="A629" s="23">
        <f>IFERROR(IF(OR('03 Raw Data'!A627="",'03 Raw Data'!A627=0),"",'03 Raw Data'!A627),"")</f>
        <v/>
      </c>
      <c r="B629" s="24">
        <f>IF($A629="","",IFERROR(INDEX('03 Raw Data'!$B$3:$B$722,MATCH($A629,'03 Raw Data'!$A$3:$A$722,0)),""))</f>
        <v/>
      </c>
      <c r="C629" s="24">
        <f>IF($A629="","",IFERROR(INDEX('03 Raw Data'!$E$3:$E$722,MATCH($A629,'03 Raw Data'!$D$3:$D$722,0)),""))</f>
        <v/>
      </c>
      <c r="D629" s="24">
        <f>IF($A629="","",IFERROR(INDEX('03 Raw Data'!$H$3:$H$722,MATCH($A629,'03 Raw Data'!$G$3:$G$722,0)),""))</f>
        <v/>
      </c>
      <c r="E629" s="24">
        <f>IF($A629="","",IFERROR(INDEX('03 Raw Data'!$K$3:$K$722,MATCH($A629,'03 Raw Data'!$J$3:$J$722,0)),""))</f>
        <v/>
      </c>
      <c r="F629" s="24">
        <f>IF($A629="","",IFERROR(INDEX('03 Raw Data'!$N$3:$N$722,MATCH($A629,'03 Raw Data'!$M$3:$M$722,0)),""))</f>
        <v/>
      </c>
      <c r="G629" s="24">
        <f>IF($A629="","",IFERROR(INDEX('03 Raw Data'!$Q$3:$Q$722,MATCH($A629,'03 Raw Data'!$P$3:$P$722,0)),""))</f>
        <v/>
      </c>
      <c r="H629" s="24">
        <f>IF($A629="","",IFERROR(INDEX('03 Raw Data'!$T$3:$T$722,MATCH($A629,'03 Raw Data'!$S$3:$S$722,0)),""))</f>
        <v/>
      </c>
    </row>
    <row r="630">
      <c r="A630" s="23">
        <f>IFERROR(IF(OR('03 Raw Data'!A628="",'03 Raw Data'!A628=0),"",'03 Raw Data'!A628),"")</f>
        <v/>
      </c>
      <c r="B630" s="24">
        <f>IF($A630="","",IFERROR(INDEX('03 Raw Data'!$B$3:$B$722,MATCH($A630,'03 Raw Data'!$A$3:$A$722,0)),""))</f>
        <v/>
      </c>
      <c r="C630" s="24">
        <f>IF($A630="","",IFERROR(INDEX('03 Raw Data'!$E$3:$E$722,MATCH($A630,'03 Raw Data'!$D$3:$D$722,0)),""))</f>
        <v/>
      </c>
      <c r="D630" s="24">
        <f>IF($A630="","",IFERROR(INDEX('03 Raw Data'!$H$3:$H$722,MATCH($A630,'03 Raw Data'!$G$3:$G$722,0)),""))</f>
        <v/>
      </c>
      <c r="E630" s="24">
        <f>IF($A630="","",IFERROR(INDEX('03 Raw Data'!$K$3:$K$722,MATCH($A630,'03 Raw Data'!$J$3:$J$722,0)),""))</f>
        <v/>
      </c>
      <c r="F630" s="24">
        <f>IF($A630="","",IFERROR(INDEX('03 Raw Data'!$N$3:$N$722,MATCH($A630,'03 Raw Data'!$M$3:$M$722,0)),""))</f>
        <v/>
      </c>
      <c r="G630" s="24">
        <f>IF($A630="","",IFERROR(INDEX('03 Raw Data'!$Q$3:$Q$722,MATCH($A630,'03 Raw Data'!$P$3:$P$722,0)),""))</f>
        <v/>
      </c>
      <c r="H630" s="24">
        <f>IF($A630="","",IFERROR(INDEX('03 Raw Data'!$T$3:$T$722,MATCH($A630,'03 Raw Data'!$S$3:$S$722,0)),""))</f>
        <v/>
      </c>
    </row>
    <row r="631">
      <c r="A631" s="23">
        <f>IFERROR(IF(OR('03 Raw Data'!A629="",'03 Raw Data'!A629=0),"",'03 Raw Data'!A629),"")</f>
        <v/>
      </c>
      <c r="B631" s="24">
        <f>IF($A631="","",IFERROR(INDEX('03 Raw Data'!$B$3:$B$722,MATCH($A631,'03 Raw Data'!$A$3:$A$722,0)),""))</f>
        <v/>
      </c>
      <c r="C631" s="24">
        <f>IF($A631="","",IFERROR(INDEX('03 Raw Data'!$E$3:$E$722,MATCH($A631,'03 Raw Data'!$D$3:$D$722,0)),""))</f>
        <v/>
      </c>
      <c r="D631" s="24">
        <f>IF($A631="","",IFERROR(INDEX('03 Raw Data'!$H$3:$H$722,MATCH($A631,'03 Raw Data'!$G$3:$G$722,0)),""))</f>
        <v/>
      </c>
      <c r="E631" s="24">
        <f>IF($A631="","",IFERROR(INDEX('03 Raw Data'!$K$3:$K$722,MATCH($A631,'03 Raw Data'!$J$3:$J$722,0)),""))</f>
        <v/>
      </c>
      <c r="F631" s="24">
        <f>IF($A631="","",IFERROR(INDEX('03 Raw Data'!$N$3:$N$722,MATCH($A631,'03 Raw Data'!$M$3:$M$722,0)),""))</f>
        <v/>
      </c>
      <c r="G631" s="24">
        <f>IF($A631="","",IFERROR(INDEX('03 Raw Data'!$Q$3:$Q$722,MATCH($A631,'03 Raw Data'!$P$3:$P$722,0)),""))</f>
        <v/>
      </c>
      <c r="H631" s="24">
        <f>IF($A631="","",IFERROR(INDEX('03 Raw Data'!$T$3:$T$722,MATCH($A631,'03 Raw Data'!$S$3:$S$722,0)),""))</f>
        <v/>
      </c>
    </row>
    <row r="632">
      <c r="A632" s="23">
        <f>IFERROR(IF(OR('03 Raw Data'!A630="",'03 Raw Data'!A630=0),"",'03 Raw Data'!A630),"")</f>
        <v/>
      </c>
      <c r="B632" s="24">
        <f>IF($A632="","",IFERROR(INDEX('03 Raw Data'!$B$3:$B$722,MATCH($A632,'03 Raw Data'!$A$3:$A$722,0)),""))</f>
        <v/>
      </c>
      <c r="C632" s="24">
        <f>IF($A632="","",IFERROR(INDEX('03 Raw Data'!$E$3:$E$722,MATCH($A632,'03 Raw Data'!$D$3:$D$722,0)),""))</f>
        <v/>
      </c>
      <c r="D632" s="24">
        <f>IF($A632="","",IFERROR(INDEX('03 Raw Data'!$H$3:$H$722,MATCH($A632,'03 Raw Data'!$G$3:$G$722,0)),""))</f>
        <v/>
      </c>
      <c r="E632" s="24">
        <f>IF($A632="","",IFERROR(INDEX('03 Raw Data'!$K$3:$K$722,MATCH($A632,'03 Raw Data'!$J$3:$J$722,0)),""))</f>
        <v/>
      </c>
      <c r="F632" s="24">
        <f>IF($A632="","",IFERROR(INDEX('03 Raw Data'!$N$3:$N$722,MATCH($A632,'03 Raw Data'!$M$3:$M$722,0)),""))</f>
        <v/>
      </c>
      <c r="G632" s="24">
        <f>IF($A632="","",IFERROR(INDEX('03 Raw Data'!$Q$3:$Q$722,MATCH($A632,'03 Raw Data'!$P$3:$P$722,0)),""))</f>
        <v/>
      </c>
      <c r="H632" s="24">
        <f>IF($A632="","",IFERROR(INDEX('03 Raw Data'!$T$3:$T$722,MATCH($A632,'03 Raw Data'!$S$3:$S$722,0)),""))</f>
        <v/>
      </c>
    </row>
    <row r="633">
      <c r="A633" s="23">
        <f>IFERROR(IF(OR('03 Raw Data'!A631="",'03 Raw Data'!A631=0),"",'03 Raw Data'!A631),"")</f>
        <v/>
      </c>
      <c r="B633" s="24">
        <f>IF($A633="","",IFERROR(INDEX('03 Raw Data'!$B$3:$B$722,MATCH($A633,'03 Raw Data'!$A$3:$A$722,0)),""))</f>
        <v/>
      </c>
      <c r="C633" s="24">
        <f>IF($A633="","",IFERROR(INDEX('03 Raw Data'!$E$3:$E$722,MATCH($A633,'03 Raw Data'!$D$3:$D$722,0)),""))</f>
        <v/>
      </c>
      <c r="D633" s="24">
        <f>IF($A633="","",IFERROR(INDEX('03 Raw Data'!$H$3:$H$722,MATCH($A633,'03 Raw Data'!$G$3:$G$722,0)),""))</f>
        <v/>
      </c>
      <c r="E633" s="24">
        <f>IF($A633="","",IFERROR(INDEX('03 Raw Data'!$K$3:$K$722,MATCH($A633,'03 Raw Data'!$J$3:$J$722,0)),""))</f>
        <v/>
      </c>
      <c r="F633" s="24">
        <f>IF($A633="","",IFERROR(INDEX('03 Raw Data'!$N$3:$N$722,MATCH($A633,'03 Raw Data'!$M$3:$M$722,0)),""))</f>
        <v/>
      </c>
      <c r="G633" s="24">
        <f>IF($A633="","",IFERROR(INDEX('03 Raw Data'!$Q$3:$Q$722,MATCH($A633,'03 Raw Data'!$P$3:$P$722,0)),""))</f>
        <v/>
      </c>
      <c r="H633" s="24">
        <f>IF($A633="","",IFERROR(INDEX('03 Raw Data'!$T$3:$T$722,MATCH($A633,'03 Raw Data'!$S$3:$S$722,0)),""))</f>
        <v/>
      </c>
    </row>
    <row r="634">
      <c r="A634" s="23">
        <f>IFERROR(IF(OR('03 Raw Data'!A632="",'03 Raw Data'!A632=0),"",'03 Raw Data'!A632),"")</f>
        <v/>
      </c>
      <c r="B634" s="24">
        <f>IF($A634="","",IFERROR(INDEX('03 Raw Data'!$B$3:$B$722,MATCH($A634,'03 Raw Data'!$A$3:$A$722,0)),""))</f>
        <v/>
      </c>
      <c r="C634" s="24">
        <f>IF($A634="","",IFERROR(INDEX('03 Raw Data'!$E$3:$E$722,MATCH($A634,'03 Raw Data'!$D$3:$D$722,0)),""))</f>
        <v/>
      </c>
      <c r="D634" s="24">
        <f>IF($A634="","",IFERROR(INDEX('03 Raw Data'!$H$3:$H$722,MATCH($A634,'03 Raw Data'!$G$3:$G$722,0)),""))</f>
        <v/>
      </c>
      <c r="E634" s="24">
        <f>IF($A634="","",IFERROR(INDEX('03 Raw Data'!$K$3:$K$722,MATCH($A634,'03 Raw Data'!$J$3:$J$722,0)),""))</f>
        <v/>
      </c>
      <c r="F634" s="24">
        <f>IF($A634="","",IFERROR(INDEX('03 Raw Data'!$N$3:$N$722,MATCH($A634,'03 Raw Data'!$M$3:$M$722,0)),""))</f>
        <v/>
      </c>
      <c r="G634" s="24">
        <f>IF($A634="","",IFERROR(INDEX('03 Raw Data'!$Q$3:$Q$722,MATCH($A634,'03 Raw Data'!$P$3:$P$722,0)),""))</f>
        <v/>
      </c>
      <c r="H634" s="24">
        <f>IF($A634="","",IFERROR(INDEX('03 Raw Data'!$T$3:$T$722,MATCH($A634,'03 Raw Data'!$S$3:$S$722,0)),""))</f>
        <v/>
      </c>
    </row>
    <row r="635">
      <c r="A635" s="23">
        <f>IFERROR(IF(OR('03 Raw Data'!A633="",'03 Raw Data'!A633=0),"",'03 Raw Data'!A633),"")</f>
        <v/>
      </c>
      <c r="B635" s="24">
        <f>IF($A635="","",IFERROR(INDEX('03 Raw Data'!$B$3:$B$722,MATCH($A635,'03 Raw Data'!$A$3:$A$722,0)),""))</f>
        <v/>
      </c>
      <c r="C635" s="24">
        <f>IF($A635="","",IFERROR(INDEX('03 Raw Data'!$E$3:$E$722,MATCH($A635,'03 Raw Data'!$D$3:$D$722,0)),""))</f>
        <v/>
      </c>
      <c r="D635" s="24">
        <f>IF($A635="","",IFERROR(INDEX('03 Raw Data'!$H$3:$H$722,MATCH($A635,'03 Raw Data'!$G$3:$G$722,0)),""))</f>
        <v/>
      </c>
      <c r="E635" s="24">
        <f>IF($A635="","",IFERROR(INDEX('03 Raw Data'!$K$3:$K$722,MATCH($A635,'03 Raw Data'!$J$3:$J$722,0)),""))</f>
        <v/>
      </c>
      <c r="F635" s="24">
        <f>IF($A635="","",IFERROR(INDEX('03 Raw Data'!$N$3:$N$722,MATCH($A635,'03 Raw Data'!$M$3:$M$722,0)),""))</f>
        <v/>
      </c>
      <c r="G635" s="24">
        <f>IF($A635="","",IFERROR(INDEX('03 Raw Data'!$Q$3:$Q$722,MATCH($A635,'03 Raw Data'!$P$3:$P$722,0)),""))</f>
        <v/>
      </c>
      <c r="H635" s="24">
        <f>IF($A635="","",IFERROR(INDEX('03 Raw Data'!$T$3:$T$722,MATCH($A635,'03 Raw Data'!$S$3:$S$722,0)),""))</f>
        <v/>
      </c>
    </row>
    <row r="636">
      <c r="A636" s="23">
        <f>IFERROR(IF(OR('03 Raw Data'!A634="",'03 Raw Data'!A634=0),"",'03 Raw Data'!A634),"")</f>
        <v/>
      </c>
      <c r="B636" s="24">
        <f>IF($A636="","",IFERROR(INDEX('03 Raw Data'!$B$3:$B$722,MATCH($A636,'03 Raw Data'!$A$3:$A$722,0)),""))</f>
        <v/>
      </c>
      <c r="C636" s="24">
        <f>IF($A636="","",IFERROR(INDEX('03 Raw Data'!$E$3:$E$722,MATCH($A636,'03 Raw Data'!$D$3:$D$722,0)),""))</f>
        <v/>
      </c>
      <c r="D636" s="24">
        <f>IF($A636="","",IFERROR(INDEX('03 Raw Data'!$H$3:$H$722,MATCH($A636,'03 Raw Data'!$G$3:$G$722,0)),""))</f>
        <v/>
      </c>
      <c r="E636" s="24">
        <f>IF($A636="","",IFERROR(INDEX('03 Raw Data'!$K$3:$K$722,MATCH($A636,'03 Raw Data'!$J$3:$J$722,0)),""))</f>
        <v/>
      </c>
      <c r="F636" s="24">
        <f>IF($A636="","",IFERROR(INDEX('03 Raw Data'!$N$3:$N$722,MATCH($A636,'03 Raw Data'!$M$3:$M$722,0)),""))</f>
        <v/>
      </c>
      <c r="G636" s="24">
        <f>IF($A636="","",IFERROR(INDEX('03 Raw Data'!$Q$3:$Q$722,MATCH($A636,'03 Raw Data'!$P$3:$P$722,0)),""))</f>
        <v/>
      </c>
      <c r="H636" s="24">
        <f>IF($A636="","",IFERROR(INDEX('03 Raw Data'!$T$3:$T$722,MATCH($A636,'03 Raw Data'!$S$3:$S$722,0)),""))</f>
        <v/>
      </c>
    </row>
    <row r="637">
      <c r="A637" s="23">
        <f>IFERROR(IF(OR('03 Raw Data'!A635="",'03 Raw Data'!A635=0),"",'03 Raw Data'!A635),"")</f>
        <v/>
      </c>
      <c r="B637" s="24">
        <f>IF($A637="","",IFERROR(INDEX('03 Raw Data'!$B$3:$B$722,MATCH($A637,'03 Raw Data'!$A$3:$A$722,0)),""))</f>
        <v/>
      </c>
      <c r="C637" s="24">
        <f>IF($A637="","",IFERROR(INDEX('03 Raw Data'!$E$3:$E$722,MATCH($A637,'03 Raw Data'!$D$3:$D$722,0)),""))</f>
        <v/>
      </c>
      <c r="D637" s="24">
        <f>IF($A637="","",IFERROR(INDEX('03 Raw Data'!$H$3:$H$722,MATCH($A637,'03 Raw Data'!$G$3:$G$722,0)),""))</f>
        <v/>
      </c>
      <c r="E637" s="24">
        <f>IF($A637="","",IFERROR(INDEX('03 Raw Data'!$K$3:$K$722,MATCH($A637,'03 Raw Data'!$J$3:$J$722,0)),""))</f>
        <v/>
      </c>
      <c r="F637" s="24">
        <f>IF($A637="","",IFERROR(INDEX('03 Raw Data'!$N$3:$N$722,MATCH($A637,'03 Raw Data'!$M$3:$M$722,0)),""))</f>
        <v/>
      </c>
      <c r="G637" s="24">
        <f>IF($A637="","",IFERROR(INDEX('03 Raw Data'!$Q$3:$Q$722,MATCH($A637,'03 Raw Data'!$P$3:$P$722,0)),""))</f>
        <v/>
      </c>
      <c r="H637" s="24">
        <f>IF($A637="","",IFERROR(INDEX('03 Raw Data'!$T$3:$T$722,MATCH($A637,'03 Raw Data'!$S$3:$S$722,0)),""))</f>
        <v/>
      </c>
    </row>
    <row r="638">
      <c r="A638" s="23">
        <f>IFERROR(IF(OR('03 Raw Data'!A636="",'03 Raw Data'!A636=0),"",'03 Raw Data'!A636),"")</f>
        <v/>
      </c>
      <c r="B638" s="24">
        <f>IF($A638="","",IFERROR(INDEX('03 Raw Data'!$B$3:$B$722,MATCH($A638,'03 Raw Data'!$A$3:$A$722,0)),""))</f>
        <v/>
      </c>
      <c r="C638" s="24">
        <f>IF($A638="","",IFERROR(INDEX('03 Raw Data'!$E$3:$E$722,MATCH($A638,'03 Raw Data'!$D$3:$D$722,0)),""))</f>
        <v/>
      </c>
      <c r="D638" s="24">
        <f>IF($A638="","",IFERROR(INDEX('03 Raw Data'!$H$3:$H$722,MATCH($A638,'03 Raw Data'!$G$3:$G$722,0)),""))</f>
        <v/>
      </c>
      <c r="E638" s="24">
        <f>IF($A638="","",IFERROR(INDEX('03 Raw Data'!$K$3:$K$722,MATCH($A638,'03 Raw Data'!$J$3:$J$722,0)),""))</f>
        <v/>
      </c>
      <c r="F638" s="24">
        <f>IF($A638="","",IFERROR(INDEX('03 Raw Data'!$N$3:$N$722,MATCH($A638,'03 Raw Data'!$M$3:$M$722,0)),""))</f>
        <v/>
      </c>
      <c r="G638" s="24">
        <f>IF($A638="","",IFERROR(INDEX('03 Raw Data'!$Q$3:$Q$722,MATCH($A638,'03 Raw Data'!$P$3:$P$722,0)),""))</f>
        <v/>
      </c>
      <c r="H638" s="24">
        <f>IF($A638="","",IFERROR(INDEX('03 Raw Data'!$T$3:$T$722,MATCH($A638,'03 Raw Data'!$S$3:$S$722,0)),""))</f>
        <v/>
      </c>
    </row>
    <row r="639">
      <c r="A639" s="23">
        <f>IFERROR(IF(OR('03 Raw Data'!A637="",'03 Raw Data'!A637=0),"",'03 Raw Data'!A637),"")</f>
        <v/>
      </c>
      <c r="B639" s="24">
        <f>IF($A639="","",IFERROR(INDEX('03 Raw Data'!$B$3:$B$722,MATCH($A639,'03 Raw Data'!$A$3:$A$722,0)),""))</f>
        <v/>
      </c>
      <c r="C639" s="24">
        <f>IF($A639="","",IFERROR(INDEX('03 Raw Data'!$E$3:$E$722,MATCH($A639,'03 Raw Data'!$D$3:$D$722,0)),""))</f>
        <v/>
      </c>
      <c r="D639" s="24">
        <f>IF($A639="","",IFERROR(INDEX('03 Raw Data'!$H$3:$H$722,MATCH($A639,'03 Raw Data'!$G$3:$G$722,0)),""))</f>
        <v/>
      </c>
      <c r="E639" s="24">
        <f>IF($A639="","",IFERROR(INDEX('03 Raw Data'!$K$3:$K$722,MATCH($A639,'03 Raw Data'!$J$3:$J$722,0)),""))</f>
        <v/>
      </c>
      <c r="F639" s="24">
        <f>IF($A639="","",IFERROR(INDEX('03 Raw Data'!$N$3:$N$722,MATCH($A639,'03 Raw Data'!$M$3:$M$722,0)),""))</f>
        <v/>
      </c>
      <c r="G639" s="24">
        <f>IF($A639="","",IFERROR(INDEX('03 Raw Data'!$Q$3:$Q$722,MATCH($A639,'03 Raw Data'!$P$3:$P$722,0)),""))</f>
        <v/>
      </c>
      <c r="H639" s="24">
        <f>IF($A639="","",IFERROR(INDEX('03 Raw Data'!$T$3:$T$722,MATCH($A639,'03 Raw Data'!$S$3:$S$722,0)),""))</f>
        <v/>
      </c>
    </row>
    <row r="640">
      <c r="A640" s="23">
        <f>IFERROR(IF(OR('03 Raw Data'!A638="",'03 Raw Data'!A638=0),"",'03 Raw Data'!A638),"")</f>
        <v/>
      </c>
      <c r="B640" s="24">
        <f>IF($A640="","",IFERROR(INDEX('03 Raw Data'!$B$3:$B$722,MATCH($A640,'03 Raw Data'!$A$3:$A$722,0)),""))</f>
        <v/>
      </c>
      <c r="C640" s="24">
        <f>IF($A640="","",IFERROR(INDEX('03 Raw Data'!$E$3:$E$722,MATCH($A640,'03 Raw Data'!$D$3:$D$722,0)),""))</f>
        <v/>
      </c>
      <c r="D640" s="24">
        <f>IF($A640="","",IFERROR(INDEX('03 Raw Data'!$H$3:$H$722,MATCH($A640,'03 Raw Data'!$G$3:$G$722,0)),""))</f>
        <v/>
      </c>
      <c r="E640" s="24">
        <f>IF($A640="","",IFERROR(INDEX('03 Raw Data'!$K$3:$K$722,MATCH($A640,'03 Raw Data'!$J$3:$J$722,0)),""))</f>
        <v/>
      </c>
      <c r="F640" s="24">
        <f>IF($A640="","",IFERROR(INDEX('03 Raw Data'!$N$3:$N$722,MATCH($A640,'03 Raw Data'!$M$3:$M$722,0)),""))</f>
        <v/>
      </c>
      <c r="G640" s="24">
        <f>IF($A640="","",IFERROR(INDEX('03 Raw Data'!$Q$3:$Q$722,MATCH($A640,'03 Raw Data'!$P$3:$P$722,0)),""))</f>
        <v/>
      </c>
      <c r="H640" s="24">
        <f>IF($A640="","",IFERROR(INDEX('03 Raw Data'!$T$3:$T$722,MATCH($A640,'03 Raw Data'!$S$3:$S$722,0)),""))</f>
        <v/>
      </c>
    </row>
    <row r="641">
      <c r="A641" s="23">
        <f>IFERROR(IF(OR('03 Raw Data'!A639="",'03 Raw Data'!A639=0),"",'03 Raw Data'!A639),"")</f>
        <v/>
      </c>
      <c r="B641" s="24">
        <f>IF($A641="","",IFERROR(INDEX('03 Raw Data'!$B$3:$B$722,MATCH($A641,'03 Raw Data'!$A$3:$A$722,0)),""))</f>
        <v/>
      </c>
      <c r="C641" s="24">
        <f>IF($A641="","",IFERROR(INDEX('03 Raw Data'!$E$3:$E$722,MATCH($A641,'03 Raw Data'!$D$3:$D$722,0)),""))</f>
        <v/>
      </c>
      <c r="D641" s="24">
        <f>IF($A641="","",IFERROR(INDEX('03 Raw Data'!$H$3:$H$722,MATCH($A641,'03 Raw Data'!$G$3:$G$722,0)),""))</f>
        <v/>
      </c>
      <c r="E641" s="24">
        <f>IF($A641="","",IFERROR(INDEX('03 Raw Data'!$K$3:$K$722,MATCH($A641,'03 Raw Data'!$J$3:$J$722,0)),""))</f>
        <v/>
      </c>
      <c r="F641" s="24">
        <f>IF($A641="","",IFERROR(INDEX('03 Raw Data'!$N$3:$N$722,MATCH($A641,'03 Raw Data'!$M$3:$M$722,0)),""))</f>
        <v/>
      </c>
      <c r="G641" s="24">
        <f>IF($A641="","",IFERROR(INDEX('03 Raw Data'!$Q$3:$Q$722,MATCH($A641,'03 Raw Data'!$P$3:$P$722,0)),""))</f>
        <v/>
      </c>
      <c r="H641" s="24">
        <f>IF($A641="","",IFERROR(INDEX('03 Raw Data'!$T$3:$T$722,MATCH($A641,'03 Raw Data'!$S$3:$S$722,0)),""))</f>
        <v/>
      </c>
    </row>
    <row r="642">
      <c r="A642" s="23">
        <f>IFERROR(IF(OR('03 Raw Data'!A640="",'03 Raw Data'!A640=0),"",'03 Raw Data'!A640),"")</f>
        <v/>
      </c>
      <c r="B642" s="24">
        <f>IF($A642="","",IFERROR(INDEX('03 Raw Data'!$B$3:$B$722,MATCH($A642,'03 Raw Data'!$A$3:$A$722,0)),""))</f>
        <v/>
      </c>
      <c r="C642" s="24">
        <f>IF($A642="","",IFERROR(INDEX('03 Raw Data'!$E$3:$E$722,MATCH($A642,'03 Raw Data'!$D$3:$D$722,0)),""))</f>
        <v/>
      </c>
      <c r="D642" s="24">
        <f>IF($A642="","",IFERROR(INDEX('03 Raw Data'!$H$3:$H$722,MATCH($A642,'03 Raw Data'!$G$3:$G$722,0)),""))</f>
        <v/>
      </c>
      <c r="E642" s="24">
        <f>IF($A642="","",IFERROR(INDEX('03 Raw Data'!$K$3:$K$722,MATCH($A642,'03 Raw Data'!$J$3:$J$722,0)),""))</f>
        <v/>
      </c>
      <c r="F642" s="24">
        <f>IF($A642="","",IFERROR(INDEX('03 Raw Data'!$N$3:$N$722,MATCH($A642,'03 Raw Data'!$M$3:$M$722,0)),""))</f>
        <v/>
      </c>
      <c r="G642" s="24">
        <f>IF($A642="","",IFERROR(INDEX('03 Raw Data'!$Q$3:$Q$722,MATCH($A642,'03 Raw Data'!$P$3:$P$722,0)),""))</f>
        <v/>
      </c>
      <c r="H642" s="24">
        <f>IF($A642="","",IFERROR(INDEX('03 Raw Data'!$T$3:$T$722,MATCH($A642,'03 Raw Data'!$S$3:$S$722,0)),""))</f>
        <v/>
      </c>
    </row>
    <row r="643">
      <c r="A643" s="23">
        <f>IFERROR(IF(OR('03 Raw Data'!A641="",'03 Raw Data'!A641=0),"",'03 Raw Data'!A641),"")</f>
        <v/>
      </c>
      <c r="B643" s="24">
        <f>IF($A643="","",IFERROR(INDEX('03 Raw Data'!$B$3:$B$722,MATCH($A643,'03 Raw Data'!$A$3:$A$722,0)),""))</f>
        <v/>
      </c>
      <c r="C643" s="24">
        <f>IF($A643="","",IFERROR(INDEX('03 Raw Data'!$E$3:$E$722,MATCH($A643,'03 Raw Data'!$D$3:$D$722,0)),""))</f>
        <v/>
      </c>
      <c r="D643" s="24">
        <f>IF($A643="","",IFERROR(INDEX('03 Raw Data'!$H$3:$H$722,MATCH($A643,'03 Raw Data'!$G$3:$G$722,0)),""))</f>
        <v/>
      </c>
      <c r="E643" s="24">
        <f>IF($A643="","",IFERROR(INDEX('03 Raw Data'!$K$3:$K$722,MATCH($A643,'03 Raw Data'!$J$3:$J$722,0)),""))</f>
        <v/>
      </c>
      <c r="F643" s="24">
        <f>IF($A643="","",IFERROR(INDEX('03 Raw Data'!$N$3:$N$722,MATCH($A643,'03 Raw Data'!$M$3:$M$722,0)),""))</f>
        <v/>
      </c>
      <c r="G643" s="24">
        <f>IF($A643="","",IFERROR(INDEX('03 Raw Data'!$Q$3:$Q$722,MATCH($A643,'03 Raw Data'!$P$3:$P$722,0)),""))</f>
        <v/>
      </c>
      <c r="H643" s="24">
        <f>IF($A643="","",IFERROR(INDEX('03 Raw Data'!$T$3:$T$722,MATCH($A643,'03 Raw Data'!$S$3:$S$722,0)),""))</f>
        <v/>
      </c>
    </row>
    <row r="644">
      <c r="A644" s="23">
        <f>IFERROR(IF(OR('03 Raw Data'!A642="",'03 Raw Data'!A642=0),"",'03 Raw Data'!A642),"")</f>
        <v/>
      </c>
      <c r="B644" s="24">
        <f>IF($A644="","",IFERROR(INDEX('03 Raw Data'!$B$3:$B$722,MATCH($A644,'03 Raw Data'!$A$3:$A$722,0)),""))</f>
        <v/>
      </c>
      <c r="C644" s="24">
        <f>IF($A644="","",IFERROR(INDEX('03 Raw Data'!$E$3:$E$722,MATCH($A644,'03 Raw Data'!$D$3:$D$722,0)),""))</f>
        <v/>
      </c>
      <c r="D644" s="24">
        <f>IF($A644="","",IFERROR(INDEX('03 Raw Data'!$H$3:$H$722,MATCH($A644,'03 Raw Data'!$G$3:$G$722,0)),""))</f>
        <v/>
      </c>
      <c r="E644" s="24">
        <f>IF($A644="","",IFERROR(INDEX('03 Raw Data'!$K$3:$K$722,MATCH($A644,'03 Raw Data'!$J$3:$J$722,0)),""))</f>
        <v/>
      </c>
      <c r="F644" s="24">
        <f>IF($A644="","",IFERROR(INDEX('03 Raw Data'!$N$3:$N$722,MATCH($A644,'03 Raw Data'!$M$3:$M$722,0)),""))</f>
        <v/>
      </c>
      <c r="G644" s="24">
        <f>IF($A644="","",IFERROR(INDEX('03 Raw Data'!$Q$3:$Q$722,MATCH($A644,'03 Raw Data'!$P$3:$P$722,0)),""))</f>
        <v/>
      </c>
      <c r="H644" s="24">
        <f>IF($A644="","",IFERROR(INDEX('03 Raw Data'!$T$3:$T$722,MATCH($A644,'03 Raw Data'!$S$3:$S$722,0)),""))</f>
        <v/>
      </c>
    </row>
    <row r="645">
      <c r="A645" s="23">
        <f>IFERROR(IF(OR('03 Raw Data'!A643="",'03 Raw Data'!A643=0),"",'03 Raw Data'!A643),"")</f>
        <v/>
      </c>
      <c r="B645" s="24">
        <f>IF($A645="","",IFERROR(INDEX('03 Raw Data'!$B$3:$B$722,MATCH($A645,'03 Raw Data'!$A$3:$A$722,0)),""))</f>
        <v/>
      </c>
      <c r="C645" s="24">
        <f>IF($A645="","",IFERROR(INDEX('03 Raw Data'!$E$3:$E$722,MATCH($A645,'03 Raw Data'!$D$3:$D$722,0)),""))</f>
        <v/>
      </c>
      <c r="D645" s="24">
        <f>IF($A645="","",IFERROR(INDEX('03 Raw Data'!$H$3:$H$722,MATCH($A645,'03 Raw Data'!$G$3:$G$722,0)),""))</f>
        <v/>
      </c>
      <c r="E645" s="24">
        <f>IF($A645="","",IFERROR(INDEX('03 Raw Data'!$K$3:$K$722,MATCH($A645,'03 Raw Data'!$J$3:$J$722,0)),""))</f>
        <v/>
      </c>
      <c r="F645" s="24">
        <f>IF($A645="","",IFERROR(INDEX('03 Raw Data'!$N$3:$N$722,MATCH($A645,'03 Raw Data'!$M$3:$M$722,0)),""))</f>
        <v/>
      </c>
      <c r="G645" s="24">
        <f>IF($A645="","",IFERROR(INDEX('03 Raw Data'!$Q$3:$Q$722,MATCH($A645,'03 Raw Data'!$P$3:$P$722,0)),""))</f>
        <v/>
      </c>
      <c r="H645" s="24">
        <f>IF($A645="","",IFERROR(INDEX('03 Raw Data'!$T$3:$T$722,MATCH($A645,'03 Raw Data'!$S$3:$S$722,0)),""))</f>
        <v/>
      </c>
    </row>
    <row r="646">
      <c r="A646" s="23">
        <f>IFERROR(IF(OR('03 Raw Data'!A644="",'03 Raw Data'!A644=0),"",'03 Raw Data'!A644),"")</f>
        <v/>
      </c>
      <c r="B646" s="24">
        <f>IF($A646="","",IFERROR(INDEX('03 Raw Data'!$B$3:$B$722,MATCH($A646,'03 Raw Data'!$A$3:$A$722,0)),""))</f>
        <v/>
      </c>
      <c r="C646" s="24">
        <f>IF($A646="","",IFERROR(INDEX('03 Raw Data'!$E$3:$E$722,MATCH($A646,'03 Raw Data'!$D$3:$D$722,0)),""))</f>
        <v/>
      </c>
      <c r="D646" s="24">
        <f>IF($A646="","",IFERROR(INDEX('03 Raw Data'!$H$3:$H$722,MATCH($A646,'03 Raw Data'!$G$3:$G$722,0)),""))</f>
        <v/>
      </c>
      <c r="E646" s="24">
        <f>IF($A646="","",IFERROR(INDEX('03 Raw Data'!$K$3:$K$722,MATCH($A646,'03 Raw Data'!$J$3:$J$722,0)),""))</f>
        <v/>
      </c>
      <c r="F646" s="24">
        <f>IF($A646="","",IFERROR(INDEX('03 Raw Data'!$N$3:$N$722,MATCH($A646,'03 Raw Data'!$M$3:$M$722,0)),""))</f>
        <v/>
      </c>
      <c r="G646" s="24">
        <f>IF($A646="","",IFERROR(INDEX('03 Raw Data'!$Q$3:$Q$722,MATCH($A646,'03 Raw Data'!$P$3:$P$722,0)),""))</f>
        <v/>
      </c>
      <c r="H646" s="24">
        <f>IF($A646="","",IFERROR(INDEX('03 Raw Data'!$T$3:$T$722,MATCH($A646,'03 Raw Data'!$S$3:$S$722,0)),""))</f>
        <v/>
      </c>
    </row>
    <row r="647">
      <c r="A647" s="23">
        <f>IFERROR(IF(OR('03 Raw Data'!A645="",'03 Raw Data'!A645=0),"",'03 Raw Data'!A645),"")</f>
        <v/>
      </c>
      <c r="B647" s="24">
        <f>IF($A647="","",IFERROR(INDEX('03 Raw Data'!$B$3:$B$722,MATCH($A647,'03 Raw Data'!$A$3:$A$722,0)),""))</f>
        <v/>
      </c>
      <c r="C647" s="24">
        <f>IF($A647="","",IFERROR(INDEX('03 Raw Data'!$E$3:$E$722,MATCH($A647,'03 Raw Data'!$D$3:$D$722,0)),""))</f>
        <v/>
      </c>
      <c r="D647" s="24">
        <f>IF($A647="","",IFERROR(INDEX('03 Raw Data'!$H$3:$H$722,MATCH($A647,'03 Raw Data'!$G$3:$G$722,0)),""))</f>
        <v/>
      </c>
      <c r="E647" s="24">
        <f>IF($A647="","",IFERROR(INDEX('03 Raw Data'!$K$3:$K$722,MATCH($A647,'03 Raw Data'!$J$3:$J$722,0)),""))</f>
        <v/>
      </c>
      <c r="F647" s="24">
        <f>IF($A647="","",IFERROR(INDEX('03 Raw Data'!$N$3:$N$722,MATCH($A647,'03 Raw Data'!$M$3:$M$722,0)),""))</f>
        <v/>
      </c>
      <c r="G647" s="24">
        <f>IF($A647="","",IFERROR(INDEX('03 Raw Data'!$Q$3:$Q$722,MATCH($A647,'03 Raw Data'!$P$3:$P$722,0)),""))</f>
        <v/>
      </c>
      <c r="H647" s="24">
        <f>IF($A647="","",IFERROR(INDEX('03 Raw Data'!$T$3:$T$722,MATCH($A647,'03 Raw Data'!$S$3:$S$722,0)),""))</f>
        <v/>
      </c>
    </row>
    <row r="648">
      <c r="A648" s="23">
        <f>IFERROR(IF(OR('03 Raw Data'!A646="",'03 Raw Data'!A646=0),"",'03 Raw Data'!A646),"")</f>
        <v/>
      </c>
      <c r="B648" s="24">
        <f>IF($A648="","",IFERROR(INDEX('03 Raw Data'!$B$3:$B$722,MATCH($A648,'03 Raw Data'!$A$3:$A$722,0)),""))</f>
        <v/>
      </c>
      <c r="C648" s="24">
        <f>IF($A648="","",IFERROR(INDEX('03 Raw Data'!$E$3:$E$722,MATCH($A648,'03 Raw Data'!$D$3:$D$722,0)),""))</f>
        <v/>
      </c>
      <c r="D648" s="24">
        <f>IF($A648="","",IFERROR(INDEX('03 Raw Data'!$H$3:$H$722,MATCH($A648,'03 Raw Data'!$G$3:$G$722,0)),""))</f>
        <v/>
      </c>
      <c r="E648" s="24">
        <f>IF($A648="","",IFERROR(INDEX('03 Raw Data'!$K$3:$K$722,MATCH($A648,'03 Raw Data'!$J$3:$J$722,0)),""))</f>
        <v/>
      </c>
      <c r="F648" s="24">
        <f>IF($A648="","",IFERROR(INDEX('03 Raw Data'!$N$3:$N$722,MATCH($A648,'03 Raw Data'!$M$3:$M$722,0)),""))</f>
        <v/>
      </c>
      <c r="G648" s="24">
        <f>IF($A648="","",IFERROR(INDEX('03 Raw Data'!$Q$3:$Q$722,MATCH($A648,'03 Raw Data'!$P$3:$P$722,0)),""))</f>
        <v/>
      </c>
      <c r="H648" s="24">
        <f>IF($A648="","",IFERROR(INDEX('03 Raw Data'!$T$3:$T$722,MATCH($A648,'03 Raw Data'!$S$3:$S$722,0)),""))</f>
        <v/>
      </c>
    </row>
    <row r="649">
      <c r="A649" s="23">
        <f>IFERROR(IF(OR('03 Raw Data'!A647="",'03 Raw Data'!A647=0),"",'03 Raw Data'!A647),"")</f>
        <v/>
      </c>
      <c r="B649" s="24">
        <f>IF($A649="","",IFERROR(INDEX('03 Raw Data'!$B$3:$B$722,MATCH($A649,'03 Raw Data'!$A$3:$A$722,0)),""))</f>
        <v/>
      </c>
      <c r="C649" s="24">
        <f>IF($A649="","",IFERROR(INDEX('03 Raw Data'!$E$3:$E$722,MATCH($A649,'03 Raw Data'!$D$3:$D$722,0)),""))</f>
        <v/>
      </c>
      <c r="D649" s="24">
        <f>IF($A649="","",IFERROR(INDEX('03 Raw Data'!$H$3:$H$722,MATCH($A649,'03 Raw Data'!$G$3:$G$722,0)),""))</f>
        <v/>
      </c>
      <c r="E649" s="24">
        <f>IF($A649="","",IFERROR(INDEX('03 Raw Data'!$K$3:$K$722,MATCH($A649,'03 Raw Data'!$J$3:$J$722,0)),""))</f>
        <v/>
      </c>
      <c r="F649" s="24">
        <f>IF($A649="","",IFERROR(INDEX('03 Raw Data'!$N$3:$N$722,MATCH($A649,'03 Raw Data'!$M$3:$M$722,0)),""))</f>
        <v/>
      </c>
      <c r="G649" s="24">
        <f>IF($A649="","",IFERROR(INDEX('03 Raw Data'!$Q$3:$Q$722,MATCH($A649,'03 Raw Data'!$P$3:$P$722,0)),""))</f>
        <v/>
      </c>
      <c r="H649" s="24">
        <f>IF($A649="","",IFERROR(INDEX('03 Raw Data'!$T$3:$T$722,MATCH($A649,'03 Raw Data'!$S$3:$S$722,0)),""))</f>
        <v/>
      </c>
    </row>
    <row r="650">
      <c r="A650" s="23">
        <f>IFERROR(IF(OR('03 Raw Data'!A648="",'03 Raw Data'!A648=0),"",'03 Raw Data'!A648),"")</f>
        <v/>
      </c>
      <c r="B650" s="24">
        <f>IF($A650="","",IFERROR(INDEX('03 Raw Data'!$B$3:$B$722,MATCH($A650,'03 Raw Data'!$A$3:$A$722,0)),""))</f>
        <v/>
      </c>
      <c r="C650" s="24">
        <f>IF($A650="","",IFERROR(INDEX('03 Raw Data'!$E$3:$E$722,MATCH($A650,'03 Raw Data'!$D$3:$D$722,0)),""))</f>
        <v/>
      </c>
      <c r="D650" s="24">
        <f>IF($A650="","",IFERROR(INDEX('03 Raw Data'!$H$3:$H$722,MATCH($A650,'03 Raw Data'!$G$3:$G$722,0)),""))</f>
        <v/>
      </c>
      <c r="E650" s="24">
        <f>IF($A650="","",IFERROR(INDEX('03 Raw Data'!$K$3:$K$722,MATCH($A650,'03 Raw Data'!$J$3:$J$722,0)),""))</f>
        <v/>
      </c>
      <c r="F650" s="24">
        <f>IF($A650="","",IFERROR(INDEX('03 Raw Data'!$N$3:$N$722,MATCH($A650,'03 Raw Data'!$M$3:$M$722,0)),""))</f>
        <v/>
      </c>
      <c r="G650" s="24">
        <f>IF($A650="","",IFERROR(INDEX('03 Raw Data'!$Q$3:$Q$722,MATCH($A650,'03 Raw Data'!$P$3:$P$722,0)),""))</f>
        <v/>
      </c>
      <c r="H650" s="24">
        <f>IF($A650="","",IFERROR(INDEX('03 Raw Data'!$T$3:$T$722,MATCH($A650,'03 Raw Data'!$S$3:$S$722,0)),""))</f>
        <v/>
      </c>
    </row>
    <row r="651">
      <c r="A651" s="23">
        <f>IFERROR(IF(OR('03 Raw Data'!A649="",'03 Raw Data'!A649=0),"",'03 Raw Data'!A649),"")</f>
        <v/>
      </c>
      <c r="B651" s="24">
        <f>IF($A651="","",IFERROR(INDEX('03 Raw Data'!$B$3:$B$722,MATCH($A651,'03 Raw Data'!$A$3:$A$722,0)),""))</f>
        <v/>
      </c>
      <c r="C651" s="24">
        <f>IF($A651="","",IFERROR(INDEX('03 Raw Data'!$E$3:$E$722,MATCH($A651,'03 Raw Data'!$D$3:$D$722,0)),""))</f>
        <v/>
      </c>
      <c r="D651" s="24">
        <f>IF($A651="","",IFERROR(INDEX('03 Raw Data'!$H$3:$H$722,MATCH($A651,'03 Raw Data'!$G$3:$G$722,0)),""))</f>
        <v/>
      </c>
      <c r="E651" s="24">
        <f>IF($A651="","",IFERROR(INDEX('03 Raw Data'!$K$3:$K$722,MATCH($A651,'03 Raw Data'!$J$3:$J$722,0)),""))</f>
        <v/>
      </c>
      <c r="F651" s="24">
        <f>IF($A651="","",IFERROR(INDEX('03 Raw Data'!$N$3:$N$722,MATCH($A651,'03 Raw Data'!$M$3:$M$722,0)),""))</f>
        <v/>
      </c>
      <c r="G651" s="24">
        <f>IF($A651="","",IFERROR(INDEX('03 Raw Data'!$Q$3:$Q$722,MATCH($A651,'03 Raw Data'!$P$3:$P$722,0)),""))</f>
        <v/>
      </c>
      <c r="H651" s="24">
        <f>IF($A651="","",IFERROR(INDEX('03 Raw Data'!$T$3:$T$722,MATCH($A651,'03 Raw Data'!$S$3:$S$722,0)),""))</f>
        <v/>
      </c>
    </row>
    <row r="652">
      <c r="A652" s="23">
        <f>IFERROR(IF(OR('03 Raw Data'!A650="",'03 Raw Data'!A650=0),"",'03 Raw Data'!A650),"")</f>
        <v/>
      </c>
      <c r="B652" s="24">
        <f>IF($A652="","",IFERROR(INDEX('03 Raw Data'!$B$3:$B$722,MATCH($A652,'03 Raw Data'!$A$3:$A$722,0)),""))</f>
        <v/>
      </c>
      <c r="C652" s="24">
        <f>IF($A652="","",IFERROR(INDEX('03 Raw Data'!$E$3:$E$722,MATCH($A652,'03 Raw Data'!$D$3:$D$722,0)),""))</f>
        <v/>
      </c>
      <c r="D652" s="24">
        <f>IF($A652="","",IFERROR(INDEX('03 Raw Data'!$H$3:$H$722,MATCH($A652,'03 Raw Data'!$G$3:$G$722,0)),""))</f>
        <v/>
      </c>
      <c r="E652" s="24">
        <f>IF($A652="","",IFERROR(INDEX('03 Raw Data'!$K$3:$K$722,MATCH($A652,'03 Raw Data'!$J$3:$J$722,0)),""))</f>
        <v/>
      </c>
      <c r="F652" s="24">
        <f>IF($A652="","",IFERROR(INDEX('03 Raw Data'!$N$3:$N$722,MATCH($A652,'03 Raw Data'!$M$3:$M$722,0)),""))</f>
        <v/>
      </c>
      <c r="G652" s="24">
        <f>IF($A652="","",IFERROR(INDEX('03 Raw Data'!$Q$3:$Q$722,MATCH($A652,'03 Raw Data'!$P$3:$P$722,0)),""))</f>
        <v/>
      </c>
      <c r="H652" s="24">
        <f>IF($A652="","",IFERROR(INDEX('03 Raw Data'!$T$3:$T$722,MATCH($A652,'03 Raw Data'!$S$3:$S$722,0)),""))</f>
        <v/>
      </c>
    </row>
    <row r="653">
      <c r="A653" s="23">
        <f>IFERROR(IF(OR('03 Raw Data'!A651="",'03 Raw Data'!A651=0),"",'03 Raw Data'!A651),"")</f>
        <v/>
      </c>
      <c r="B653" s="24">
        <f>IF($A653="","",IFERROR(INDEX('03 Raw Data'!$B$3:$B$722,MATCH($A653,'03 Raw Data'!$A$3:$A$722,0)),""))</f>
        <v/>
      </c>
      <c r="C653" s="24">
        <f>IF($A653="","",IFERROR(INDEX('03 Raw Data'!$E$3:$E$722,MATCH($A653,'03 Raw Data'!$D$3:$D$722,0)),""))</f>
        <v/>
      </c>
      <c r="D653" s="24">
        <f>IF($A653="","",IFERROR(INDEX('03 Raw Data'!$H$3:$H$722,MATCH($A653,'03 Raw Data'!$G$3:$G$722,0)),""))</f>
        <v/>
      </c>
      <c r="E653" s="24">
        <f>IF($A653="","",IFERROR(INDEX('03 Raw Data'!$K$3:$K$722,MATCH($A653,'03 Raw Data'!$J$3:$J$722,0)),""))</f>
        <v/>
      </c>
      <c r="F653" s="24">
        <f>IF($A653="","",IFERROR(INDEX('03 Raw Data'!$N$3:$N$722,MATCH($A653,'03 Raw Data'!$M$3:$M$722,0)),""))</f>
        <v/>
      </c>
      <c r="G653" s="24">
        <f>IF($A653="","",IFERROR(INDEX('03 Raw Data'!$Q$3:$Q$722,MATCH($A653,'03 Raw Data'!$P$3:$P$722,0)),""))</f>
        <v/>
      </c>
      <c r="H653" s="24">
        <f>IF($A653="","",IFERROR(INDEX('03 Raw Data'!$T$3:$T$722,MATCH($A653,'03 Raw Data'!$S$3:$S$722,0)),""))</f>
        <v/>
      </c>
    </row>
    <row r="654">
      <c r="A654" s="23">
        <f>IFERROR(IF(OR('03 Raw Data'!A652="",'03 Raw Data'!A652=0),"",'03 Raw Data'!A652),"")</f>
        <v/>
      </c>
      <c r="B654" s="24">
        <f>IF($A654="","",IFERROR(INDEX('03 Raw Data'!$B$3:$B$722,MATCH($A654,'03 Raw Data'!$A$3:$A$722,0)),""))</f>
        <v/>
      </c>
      <c r="C654" s="24">
        <f>IF($A654="","",IFERROR(INDEX('03 Raw Data'!$E$3:$E$722,MATCH($A654,'03 Raw Data'!$D$3:$D$722,0)),""))</f>
        <v/>
      </c>
      <c r="D654" s="24">
        <f>IF($A654="","",IFERROR(INDEX('03 Raw Data'!$H$3:$H$722,MATCH($A654,'03 Raw Data'!$G$3:$G$722,0)),""))</f>
        <v/>
      </c>
      <c r="E654" s="24">
        <f>IF($A654="","",IFERROR(INDEX('03 Raw Data'!$K$3:$K$722,MATCH($A654,'03 Raw Data'!$J$3:$J$722,0)),""))</f>
        <v/>
      </c>
      <c r="F654" s="24">
        <f>IF($A654="","",IFERROR(INDEX('03 Raw Data'!$N$3:$N$722,MATCH($A654,'03 Raw Data'!$M$3:$M$722,0)),""))</f>
        <v/>
      </c>
      <c r="G654" s="24">
        <f>IF($A654="","",IFERROR(INDEX('03 Raw Data'!$Q$3:$Q$722,MATCH($A654,'03 Raw Data'!$P$3:$P$722,0)),""))</f>
        <v/>
      </c>
      <c r="H654" s="24">
        <f>IF($A654="","",IFERROR(INDEX('03 Raw Data'!$T$3:$T$722,MATCH($A654,'03 Raw Data'!$S$3:$S$722,0)),""))</f>
        <v/>
      </c>
    </row>
    <row r="655">
      <c r="A655" s="23">
        <f>IFERROR(IF(OR('03 Raw Data'!A653="",'03 Raw Data'!A653=0),"",'03 Raw Data'!A653),"")</f>
        <v/>
      </c>
      <c r="B655" s="24">
        <f>IF($A655="","",IFERROR(INDEX('03 Raw Data'!$B$3:$B$722,MATCH($A655,'03 Raw Data'!$A$3:$A$722,0)),""))</f>
        <v/>
      </c>
      <c r="C655" s="24">
        <f>IF($A655="","",IFERROR(INDEX('03 Raw Data'!$E$3:$E$722,MATCH($A655,'03 Raw Data'!$D$3:$D$722,0)),""))</f>
        <v/>
      </c>
      <c r="D655" s="24">
        <f>IF($A655="","",IFERROR(INDEX('03 Raw Data'!$H$3:$H$722,MATCH($A655,'03 Raw Data'!$G$3:$G$722,0)),""))</f>
        <v/>
      </c>
      <c r="E655" s="24">
        <f>IF($A655="","",IFERROR(INDEX('03 Raw Data'!$K$3:$K$722,MATCH($A655,'03 Raw Data'!$J$3:$J$722,0)),""))</f>
        <v/>
      </c>
      <c r="F655" s="24">
        <f>IF($A655="","",IFERROR(INDEX('03 Raw Data'!$N$3:$N$722,MATCH($A655,'03 Raw Data'!$M$3:$M$722,0)),""))</f>
        <v/>
      </c>
      <c r="G655" s="24">
        <f>IF($A655="","",IFERROR(INDEX('03 Raw Data'!$Q$3:$Q$722,MATCH($A655,'03 Raw Data'!$P$3:$P$722,0)),""))</f>
        <v/>
      </c>
      <c r="H655" s="24">
        <f>IF($A655="","",IFERROR(INDEX('03 Raw Data'!$T$3:$T$722,MATCH($A655,'03 Raw Data'!$S$3:$S$722,0)),""))</f>
        <v/>
      </c>
    </row>
    <row r="656">
      <c r="A656" s="23">
        <f>IFERROR(IF(OR('03 Raw Data'!A654="",'03 Raw Data'!A654=0),"",'03 Raw Data'!A654),"")</f>
        <v/>
      </c>
      <c r="B656" s="24">
        <f>IF($A656="","",IFERROR(INDEX('03 Raw Data'!$B$3:$B$722,MATCH($A656,'03 Raw Data'!$A$3:$A$722,0)),""))</f>
        <v/>
      </c>
      <c r="C656" s="24">
        <f>IF($A656="","",IFERROR(INDEX('03 Raw Data'!$E$3:$E$722,MATCH($A656,'03 Raw Data'!$D$3:$D$722,0)),""))</f>
        <v/>
      </c>
      <c r="D656" s="24">
        <f>IF($A656="","",IFERROR(INDEX('03 Raw Data'!$H$3:$H$722,MATCH($A656,'03 Raw Data'!$G$3:$G$722,0)),""))</f>
        <v/>
      </c>
      <c r="E656" s="24">
        <f>IF($A656="","",IFERROR(INDEX('03 Raw Data'!$K$3:$K$722,MATCH($A656,'03 Raw Data'!$J$3:$J$722,0)),""))</f>
        <v/>
      </c>
      <c r="F656" s="24">
        <f>IF($A656="","",IFERROR(INDEX('03 Raw Data'!$N$3:$N$722,MATCH($A656,'03 Raw Data'!$M$3:$M$722,0)),""))</f>
        <v/>
      </c>
      <c r="G656" s="24">
        <f>IF($A656="","",IFERROR(INDEX('03 Raw Data'!$Q$3:$Q$722,MATCH($A656,'03 Raw Data'!$P$3:$P$722,0)),""))</f>
        <v/>
      </c>
      <c r="H656" s="24">
        <f>IF($A656="","",IFERROR(INDEX('03 Raw Data'!$T$3:$T$722,MATCH($A656,'03 Raw Data'!$S$3:$S$722,0)),""))</f>
        <v/>
      </c>
    </row>
    <row r="657">
      <c r="A657" s="23">
        <f>IFERROR(IF(OR('03 Raw Data'!A655="",'03 Raw Data'!A655=0),"",'03 Raw Data'!A655),"")</f>
        <v/>
      </c>
      <c r="B657" s="24">
        <f>IF($A657="","",IFERROR(INDEX('03 Raw Data'!$B$3:$B$722,MATCH($A657,'03 Raw Data'!$A$3:$A$722,0)),""))</f>
        <v/>
      </c>
      <c r="C657" s="24">
        <f>IF($A657="","",IFERROR(INDEX('03 Raw Data'!$E$3:$E$722,MATCH($A657,'03 Raw Data'!$D$3:$D$722,0)),""))</f>
        <v/>
      </c>
      <c r="D657" s="24">
        <f>IF($A657="","",IFERROR(INDEX('03 Raw Data'!$H$3:$H$722,MATCH($A657,'03 Raw Data'!$G$3:$G$722,0)),""))</f>
        <v/>
      </c>
      <c r="E657" s="24">
        <f>IF($A657="","",IFERROR(INDEX('03 Raw Data'!$K$3:$K$722,MATCH($A657,'03 Raw Data'!$J$3:$J$722,0)),""))</f>
        <v/>
      </c>
      <c r="F657" s="24">
        <f>IF($A657="","",IFERROR(INDEX('03 Raw Data'!$N$3:$N$722,MATCH($A657,'03 Raw Data'!$M$3:$M$722,0)),""))</f>
        <v/>
      </c>
      <c r="G657" s="24">
        <f>IF($A657="","",IFERROR(INDEX('03 Raw Data'!$Q$3:$Q$722,MATCH($A657,'03 Raw Data'!$P$3:$P$722,0)),""))</f>
        <v/>
      </c>
      <c r="H657" s="24">
        <f>IF($A657="","",IFERROR(INDEX('03 Raw Data'!$T$3:$T$722,MATCH($A657,'03 Raw Data'!$S$3:$S$722,0)),""))</f>
        <v/>
      </c>
    </row>
    <row r="658">
      <c r="A658" s="23">
        <f>IFERROR(IF(OR('03 Raw Data'!A656="",'03 Raw Data'!A656=0),"",'03 Raw Data'!A656),"")</f>
        <v/>
      </c>
      <c r="B658" s="24">
        <f>IF($A658="","",IFERROR(INDEX('03 Raw Data'!$B$3:$B$722,MATCH($A658,'03 Raw Data'!$A$3:$A$722,0)),""))</f>
        <v/>
      </c>
      <c r="C658" s="24">
        <f>IF($A658="","",IFERROR(INDEX('03 Raw Data'!$E$3:$E$722,MATCH($A658,'03 Raw Data'!$D$3:$D$722,0)),""))</f>
        <v/>
      </c>
      <c r="D658" s="24">
        <f>IF($A658="","",IFERROR(INDEX('03 Raw Data'!$H$3:$H$722,MATCH($A658,'03 Raw Data'!$G$3:$G$722,0)),""))</f>
        <v/>
      </c>
      <c r="E658" s="24">
        <f>IF($A658="","",IFERROR(INDEX('03 Raw Data'!$K$3:$K$722,MATCH($A658,'03 Raw Data'!$J$3:$J$722,0)),""))</f>
        <v/>
      </c>
      <c r="F658" s="24">
        <f>IF($A658="","",IFERROR(INDEX('03 Raw Data'!$N$3:$N$722,MATCH($A658,'03 Raw Data'!$M$3:$M$722,0)),""))</f>
        <v/>
      </c>
      <c r="G658" s="24">
        <f>IF($A658="","",IFERROR(INDEX('03 Raw Data'!$Q$3:$Q$722,MATCH($A658,'03 Raw Data'!$P$3:$P$722,0)),""))</f>
        <v/>
      </c>
      <c r="H658" s="24">
        <f>IF($A658="","",IFERROR(INDEX('03 Raw Data'!$T$3:$T$722,MATCH($A658,'03 Raw Data'!$S$3:$S$722,0)),""))</f>
        <v/>
      </c>
    </row>
    <row r="659">
      <c r="A659" s="23">
        <f>IFERROR(IF(OR('03 Raw Data'!A657="",'03 Raw Data'!A657=0),"",'03 Raw Data'!A657),"")</f>
        <v/>
      </c>
      <c r="B659" s="24">
        <f>IF($A659="","",IFERROR(INDEX('03 Raw Data'!$B$3:$B$722,MATCH($A659,'03 Raw Data'!$A$3:$A$722,0)),""))</f>
        <v/>
      </c>
      <c r="C659" s="24">
        <f>IF($A659="","",IFERROR(INDEX('03 Raw Data'!$E$3:$E$722,MATCH($A659,'03 Raw Data'!$D$3:$D$722,0)),""))</f>
        <v/>
      </c>
      <c r="D659" s="24">
        <f>IF($A659="","",IFERROR(INDEX('03 Raw Data'!$H$3:$H$722,MATCH($A659,'03 Raw Data'!$G$3:$G$722,0)),""))</f>
        <v/>
      </c>
      <c r="E659" s="24">
        <f>IF($A659="","",IFERROR(INDEX('03 Raw Data'!$K$3:$K$722,MATCH($A659,'03 Raw Data'!$J$3:$J$722,0)),""))</f>
        <v/>
      </c>
      <c r="F659" s="24">
        <f>IF($A659="","",IFERROR(INDEX('03 Raw Data'!$N$3:$N$722,MATCH($A659,'03 Raw Data'!$M$3:$M$722,0)),""))</f>
        <v/>
      </c>
      <c r="G659" s="24">
        <f>IF($A659="","",IFERROR(INDEX('03 Raw Data'!$Q$3:$Q$722,MATCH($A659,'03 Raw Data'!$P$3:$P$722,0)),""))</f>
        <v/>
      </c>
      <c r="H659" s="24">
        <f>IF($A659="","",IFERROR(INDEX('03 Raw Data'!$T$3:$T$722,MATCH($A659,'03 Raw Data'!$S$3:$S$722,0)),""))</f>
        <v/>
      </c>
    </row>
    <row r="660">
      <c r="A660" s="23">
        <f>IFERROR(IF(OR('03 Raw Data'!A658="",'03 Raw Data'!A658=0),"",'03 Raw Data'!A658),"")</f>
        <v/>
      </c>
      <c r="B660" s="24">
        <f>IF($A660="","",IFERROR(INDEX('03 Raw Data'!$B$3:$B$722,MATCH($A660,'03 Raw Data'!$A$3:$A$722,0)),""))</f>
        <v/>
      </c>
      <c r="C660" s="24">
        <f>IF($A660="","",IFERROR(INDEX('03 Raw Data'!$E$3:$E$722,MATCH($A660,'03 Raw Data'!$D$3:$D$722,0)),""))</f>
        <v/>
      </c>
      <c r="D660" s="24">
        <f>IF($A660="","",IFERROR(INDEX('03 Raw Data'!$H$3:$H$722,MATCH($A660,'03 Raw Data'!$G$3:$G$722,0)),""))</f>
        <v/>
      </c>
      <c r="E660" s="24">
        <f>IF($A660="","",IFERROR(INDEX('03 Raw Data'!$K$3:$K$722,MATCH($A660,'03 Raw Data'!$J$3:$J$722,0)),""))</f>
        <v/>
      </c>
      <c r="F660" s="24">
        <f>IF($A660="","",IFERROR(INDEX('03 Raw Data'!$N$3:$N$722,MATCH($A660,'03 Raw Data'!$M$3:$M$722,0)),""))</f>
        <v/>
      </c>
      <c r="G660" s="24">
        <f>IF($A660="","",IFERROR(INDEX('03 Raw Data'!$Q$3:$Q$722,MATCH($A660,'03 Raw Data'!$P$3:$P$722,0)),""))</f>
        <v/>
      </c>
      <c r="H660" s="24">
        <f>IF($A660="","",IFERROR(INDEX('03 Raw Data'!$T$3:$T$722,MATCH($A660,'03 Raw Data'!$S$3:$S$722,0)),""))</f>
        <v/>
      </c>
    </row>
    <row r="661">
      <c r="A661" s="23">
        <f>IFERROR(IF(OR('03 Raw Data'!A659="",'03 Raw Data'!A659=0),"",'03 Raw Data'!A659),"")</f>
        <v/>
      </c>
      <c r="B661" s="24">
        <f>IF($A661="","",IFERROR(INDEX('03 Raw Data'!$B$3:$B$722,MATCH($A661,'03 Raw Data'!$A$3:$A$722,0)),""))</f>
        <v/>
      </c>
      <c r="C661" s="24">
        <f>IF($A661="","",IFERROR(INDEX('03 Raw Data'!$E$3:$E$722,MATCH($A661,'03 Raw Data'!$D$3:$D$722,0)),""))</f>
        <v/>
      </c>
      <c r="D661" s="24">
        <f>IF($A661="","",IFERROR(INDEX('03 Raw Data'!$H$3:$H$722,MATCH($A661,'03 Raw Data'!$G$3:$G$722,0)),""))</f>
        <v/>
      </c>
      <c r="E661" s="24">
        <f>IF($A661="","",IFERROR(INDEX('03 Raw Data'!$K$3:$K$722,MATCH($A661,'03 Raw Data'!$J$3:$J$722,0)),""))</f>
        <v/>
      </c>
      <c r="F661" s="24">
        <f>IF($A661="","",IFERROR(INDEX('03 Raw Data'!$N$3:$N$722,MATCH($A661,'03 Raw Data'!$M$3:$M$722,0)),""))</f>
        <v/>
      </c>
      <c r="G661" s="24">
        <f>IF($A661="","",IFERROR(INDEX('03 Raw Data'!$Q$3:$Q$722,MATCH($A661,'03 Raw Data'!$P$3:$P$722,0)),""))</f>
        <v/>
      </c>
      <c r="H661" s="24">
        <f>IF($A661="","",IFERROR(INDEX('03 Raw Data'!$T$3:$T$722,MATCH($A661,'03 Raw Data'!$S$3:$S$722,0)),""))</f>
        <v/>
      </c>
    </row>
    <row r="662">
      <c r="A662" s="23">
        <f>IFERROR(IF(OR('03 Raw Data'!A660="",'03 Raw Data'!A660=0),"",'03 Raw Data'!A660),"")</f>
        <v/>
      </c>
      <c r="B662" s="24">
        <f>IF($A662="","",IFERROR(INDEX('03 Raw Data'!$B$3:$B$722,MATCH($A662,'03 Raw Data'!$A$3:$A$722,0)),""))</f>
        <v/>
      </c>
      <c r="C662" s="24">
        <f>IF($A662="","",IFERROR(INDEX('03 Raw Data'!$E$3:$E$722,MATCH($A662,'03 Raw Data'!$D$3:$D$722,0)),""))</f>
        <v/>
      </c>
      <c r="D662" s="24">
        <f>IF($A662="","",IFERROR(INDEX('03 Raw Data'!$H$3:$H$722,MATCH($A662,'03 Raw Data'!$G$3:$G$722,0)),""))</f>
        <v/>
      </c>
      <c r="E662" s="24">
        <f>IF($A662="","",IFERROR(INDEX('03 Raw Data'!$K$3:$K$722,MATCH($A662,'03 Raw Data'!$J$3:$J$722,0)),""))</f>
        <v/>
      </c>
      <c r="F662" s="24">
        <f>IF($A662="","",IFERROR(INDEX('03 Raw Data'!$N$3:$N$722,MATCH($A662,'03 Raw Data'!$M$3:$M$722,0)),""))</f>
        <v/>
      </c>
      <c r="G662" s="24">
        <f>IF($A662="","",IFERROR(INDEX('03 Raw Data'!$Q$3:$Q$722,MATCH($A662,'03 Raw Data'!$P$3:$P$722,0)),""))</f>
        <v/>
      </c>
      <c r="H662" s="24">
        <f>IF($A662="","",IFERROR(INDEX('03 Raw Data'!$T$3:$T$722,MATCH($A662,'03 Raw Data'!$S$3:$S$722,0)),""))</f>
        <v/>
      </c>
    </row>
    <row r="663">
      <c r="A663" s="23">
        <f>IFERROR(IF(OR('03 Raw Data'!A661="",'03 Raw Data'!A661=0),"",'03 Raw Data'!A661),"")</f>
        <v/>
      </c>
      <c r="B663" s="24">
        <f>IF($A663="","",IFERROR(INDEX('03 Raw Data'!$B$3:$B$722,MATCH($A663,'03 Raw Data'!$A$3:$A$722,0)),""))</f>
        <v/>
      </c>
      <c r="C663" s="24">
        <f>IF($A663="","",IFERROR(INDEX('03 Raw Data'!$E$3:$E$722,MATCH($A663,'03 Raw Data'!$D$3:$D$722,0)),""))</f>
        <v/>
      </c>
      <c r="D663" s="24">
        <f>IF($A663="","",IFERROR(INDEX('03 Raw Data'!$H$3:$H$722,MATCH($A663,'03 Raw Data'!$G$3:$G$722,0)),""))</f>
        <v/>
      </c>
      <c r="E663" s="24">
        <f>IF($A663="","",IFERROR(INDEX('03 Raw Data'!$K$3:$K$722,MATCH($A663,'03 Raw Data'!$J$3:$J$722,0)),""))</f>
        <v/>
      </c>
      <c r="F663" s="24">
        <f>IF($A663="","",IFERROR(INDEX('03 Raw Data'!$N$3:$N$722,MATCH($A663,'03 Raw Data'!$M$3:$M$722,0)),""))</f>
        <v/>
      </c>
      <c r="G663" s="24">
        <f>IF($A663="","",IFERROR(INDEX('03 Raw Data'!$Q$3:$Q$722,MATCH($A663,'03 Raw Data'!$P$3:$P$722,0)),""))</f>
        <v/>
      </c>
      <c r="H663" s="24">
        <f>IF($A663="","",IFERROR(INDEX('03 Raw Data'!$T$3:$T$722,MATCH($A663,'03 Raw Data'!$S$3:$S$722,0)),""))</f>
        <v/>
      </c>
    </row>
    <row r="664">
      <c r="A664" s="23">
        <f>IFERROR(IF(OR('03 Raw Data'!A662="",'03 Raw Data'!A662=0),"",'03 Raw Data'!A662),"")</f>
        <v/>
      </c>
      <c r="B664" s="24">
        <f>IF($A664="","",IFERROR(INDEX('03 Raw Data'!$B$3:$B$722,MATCH($A664,'03 Raw Data'!$A$3:$A$722,0)),""))</f>
        <v/>
      </c>
      <c r="C664" s="24">
        <f>IF($A664="","",IFERROR(INDEX('03 Raw Data'!$E$3:$E$722,MATCH($A664,'03 Raw Data'!$D$3:$D$722,0)),""))</f>
        <v/>
      </c>
      <c r="D664" s="24">
        <f>IF($A664="","",IFERROR(INDEX('03 Raw Data'!$H$3:$H$722,MATCH($A664,'03 Raw Data'!$G$3:$G$722,0)),""))</f>
        <v/>
      </c>
      <c r="E664" s="24">
        <f>IF($A664="","",IFERROR(INDEX('03 Raw Data'!$K$3:$K$722,MATCH($A664,'03 Raw Data'!$J$3:$J$722,0)),""))</f>
        <v/>
      </c>
      <c r="F664" s="24">
        <f>IF($A664="","",IFERROR(INDEX('03 Raw Data'!$N$3:$N$722,MATCH($A664,'03 Raw Data'!$M$3:$M$722,0)),""))</f>
        <v/>
      </c>
      <c r="G664" s="24">
        <f>IF($A664="","",IFERROR(INDEX('03 Raw Data'!$Q$3:$Q$722,MATCH($A664,'03 Raw Data'!$P$3:$P$722,0)),""))</f>
        <v/>
      </c>
      <c r="H664" s="24">
        <f>IF($A664="","",IFERROR(INDEX('03 Raw Data'!$T$3:$T$722,MATCH($A664,'03 Raw Data'!$S$3:$S$722,0)),""))</f>
        <v/>
      </c>
    </row>
    <row r="665">
      <c r="A665" s="23">
        <f>IFERROR(IF(OR('03 Raw Data'!A663="",'03 Raw Data'!A663=0),"",'03 Raw Data'!A663),"")</f>
        <v/>
      </c>
      <c r="B665" s="24">
        <f>IF($A665="","",IFERROR(INDEX('03 Raw Data'!$B$3:$B$722,MATCH($A665,'03 Raw Data'!$A$3:$A$722,0)),""))</f>
        <v/>
      </c>
      <c r="C665" s="24">
        <f>IF($A665="","",IFERROR(INDEX('03 Raw Data'!$E$3:$E$722,MATCH($A665,'03 Raw Data'!$D$3:$D$722,0)),""))</f>
        <v/>
      </c>
      <c r="D665" s="24">
        <f>IF($A665="","",IFERROR(INDEX('03 Raw Data'!$H$3:$H$722,MATCH($A665,'03 Raw Data'!$G$3:$G$722,0)),""))</f>
        <v/>
      </c>
      <c r="E665" s="24">
        <f>IF($A665="","",IFERROR(INDEX('03 Raw Data'!$K$3:$K$722,MATCH($A665,'03 Raw Data'!$J$3:$J$722,0)),""))</f>
        <v/>
      </c>
      <c r="F665" s="24">
        <f>IF($A665="","",IFERROR(INDEX('03 Raw Data'!$N$3:$N$722,MATCH($A665,'03 Raw Data'!$M$3:$M$722,0)),""))</f>
        <v/>
      </c>
      <c r="G665" s="24">
        <f>IF($A665="","",IFERROR(INDEX('03 Raw Data'!$Q$3:$Q$722,MATCH($A665,'03 Raw Data'!$P$3:$P$722,0)),""))</f>
        <v/>
      </c>
      <c r="H665" s="24">
        <f>IF($A665="","",IFERROR(INDEX('03 Raw Data'!$T$3:$T$722,MATCH($A665,'03 Raw Data'!$S$3:$S$722,0)),""))</f>
        <v/>
      </c>
    </row>
    <row r="666">
      <c r="A666" s="23">
        <f>IFERROR(IF(OR('03 Raw Data'!A664="",'03 Raw Data'!A664=0),"",'03 Raw Data'!A664),"")</f>
        <v/>
      </c>
      <c r="B666" s="24">
        <f>IF($A666="","",IFERROR(INDEX('03 Raw Data'!$B$3:$B$722,MATCH($A666,'03 Raw Data'!$A$3:$A$722,0)),""))</f>
        <v/>
      </c>
      <c r="C666" s="24">
        <f>IF($A666="","",IFERROR(INDEX('03 Raw Data'!$E$3:$E$722,MATCH($A666,'03 Raw Data'!$D$3:$D$722,0)),""))</f>
        <v/>
      </c>
      <c r="D666" s="24">
        <f>IF($A666="","",IFERROR(INDEX('03 Raw Data'!$H$3:$H$722,MATCH($A666,'03 Raw Data'!$G$3:$G$722,0)),""))</f>
        <v/>
      </c>
      <c r="E666" s="24">
        <f>IF($A666="","",IFERROR(INDEX('03 Raw Data'!$K$3:$K$722,MATCH($A666,'03 Raw Data'!$J$3:$J$722,0)),""))</f>
        <v/>
      </c>
      <c r="F666" s="24">
        <f>IF($A666="","",IFERROR(INDEX('03 Raw Data'!$N$3:$N$722,MATCH($A666,'03 Raw Data'!$M$3:$M$722,0)),""))</f>
        <v/>
      </c>
      <c r="G666" s="24">
        <f>IF($A666="","",IFERROR(INDEX('03 Raw Data'!$Q$3:$Q$722,MATCH($A666,'03 Raw Data'!$P$3:$P$722,0)),""))</f>
        <v/>
      </c>
      <c r="H666" s="24">
        <f>IF($A666="","",IFERROR(INDEX('03 Raw Data'!$T$3:$T$722,MATCH($A666,'03 Raw Data'!$S$3:$S$722,0)),""))</f>
        <v/>
      </c>
    </row>
    <row r="667">
      <c r="A667" s="23">
        <f>IFERROR(IF(OR('03 Raw Data'!A665="",'03 Raw Data'!A665=0),"",'03 Raw Data'!A665),"")</f>
        <v/>
      </c>
      <c r="B667" s="24">
        <f>IF($A667="","",IFERROR(INDEX('03 Raw Data'!$B$3:$B$722,MATCH($A667,'03 Raw Data'!$A$3:$A$722,0)),""))</f>
        <v/>
      </c>
      <c r="C667" s="24">
        <f>IF($A667="","",IFERROR(INDEX('03 Raw Data'!$E$3:$E$722,MATCH($A667,'03 Raw Data'!$D$3:$D$722,0)),""))</f>
        <v/>
      </c>
      <c r="D667" s="24">
        <f>IF($A667="","",IFERROR(INDEX('03 Raw Data'!$H$3:$H$722,MATCH($A667,'03 Raw Data'!$G$3:$G$722,0)),""))</f>
        <v/>
      </c>
      <c r="E667" s="24">
        <f>IF($A667="","",IFERROR(INDEX('03 Raw Data'!$K$3:$K$722,MATCH($A667,'03 Raw Data'!$J$3:$J$722,0)),""))</f>
        <v/>
      </c>
      <c r="F667" s="24">
        <f>IF($A667="","",IFERROR(INDEX('03 Raw Data'!$N$3:$N$722,MATCH($A667,'03 Raw Data'!$M$3:$M$722,0)),""))</f>
        <v/>
      </c>
      <c r="G667" s="24">
        <f>IF($A667="","",IFERROR(INDEX('03 Raw Data'!$Q$3:$Q$722,MATCH($A667,'03 Raw Data'!$P$3:$P$722,0)),""))</f>
        <v/>
      </c>
      <c r="H667" s="24">
        <f>IF($A667="","",IFERROR(INDEX('03 Raw Data'!$T$3:$T$722,MATCH($A667,'03 Raw Data'!$S$3:$S$722,0)),""))</f>
        <v/>
      </c>
    </row>
    <row r="668">
      <c r="A668" s="23">
        <f>IFERROR(IF(OR('03 Raw Data'!A666="",'03 Raw Data'!A666=0),"",'03 Raw Data'!A666),"")</f>
        <v/>
      </c>
      <c r="B668" s="24">
        <f>IF($A668="","",IFERROR(INDEX('03 Raw Data'!$B$3:$B$722,MATCH($A668,'03 Raw Data'!$A$3:$A$722,0)),""))</f>
        <v/>
      </c>
      <c r="C668" s="24">
        <f>IF($A668="","",IFERROR(INDEX('03 Raw Data'!$E$3:$E$722,MATCH($A668,'03 Raw Data'!$D$3:$D$722,0)),""))</f>
        <v/>
      </c>
      <c r="D668" s="24">
        <f>IF($A668="","",IFERROR(INDEX('03 Raw Data'!$H$3:$H$722,MATCH($A668,'03 Raw Data'!$G$3:$G$722,0)),""))</f>
        <v/>
      </c>
      <c r="E668" s="24">
        <f>IF($A668="","",IFERROR(INDEX('03 Raw Data'!$K$3:$K$722,MATCH($A668,'03 Raw Data'!$J$3:$J$722,0)),""))</f>
        <v/>
      </c>
      <c r="F668" s="24">
        <f>IF($A668="","",IFERROR(INDEX('03 Raw Data'!$N$3:$N$722,MATCH($A668,'03 Raw Data'!$M$3:$M$722,0)),""))</f>
        <v/>
      </c>
      <c r="G668" s="24">
        <f>IF($A668="","",IFERROR(INDEX('03 Raw Data'!$Q$3:$Q$722,MATCH($A668,'03 Raw Data'!$P$3:$P$722,0)),""))</f>
        <v/>
      </c>
      <c r="H668" s="24">
        <f>IF($A668="","",IFERROR(INDEX('03 Raw Data'!$T$3:$T$722,MATCH($A668,'03 Raw Data'!$S$3:$S$722,0)),""))</f>
        <v/>
      </c>
    </row>
    <row r="669">
      <c r="A669" s="23">
        <f>IFERROR(IF(OR('03 Raw Data'!A667="",'03 Raw Data'!A667=0),"",'03 Raw Data'!A667),"")</f>
        <v/>
      </c>
      <c r="B669" s="24">
        <f>IF($A669="","",IFERROR(INDEX('03 Raw Data'!$B$3:$B$722,MATCH($A669,'03 Raw Data'!$A$3:$A$722,0)),""))</f>
        <v/>
      </c>
      <c r="C669" s="24">
        <f>IF($A669="","",IFERROR(INDEX('03 Raw Data'!$E$3:$E$722,MATCH($A669,'03 Raw Data'!$D$3:$D$722,0)),""))</f>
        <v/>
      </c>
      <c r="D669" s="24">
        <f>IF($A669="","",IFERROR(INDEX('03 Raw Data'!$H$3:$H$722,MATCH($A669,'03 Raw Data'!$G$3:$G$722,0)),""))</f>
        <v/>
      </c>
      <c r="E669" s="24">
        <f>IF($A669="","",IFERROR(INDEX('03 Raw Data'!$K$3:$K$722,MATCH($A669,'03 Raw Data'!$J$3:$J$722,0)),""))</f>
        <v/>
      </c>
      <c r="F669" s="24">
        <f>IF($A669="","",IFERROR(INDEX('03 Raw Data'!$N$3:$N$722,MATCH($A669,'03 Raw Data'!$M$3:$M$722,0)),""))</f>
        <v/>
      </c>
      <c r="G669" s="24">
        <f>IF($A669="","",IFERROR(INDEX('03 Raw Data'!$Q$3:$Q$722,MATCH($A669,'03 Raw Data'!$P$3:$P$722,0)),""))</f>
        <v/>
      </c>
      <c r="H669" s="24">
        <f>IF($A669="","",IFERROR(INDEX('03 Raw Data'!$T$3:$T$722,MATCH($A669,'03 Raw Data'!$S$3:$S$722,0)),""))</f>
        <v/>
      </c>
    </row>
    <row r="670">
      <c r="A670" s="23">
        <f>IFERROR(IF(OR('03 Raw Data'!A668="",'03 Raw Data'!A668=0),"",'03 Raw Data'!A668),"")</f>
        <v/>
      </c>
      <c r="B670" s="24">
        <f>IF($A670="","",IFERROR(INDEX('03 Raw Data'!$B$3:$B$722,MATCH($A670,'03 Raw Data'!$A$3:$A$722,0)),""))</f>
        <v/>
      </c>
      <c r="C670" s="24">
        <f>IF($A670="","",IFERROR(INDEX('03 Raw Data'!$E$3:$E$722,MATCH($A670,'03 Raw Data'!$D$3:$D$722,0)),""))</f>
        <v/>
      </c>
      <c r="D670" s="24">
        <f>IF($A670="","",IFERROR(INDEX('03 Raw Data'!$H$3:$H$722,MATCH($A670,'03 Raw Data'!$G$3:$G$722,0)),""))</f>
        <v/>
      </c>
      <c r="E670" s="24">
        <f>IF($A670="","",IFERROR(INDEX('03 Raw Data'!$K$3:$K$722,MATCH($A670,'03 Raw Data'!$J$3:$J$722,0)),""))</f>
        <v/>
      </c>
      <c r="F670" s="24">
        <f>IF($A670="","",IFERROR(INDEX('03 Raw Data'!$N$3:$N$722,MATCH($A670,'03 Raw Data'!$M$3:$M$722,0)),""))</f>
        <v/>
      </c>
      <c r="G670" s="24">
        <f>IF($A670="","",IFERROR(INDEX('03 Raw Data'!$Q$3:$Q$722,MATCH($A670,'03 Raw Data'!$P$3:$P$722,0)),""))</f>
        <v/>
      </c>
      <c r="H670" s="24">
        <f>IF($A670="","",IFERROR(INDEX('03 Raw Data'!$T$3:$T$722,MATCH($A670,'03 Raw Data'!$S$3:$S$722,0)),""))</f>
        <v/>
      </c>
    </row>
    <row r="671">
      <c r="A671" s="23">
        <f>IFERROR(IF(OR('03 Raw Data'!A669="",'03 Raw Data'!A669=0),"",'03 Raw Data'!A669),"")</f>
        <v/>
      </c>
      <c r="B671" s="24">
        <f>IF($A671="","",IFERROR(INDEX('03 Raw Data'!$B$3:$B$722,MATCH($A671,'03 Raw Data'!$A$3:$A$722,0)),""))</f>
        <v/>
      </c>
      <c r="C671" s="24">
        <f>IF($A671="","",IFERROR(INDEX('03 Raw Data'!$E$3:$E$722,MATCH($A671,'03 Raw Data'!$D$3:$D$722,0)),""))</f>
        <v/>
      </c>
      <c r="D671" s="24">
        <f>IF($A671="","",IFERROR(INDEX('03 Raw Data'!$H$3:$H$722,MATCH($A671,'03 Raw Data'!$G$3:$G$722,0)),""))</f>
        <v/>
      </c>
      <c r="E671" s="24">
        <f>IF($A671="","",IFERROR(INDEX('03 Raw Data'!$K$3:$K$722,MATCH($A671,'03 Raw Data'!$J$3:$J$722,0)),""))</f>
        <v/>
      </c>
      <c r="F671" s="24">
        <f>IF($A671="","",IFERROR(INDEX('03 Raw Data'!$N$3:$N$722,MATCH($A671,'03 Raw Data'!$M$3:$M$722,0)),""))</f>
        <v/>
      </c>
      <c r="G671" s="24">
        <f>IF($A671="","",IFERROR(INDEX('03 Raw Data'!$Q$3:$Q$722,MATCH($A671,'03 Raw Data'!$P$3:$P$722,0)),""))</f>
        <v/>
      </c>
      <c r="H671" s="24">
        <f>IF($A671="","",IFERROR(INDEX('03 Raw Data'!$T$3:$T$722,MATCH($A671,'03 Raw Data'!$S$3:$S$722,0)),""))</f>
        <v/>
      </c>
    </row>
    <row r="672">
      <c r="A672" s="23">
        <f>IFERROR(IF(OR('03 Raw Data'!A670="",'03 Raw Data'!A670=0),"",'03 Raw Data'!A670),"")</f>
        <v/>
      </c>
      <c r="B672" s="24">
        <f>IF($A672="","",IFERROR(INDEX('03 Raw Data'!$B$3:$B$722,MATCH($A672,'03 Raw Data'!$A$3:$A$722,0)),""))</f>
        <v/>
      </c>
      <c r="C672" s="24">
        <f>IF($A672="","",IFERROR(INDEX('03 Raw Data'!$E$3:$E$722,MATCH($A672,'03 Raw Data'!$D$3:$D$722,0)),""))</f>
        <v/>
      </c>
      <c r="D672" s="24">
        <f>IF($A672="","",IFERROR(INDEX('03 Raw Data'!$H$3:$H$722,MATCH($A672,'03 Raw Data'!$G$3:$G$722,0)),""))</f>
        <v/>
      </c>
      <c r="E672" s="24">
        <f>IF($A672="","",IFERROR(INDEX('03 Raw Data'!$K$3:$K$722,MATCH($A672,'03 Raw Data'!$J$3:$J$722,0)),""))</f>
        <v/>
      </c>
      <c r="F672" s="24">
        <f>IF($A672="","",IFERROR(INDEX('03 Raw Data'!$N$3:$N$722,MATCH($A672,'03 Raw Data'!$M$3:$M$722,0)),""))</f>
        <v/>
      </c>
      <c r="G672" s="24">
        <f>IF($A672="","",IFERROR(INDEX('03 Raw Data'!$Q$3:$Q$722,MATCH($A672,'03 Raw Data'!$P$3:$P$722,0)),""))</f>
        <v/>
      </c>
      <c r="H672" s="24">
        <f>IF($A672="","",IFERROR(INDEX('03 Raw Data'!$T$3:$T$722,MATCH($A672,'03 Raw Data'!$S$3:$S$722,0)),""))</f>
        <v/>
      </c>
    </row>
    <row r="673">
      <c r="A673" s="23">
        <f>IFERROR(IF(OR('03 Raw Data'!A671="",'03 Raw Data'!A671=0),"",'03 Raw Data'!A671),"")</f>
        <v/>
      </c>
      <c r="B673" s="24">
        <f>IF($A673="","",IFERROR(INDEX('03 Raw Data'!$B$3:$B$722,MATCH($A673,'03 Raw Data'!$A$3:$A$722,0)),""))</f>
        <v/>
      </c>
      <c r="C673" s="24">
        <f>IF($A673="","",IFERROR(INDEX('03 Raw Data'!$E$3:$E$722,MATCH($A673,'03 Raw Data'!$D$3:$D$722,0)),""))</f>
        <v/>
      </c>
      <c r="D673" s="24">
        <f>IF($A673="","",IFERROR(INDEX('03 Raw Data'!$H$3:$H$722,MATCH($A673,'03 Raw Data'!$G$3:$G$722,0)),""))</f>
        <v/>
      </c>
      <c r="E673" s="24">
        <f>IF($A673="","",IFERROR(INDEX('03 Raw Data'!$K$3:$K$722,MATCH($A673,'03 Raw Data'!$J$3:$J$722,0)),""))</f>
        <v/>
      </c>
      <c r="F673" s="24">
        <f>IF($A673="","",IFERROR(INDEX('03 Raw Data'!$N$3:$N$722,MATCH($A673,'03 Raw Data'!$M$3:$M$722,0)),""))</f>
        <v/>
      </c>
      <c r="G673" s="24">
        <f>IF($A673="","",IFERROR(INDEX('03 Raw Data'!$Q$3:$Q$722,MATCH($A673,'03 Raw Data'!$P$3:$P$722,0)),""))</f>
        <v/>
      </c>
      <c r="H673" s="24">
        <f>IF($A673="","",IFERROR(INDEX('03 Raw Data'!$T$3:$T$722,MATCH($A673,'03 Raw Data'!$S$3:$S$722,0)),""))</f>
        <v/>
      </c>
    </row>
    <row r="674">
      <c r="A674" s="23">
        <f>IFERROR(IF(OR('03 Raw Data'!A672="",'03 Raw Data'!A672=0),"",'03 Raw Data'!A672),"")</f>
        <v/>
      </c>
      <c r="B674" s="24">
        <f>IF($A674="","",IFERROR(INDEX('03 Raw Data'!$B$3:$B$722,MATCH($A674,'03 Raw Data'!$A$3:$A$722,0)),""))</f>
        <v/>
      </c>
      <c r="C674" s="24">
        <f>IF($A674="","",IFERROR(INDEX('03 Raw Data'!$E$3:$E$722,MATCH($A674,'03 Raw Data'!$D$3:$D$722,0)),""))</f>
        <v/>
      </c>
      <c r="D674" s="24">
        <f>IF($A674="","",IFERROR(INDEX('03 Raw Data'!$H$3:$H$722,MATCH($A674,'03 Raw Data'!$G$3:$G$722,0)),""))</f>
        <v/>
      </c>
      <c r="E674" s="24">
        <f>IF($A674="","",IFERROR(INDEX('03 Raw Data'!$K$3:$K$722,MATCH($A674,'03 Raw Data'!$J$3:$J$722,0)),""))</f>
        <v/>
      </c>
      <c r="F674" s="24">
        <f>IF($A674="","",IFERROR(INDEX('03 Raw Data'!$N$3:$N$722,MATCH($A674,'03 Raw Data'!$M$3:$M$722,0)),""))</f>
        <v/>
      </c>
      <c r="G674" s="24">
        <f>IF($A674="","",IFERROR(INDEX('03 Raw Data'!$Q$3:$Q$722,MATCH($A674,'03 Raw Data'!$P$3:$P$722,0)),""))</f>
        <v/>
      </c>
      <c r="H674" s="24">
        <f>IF($A674="","",IFERROR(INDEX('03 Raw Data'!$T$3:$T$722,MATCH($A674,'03 Raw Data'!$S$3:$S$722,0)),""))</f>
        <v/>
      </c>
    </row>
    <row r="675">
      <c r="A675" s="23">
        <f>IFERROR(IF(OR('03 Raw Data'!A673="",'03 Raw Data'!A673=0),"",'03 Raw Data'!A673),"")</f>
        <v/>
      </c>
      <c r="B675" s="24">
        <f>IF($A675="","",IFERROR(INDEX('03 Raw Data'!$B$3:$B$722,MATCH($A675,'03 Raw Data'!$A$3:$A$722,0)),""))</f>
        <v/>
      </c>
      <c r="C675" s="24">
        <f>IF($A675="","",IFERROR(INDEX('03 Raw Data'!$E$3:$E$722,MATCH($A675,'03 Raw Data'!$D$3:$D$722,0)),""))</f>
        <v/>
      </c>
      <c r="D675" s="24">
        <f>IF($A675="","",IFERROR(INDEX('03 Raw Data'!$H$3:$H$722,MATCH($A675,'03 Raw Data'!$G$3:$G$722,0)),""))</f>
        <v/>
      </c>
      <c r="E675" s="24">
        <f>IF($A675="","",IFERROR(INDEX('03 Raw Data'!$K$3:$K$722,MATCH($A675,'03 Raw Data'!$J$3:$J$722,0)),""))</f>
        <v/>
      </c>
      <c r="F675" s="24">
        <f>IF($A675="","",IFERROR(INDEX('03 Raw Data'!$N$3:$N$722,MATCH($A675,'03 Raw Data'!$M$3:$M$722,0)),""))</f>
        <v/>
      </c>
      <c r="G675" s="24">
        <f>IF($A675="","",IFERROR(INDEX('03 Raw Data'!$Q$3:$Q$722,MATCH($A675,'03 Raw Data'!$P$3:$P$722,0)),""))</f>
        <v/>
      </c>
      <c r="H675" s="24">
        <f>IF($A675="","",IFERROR(INDEX('03 Raw Data'!$T$3:$T$722,MATCH($A675,'03 Raw Data'!$S$3:$S$722,0)),""))</f>
        <v/>
      </c>
    </row>
    <row r="676">
      <c r="A676" s="23">
        <f>IFERROR(IF(OR('03 Raw Data'!A674="",'03 Raw Data'!A674=0),"",'03 Raw Data'!A674),"")</f>
        <v/>
      </c>
      <c r="B676" s="24">
        <f>IF($A676="","",IFERROR(INDEX('03 Raw Data'!$B$3:$B$722,MATCH($A676,'03 Raw Data'!$A$3:$A$722,0)),""))</f>
        <v/>
      </c>
      <c r="C676" s="24">
        <f>IF($A676="","",IFERROR(INDEX('03 Raw Data'!$E$3:$E$722,MATCH($A676,'03 Raw Data'!$D$3:$D$722,0)),""))</f>
        <v/>
      </c>
      <c r="D676" s="24">
        <f>IF($A676="","",IFERROR(INDEX('03 Raw Data'!$H$3:$H$722,MATCH($A676,'03 Raw Data'!$G$3:$G$722,0)),""))</f>
        <v/>
      </c>
      <c r="E676" s="24">
        <f>IF($A676="","",IFERROR(INDEX('03 Raw Data'!$K$3:$K$722,MATCH($A676,'03 Raw Data'!$J$3:$J$722,0)),""))</f>
        <v/>
      </c>
      <c r="F676" s="24">
        <f>IF($A676="","",IFERROR(INDEX('03 Raw Data'!$N$3:$N$722,MATCH($A676,'03 Raw Data'!$M$3:$M$722,0)),""))</f>
        <v/>
      </c>
      <c r="G676" s="24">
        <f>IF($A676="","",IFERROR(INDEX('03 Raw Data'!$Q$3:$Q$722,MATCH($A676,'03 Raw Data'!$P$3:$P$722,0)),""))</f>
        <v/>
      </c>
      <c r="H676" s="24">
        <f>IF($A676="","",IFERROR(INDEX('03 Raw Data'!$T$3:$T$722,MATCH($A676,'03 Raw Data'!$S$3:$S$722,0)),""))</f>
        <v/>
      </c>
    </row>
    <row r="677">
      <c r="A677" s="23">
        <f>IFERROR(IF(OR('03 Raw Data'!A675="",'03 Raw Data'!A675=0),"",'03 Raw Data'!A675),"")</f>
        <v/>
      </c>
      <c r="B677" s="24">
        <f>IF($A677="","",IFERROR(INDEX('03 Raw Data'!$B$3:$B$722,MATCH($A677,'03 Raw Data'!$A$3:$A$722,0)),""))</f>
        <v/>
      </c>
      <c r="C677" s="24">
        <f>IF($A677="","",IFERROR(INDEX('03 Raw Data'!$E$3:$E$722,MATCH($A677,'03 Raw Data'!$D$3:$D$722,0)),""))</f>
        <v/>
      </c>
      <c r="D677" s="24">
        <f>IF($A677="","",IFERROR(INDEX('03 Raw Data'!$H$3:$H$722,MATCH($A677,'03 Raw Data'!$G$3:$G$722,0)),""))</f>
        <v/>
      </c>
      <c r="E677" s="24">
        <f>IF($A677="","",IFERROR(INDEX('03 Raw Data'!$K$3:$K$722,MATCH($A677,'03 Raw Data'!$J$3:$J$722,0)),""))</f>
        <v/>
      </c>
      <c r="F677" s="24">
        <f>IF($A677="","",IFERROR(INDEX('03 Raw Data'!$N$3:$N$722,MATCH($A677,'03 Raw Data'!$M$3:$M$722,0)),""))</f>
        <v/>
      </c>
      <c r="G677" s="24">
        <f>IF($A677="","",IFERROR(INDEX('03 Raw Data'!$Q$3:$Q$722,MATCH($A677,'03 Raw Data'!$P$3:$P$722,0)),""))</f>
        <v/>
      </c>
      <c r="H677" s="24">
        <f>IF($A677="","",IFERROR(INDEX('03 Raw Data'!$T$3:$T$722,MATCH($A677,'03 Raw Data'!$S$3:$S$722,0)),""))</f>
        <v/>
      </c>
    </row>
    <row r="678">
      <c r="A678" s="23">
        <f>IFERROR(IF(OR('03 Raw Data'!A676="",'03 Raw Data'!A676=0),"",'03 Raw Data'!A676),"")</f>
        <v/>
      </c>
      <c r="B678" s="24">
        <f>IF($A678="","",IFERROR(INDEX('03 Raw Data'!$B$3:$B$722,MATCH($A678,'03 Raw Data'!$A$3:$A$722,0)),""))</f>
        <v/>
      </c>
      <c r="C678" s="24">
        <f>IF($A678="","",IFERROR(INDEX('03 Raw Data'!$E$3:$E$722,MATCH($A678,'03 Raw Data'!$D$3:$D$722,0)),""))</f>
        <v/>
      </c>
      <c r="D678" s="24">
        <f>IF($A678="","",IFERROR(INDEX('03 Raw Data'!$H$3:$H$722,MATCH($A678,'03 Raw Data'!$G$3:$G$722,0)),""))</f>
        <v/>
      </c>
      <c r="E678" s="24">
        <f>IF($A678="","",IFERROR(INDEX('03 Raw Data'!$K$3:$K$722,MATCH($A678,'03 Raw Data'!$J$3:$J$722,0)),""))</f>
        <v/>
      </c>
      <c r="F678" s="24">
        <f>IF($A678="","",IFERROR(INDEX('03 Raw Data'!$N$3:$N$722,MATCH($A678,'03 Raw Data'!$M$3:$M$722,0)),""))</f>
        <v/>
      </c>
      <c r="G678" s="24">
        <f>IF($A678="","",IFERROR(INDEX('03 Raw Data'!$Q$3:$Q$722,MATCH($A678,'03 Raw Data'!$P$3:$P$722,0)),""))</f>
        <v/>
      </c>
      <c r="H678" s="24">
        <f>IF($A678="","",IFERROR(INDEX('03 Raw Data'!$T$3:$T$722,MATCH($A678,'03 Raw Data'!$S$3:$S$722,0)),""))</f>
        <v/>
      </c>
    </row>
    <row r="679">
      <c r="A679" s="23">
        <f>IFERROR(IF(OR('03 Raw Data'!A677="",'03 Raw Data'!A677=0),"",'03 Raw Data'!A677),"")</f>
        <v/>
      </c>
      <c r="B679" s="24">
        <f>IF($A679="","",IFERROR(INDEX('03 Raw Data'!$B$3:$B$722,MATCH($A679,'03 Raw Data'!$A$3:$A$722,0)),""))</f>
        <v/>
      </c>
      <c r="C679" s="24">
        <f>IF($A679="","",IFERROR(INDEX('03 Raw Data'!$E$3:$E$722,MATCH($A679,'03 Raw Data'!$D$3:$D$722,0)),""))</f>
        <v/>
      </c>
      <c r="D679" s="24">
        <f>IF($A679="","",IFERROR(INDEX('03 Raw Data'!$H$3:$H$722,MATCH($A679,'03 Raw Data'!$G$3:$G$722,0)),""))</f>
        <v/>
      </c>
      <c r="E679" s="24">
        <f>IF($A679="","",IFERROR(INDEX('03 Raw Data'!$K$3:$K$722,MATCH($A679,'03 Raw Data'!$J$3:$J$722,0)),""))</f>
        <v/>
      </c>
      <c r="F679" s="24">
        <f>IF($A679="","",IFERROR(INDEX('03 Raw Data'!$N$3:$N$722,MATCH($A679,'03 Raw Data'!$M$3:$M$722,0)),""))</f>
        <v/>
      </c>
      <c r="G679" s="24">
        <f>IF($A679="","",IFERROR(INDEX('03 Raw Data'!$Q$3:$Q$722,MATCH($A679,'03 Raw Data'!$P$3:$P$722,0)),""))</f>
        <v/>
      </c>
      <c r="H679" s="24">
        <f>IF($A679="","",IFERROR(INDEX('03 Raw Data'!$T$3:$T$722,MATCH($A679,'03 Raw Data'!$S$3:$S$722,0)),""))</f>
        <v/>
      </c>
    </row>
    <row r="680">
      <c r="A680" s="23">
        <f>IFERROR(IF(OR('03 Raw Data'!A678="",'03 Raw Data'!A678=0),"",'03 Raw Data'!A678),"")</f>
        <v/>
      </c>
      <c r="B680" s="24">
        <f>IF($A680="","",IFERROR(INDEX('03 Raw Data'!$B$3:$B$722,MATCH($A680,'03 Raw Data'!$A$3:$A$722,0)),""))</f>
        <v/>
      </c>
      <c r="C680" s="24">
        <f>IF($A680="","",IFERROR(INDEX('03 Raw Data'!$E$3:$E$722,MATCH($A680,'03 Raw Data'!$D$3:$D$722,0)),""))</f>
        <v/>
      </c>
      <c r="D680" s="24">
        <f>IF($A680="","",IFERROR(INDEX('03 Raw Data'!$H$3:$H$722,MATCH($A680,'03 Raw Data'!$G$3:$G$722,0)),""))</f>
        <v/>
      </c>
      <c r="E680" s="24">
        <f>IF($A680="","",IFERROR(INDEX('03 Raw Data'!$K$3:$K$722,MATCH($A680,'03 Raw Data'!$J$3:$J$722,0)),""))</f>
        <v/>
      </c>
      <c r="F680" s="24">
        <f>IF($A680="","",IFERROR(INDEX('03 Raw Data'!$N$3:$N$722,MATCH($A680,'03 Raw Data'!$M$3:$M$722,0)),""))</f>
        <v/>
      </c>
      <c r="G680" s="24">
        <f>IF($A680="","",IFERROR(INDEX('03 Raw Data'!$Q$3:$Q$722,MATCH($A680,'03 Raw Data'!$P$3:$P$722,0)),""))</f>
        <v/>
      </c>
      <c r="H680" s="24">
        <f>IF($A680="","",IFERROR(INDEX('03 Raw Data'!$T$3:$T$722,MATCH($A680,'03 Raw Data'!$S$3:$S$722,0)),""))</f>
        <v/>
      </c>
    </row>
    <row r="681">
      <c r="A681" s="23">
        <f>IFERROR(IF(OR('03 Raw Data'!A679="",'03 Raw Data'!A679=0),"",'03 Raw Data'!A679),"")</f>
        <v/>
      </c>
      <c r="B681" s="24">
        <f>IF($A681="","",IFERROR(INDEX('03 Raw Data'!$B$3:$B$722,MATCH($A681,'03 Raw Data'!$A$3:$A$722,0)),""))</f>
        <v/>
      </c>
      <c r="C681" s="24">
        <f>IF($A681="","",IFERROR(INDEX('03 Raw Data'!$E$3:$E$722,MATCH($A681,'03 Raw Data'!$D$3:$D$722,0)),""))</f>
        <v/>
      </c>
      <c r="D681" s="24">
        <f>IF($A681="","",IFERROR(INDEX('03 Raw Data'!$H$3:$H$722,MATCH($A681,'03 Raw Data'!$G$3:$G$722,0)),""))</f>
        <v/>
      </c>
      <c r="E681" s="24">
        <f>IF($A681="","",IFERROR(INDEX('03 Raw Data'!$K$3:$K$722,MATCH($A681,'03 Raw Data'!$J$3:$J$722,0)),""))</f>
        <v/>
      </c>
      <c r="F681" s="24">
        <f>IF($A681="","",IFERROR(INDEX('03 Raw Data'!$N$3:$N$722,MATCH($A681,'03 Raw Data'!$M$3:$M$722,0)),""))</f>
        <v/>
      </c>
      <c r="G681" s="24">
        <f>IF($A681="","",IFERROR(INDEX('03 Raw Data'!$Q$3:$Q$722,MATCH($A681,'03 Raw Data'!$P$3:$P$722,0)),""))</f>
        <v/>
      </c>
      <c r="H681" s="24">
        <f>IF($A681="","",IFERROR(INDEX('03 Raw Data'!$T$3:$T$722,MATCH($A681,'03 Raw Data'!$S$3:$S$722,0)),""))</f>
        <v/>
      </c>
    </row>
    <row r="682">
      <c r="A682" s="23">
        <f>IFERROR(IF(OR('03 Raw Data'!A680="",'03 Raw Data'!A680=0),"",'03 Raw Data'!A680),"")</f>
        <v/>
      </c>
      <c r="B682" s="24">
        <f>IF($A682="","",IFERROR(INDEX('03 Raw Data'!$B$3:$B$722,MATCH($A682,'03 Raw Data'!$A$3:$A$722,0)),""))</f>
        <v/>
      </c>
      <c r="C682" s="24">
        <f>IF($A682="","",IFERROR(INDEX('03 Raw Data'!$E$3:$E$722,MATCH($A682,'03 Raw Data'!$D$3:$D$722,0)),""))</f>
        <v/>
      </c>
      <c r="D682" s="24">
        <f>IF($A682="","",IFERROR(INDEX('03 Raw Data'!$H$3:$H$722,MATCH($A682,'03 Raw Data'!$G$3:$G$722,0)),""))</f>
        <v/>
      </c>
      <c r="E682" s="24">
        <f>IF($A682="","",IFERROR(INDEX('03 Raw Data'!$K$3:$K$722,MATCH($A682,'03 Raw Data'!$J$3:$J$722,0)),""))</f>
        <v/>
      </c>
      <c r="F682" s="24">
        <f>IF($A682="","",IFERROR(INDEX('03 Raw Data'!$N$3:$N$722,MATCH($A682,'03 Raw Data'!$M$3:$M$722,0)),""))</f>
        <v/>
      </c>
      <c r="G682" s="24">
        <f>IF($A682="","",IFERROR(INDEX('03 Raw Data'!$Q$3:$Q$722,MATCH($A682,'03 Raw Data'!$P$3:$P$722,0)),""))</f>
        <v/>
      </c>
      <c r="H682" s="24">
        <f>IF($A682="","",IFERROR(INDEX('03 Raw Data'!$T$3:$T$722,MATCH($A682,'03 Raw Data'!$S$3:$S$722,0)),""))</f>
        <v/>
      </c>
    </row>
    <row r="683">
      <c r="A683" s="23">
        <f>IFERROR(IF(OR('03 Raw Data'!A681="",'03 Raw Data'!A681=0),"",'03 Raw Data'!A681),"")</f>
        <v/>
      </c>
      <c r="B683" s="24">
        <f>IF($A683="","",IFERROR(INDEX('03 Raw Data'!$B$3:$B$722,MATCH($A683,'03 Raw Data'!$A$3:$A$722,0)),""))</f>
        <v/>
      </c>
      <c r="C683" s="24">
        <f>IF($A683="","",IFERROR(INDEX('03 Raw Data'!$E$3:$E$722,MATCH($A683,'03 Raw Data'!$D$3:$D$722,0)),""))</f>
        <v/>
      </c>
      <c r="D683" s="24">
        <f>IF($A683="","",IFERROR(INDEX('03 Raw Data'!$H$3:$H$722,MATCH($A683,'03 Raw Data'!$G$3:$G$722,0)),""))</f>
        <v/>
      </c>
      <c r="E683" s="24">
        <f>IF($A683="","",IFERROR(INDEX('03 Raw Data'!$K$3:$K$722,MATCH($A683,'03 Raw Data'!$J$3:$J$722,0)),""))</f>
        <v/>
      </c>
      <c r="F683" s="24">
        <f>IF($A683="","",IFERROR(INDEX('03 Raw Data'!$N$3:$N$722,MATCH($A683,'03 Raw Data'!$M$3:$M$722,0)),""))</f>
        <v/>
      </c>
      <c r="G683" s="24">
        <f>IF($A683="","",IFERROR(INDEX('03 Raw Data'!$Q$3:$Q$722,MATCH($A683,'03 Raw Data'!$P$3:$P$722,0)),""))</f>
        <v/>
      </c>
      <c r="H683" s="24">
        <f>IF($A683="","",IFERROR(INDEX('03 Raw Data'!$T$3:$T$722,MATCH($A683,'03 Raw Data'!$S$3:$S$722,0)),""))</f>
        <v/>
      </c>
    </row>
    <row r="684">
      <c r="A684" s="23">
        <f>IFERROR(IF(OR('03 Raw Data'!A682="",'03 Raw Data'!A682=0),"",'03 Raw Data'!A682),"")</f>
        <v/>
      </c>
      <c r="B684" s="24">
        <f>IF($A684="","",IFERROR(INDEX('03 Raw Data'!$B$3:$B$722,MATCH($A684,'03 Raw Data'!$A$3:$A$722,0)),""))</f>
        <v/>
      </c>
      <c r="C684" s="24">
        <f>IF($A684="","",IFERROR(INDEX('03 Raw Data'!$E$3:$E$722,MATCH($A684,'03 Raw Data'!$D$3:$D$722,0)),""))</f>
        <v/>
      </c>
      <c r="D684" s="24">
        <f>IF($A684="","",IFERROR(INDEX('03 Raw Data'!$H$3:$H$722,MATCH($A684,'03 Raw Data'!$G$3:$G$722,0)),""))</f>
        <v/>
      </c>
      <c r="E684" s="24">
        <f>IF($A684="","",IFERROR(INDEX('03 Raw Data'!$K$3:$K$722,MATCH($A684,'03 Raw Data'!$J$3:$J$722,0)),""))</f>
        <v/>
      </c>
      <c r="F684" s="24">
        <f>IF($A684="","",IFERROR(INDEX('03 Raw Data'!$N$3:$N$722,MATCH($A684,'03 Raw Data'!$M$3:$M$722,0)),""))</f>
        <v/>
      </c>
      <c r="G684" s="24">
        <f>IF($A684="","",IFERROR(INDEX('03 Raw Data'!$Q$3:$Q$722,MATCH($A684,'03 Raw Data'!$P$3:$P$722,0)),""))</f>
        <v/>
      </c>
      <c r="H684" s="24">
        <f>IF($A684="","",IFERROR(INDEX('03 Raw Data'!$T$3:$T$722,MATCH($A684,'03 Raw Data'!$S$3:$S$722,0)),""))</f>
        <v/>
      </c>
    </row>
    <row r="685">
      <c r="A685" s="23">
        <f>IFERROR(IF(OR('03 Raw Data'!A683="",'03 Raw Data'!A683=0),"",'03 Raw Data'!A683),"")</f>
        <v/>
      </c>
      <c r="B685" s="24">
        <f>IF($A685="","",IFERROR(INDEX('03 Raw Data'!$B$3:$B$722,MATCH($A685,'03 Raw Data'!$A$3:$A$722,0)),""))</f>
        <v/>
      </c>
      <c r="C685" s="24">
        <f>IF($A685="","",IFERROR(INDEX('03 Raw Data'!$E$3:$E$722,MATCH($A685,'03 Raw Data'!$D$3:$D$722,0)),""))</f>
        <v/>
      </c>
      <c r="D685" s="24">
        <f>IF($A685="","",IFERROR(INDEX('03 Raw Data'!$H$3:$H$722,MATCH($A685,'03 Raw Data'!$G$3:$G$722,0)),""))</f>
        <v/>
      </c>
      <c r="E685" s="24">
        <f>IF($A685="","",IFERROR(INDEX('03 Raw Data'!$K$3:$K$722,MATCH($A685,'03 Raw Data'!$J$3:$J$722,0)),""))</f>
        <v/>
      </c>
      <c r="F685" s="24">
        <f>IF($A685="","",IFERROR(INDEX('03 Raw Data'!$N$3:$N$722,MATCH($A685,'03 Raw Data'!$M$3:$M$722,0)),""))</f>
        <v/>
      </c>
      <c r="G685" s="24">
        <f>IF($A685="","",IFERROR(INDEX('03 Raw Data'!$Q$3:$Q$722,MATCH($A685,'03 Raw Data'!$P$3:$P$722,0)),""))</f>
        <v/>
      </c>
      <c r="H685" s="24">
        <f>IF($A685="","",IFERROR(INDEX('03 Raw Data'!$T$3:$T$722,MATCH($A685,'03 Raw Data'!$S$3:$S$722,0)),""))</f>
        <v/>
      </c>
    </row>
    <row r="686">
      <c r="A686" s="23">
        <f>IFERROR(IF(OR('03 Raw Data'!A684="",'03 Raw Data'!A684=0),"",'03 Raw Data'!A684),"")</f>
        <v/>
      </c>
      <c r="B686" s="24">
        <f>IF($A686="","",IFERROR(INDEX('03 Raw Data'!$B$3:$B$722,MATCH($A686,'03 Raw Data'!$A$3:$A$722,0)),""))</f>
        <v/>
      </c>
      <c r="C686" s="24">
        <f>IF($A686="","",IFERROR(INDEX('03 Raw Data'!$E$3:$E$722,MATCH($A686,'03 Raw Data'!$D$3:$D$722,0)),""))</f>
        <v/>
      </c>
      <c r="D686" s="24">
        <f>IF($A686="","",IFERROR(INDEX('03 Raw Data'!$H$3:$H$722,MATCH($A686,'03 Raw Data'!$G$3:$G$722,0)),""))</f>
        <v/>
      </c>
      <c r="E686" s="24">
        <f>IF($A686="","",IFERROR(INDEX('03 Raw Data'!$K$3:$K$722,MATCH($A686,'03 Raw Data'!$J$3:$J$722,0)),""))</f>
        <v/>
      </c>
      <c r="F686" s="24">
        <f>IF($A686="","",IFERROR(INDEX('03 Raw Data'!$N$3:$N$722,MATCH($A686,'03 Raw Data'!$M$3:$M$722,0)),""))</f>
        <v/>
      </c>
      <c r="G686" s="24">
        <f>IF($A686="","",IFERROR(INDEX('03 Raw Data'!$Q$3:$Q$722,MATCH($A686,'03 Raw Data'!$P$3:$P$722,0)),""))</f>
        <v/>
      </c>
      <c r="H686" s="24">
        <f>IF($A686="","",IFERROR(INDEX('03 Raw Data'!$T$3:$T$722,MATCH($A686,'03 Raw Data'!$S$3:$S$722,0)),""))</f>
        <v/>
      </c>
    </row>
    <row r="687">
      <c r="A687" s="23">
        <f>IFERROR(IF(OR('03 Raw Data'!A685="",'03 Raw Data'!A685=0),"",'03 Raw Data'!A685),"")</f>
        <v/>
      </c>
      <c r="B687" s="24">
        <f>IF($A687="","",IFERROR(INDEX('03 Raw Data'!$B$3:$B$722,MATCH($A687,'03 Raw Data'!$A$3:$A$722,0)),""))</f>
        <v/>
      </c>
      <c r="C687" s="24">
        <f>IF($A687="","",IFERROR(INDEX('03 Raw Data'!$E$3:$E$722,MATCH($A687,'03 Raw Data'!$D$3:$D$722,0)),""))</f>
        <v/>
      </c>
      <c r="D687" s="24">
        <f>IF($A687="","",IFERROR(INDEX('03 Raw Data'!$H$3:$H$722,MATCH($A687,'03 Raw Data'!$G$3:$G$722,0)),""))</f>
        <v/>
      </c>
      <c r="E687" s="24">
        <f>IF($A687="","",IFERROR(INDEX('03 Raw Data'!$K$3:$K$722,MATCH($A687,'03 Raw Data'!$J$3:$J$722,0)),""))</f>
        <v/>
      </c>
      <c r="F687" s="24">
        <f>IF($A687="","",IFERROR(INDEX('03 Raw Data'!$N$3:$N$722,MATCH($A687,'03 Raw Data'!$M$3:$M$722,0)),""))</f>
        <v/>
      </c>
      <c r="G687" s="24">
        <f>IF($A687="","",IFERROR(INDEX('03 Raw Data'!$Q$3:$Q$722,MATCH($A687,'03 Raw Data'!$P$3:$P$722,0)),""))</f>
        <v/>
      </c>
      <c r="H687" s="24">
        <f>IF($A687="","",IFERROR(INDEX('03 Raw Data'!$T$3:$T$722,MATCH($A687,'03 Raw Data'!$S$3:$S$722,0)),""))</f>
        <v/>
      </c>
    </row>
    <row r="688">
      <c r="A688" s="23">
        <f>IFERROR(IF(OR('03 Raw Data'!A686="",'03 Raw Data'!A686=0),"",'03 Raw Data'!A686),"")</f>
        <v/>
      </c>
      <c r="B688" s="24">
        <f>IF($A688="","",IFERROR(INDEX('03 Raw Data'!$B$3:$B$722,MATCH($A688,'03 Raw Data'!$A$3:$A$722,0)),""))</f>
        <v/>
      </c>
      <c r="C688" s="24">
        <f>IF($A688="","",IFERROR(INDEX('03 Raw Data'!$E$3:$E$722,MATCH($A688,'03 Raw Data'!$D$3:$D$722,0)),""))</f>
        <v/>
      </c>
      <c r="D688" s="24">
        <f>IF($A688="","",IFERROR(INDEX('03 Raw Data'!$H$3:$H$722,MATCH($A688,'03 Raw Data'!$G$3:$G$722,0)),""))</f>
        <v/>
      </c>
      <c r="E688" s="24">
        <f>IF($A688="","",IFERROR(INDEX('03 Raw Data'!$K$3:$K$722,MATCH($A688,'03 Raw Data'!$J$3:$J$722,0)),""))</f>
        <v/>
      </c>
      <c r="F688" s="24">
        <f>IF($A688="","",IFERROR(INDEX('03 Raw Data'!$N$3:$N$722,MATCH($A688,'03 Raw Data'!$M$3:$M$722,0)),""))</f>
        <v/>
      </c>
      <c r="G688" s="24">
        <f>IF($A688="","",IFERROR(INDEX('03 Raw Data'!$Q$3:$Q$722,MATCH($A688,'03 Raw Data'!$P$3:$P$722,0)),""))</f>
        <v/>
      </c>
      <c r="H688" s="24">
        <f>IF($A688="","",IFERROR(INDEX('03 Raw Data'!$T$3:$T$722,MATCH($A688,'03 Raw Data'!$S$3:$S$722,0)),""))</f>
        <v/>
      </c>
    </row>
    <row r="689">
      <c r="A689" s="23">
        <f>IFERROR(IF(OR('03 Raw Data'!A687="",'03 Raw Data'!A687=0),"",'03 Raw Data'!A687),"")</f>
        <v/>
      </c>
      <c r="B689" s="24">
        <f>IF($A689="","",IFERROR(INDEX('03 Raw Data'!$B$3:$B$722,MATCH($A689,'03 Raw Data'!$A$3:$A$722,0)),""))</f>
        <v/>
      </c>
      <c r="C689" s="24">
        <f>IF($A689="","",IFERROR(INDEX('03 Raw Data'!$E$3:$E$722,MATCH($A689,'03 Raw Data'!$D$3:$D$722,0)),""))</f>
        <v/>
      </c>
      <c r="D689" s="24">
        <f>IF($A689="","",IFERROR(INDEX('03 Raw Data'!$H$3:$H$722,MATCH($A689,'03 Raw Data'!$G$3:$G$722,0)),""))</f>
        <v/>
      </c>
      <c r="E689" s="24">
        <f>IF($A689="","",IFERROR(INDEX('03 Raw Data'!$K$3:$K$722,MATCH($A689,'03 Raw Data'!$J$3:$J$722,0)),""))</f>
        <v/>
      </c>
      <c r="F689" s="24">
        <f>IF($A689="","",IFERROR(INDEX('03 Raw Data'!$N$3:$N$722,MATCH($A689,'03 Raw Data'!$M$3:$M$722,0)),""))</f>
        <v/>
      </c>
      <c r="G689" s="24">
        <f>IF($A689="","",IFERROR(INDEX('03 Raw Data'!$Q$3:$Q$722,MATCH($A689,'03 Raw Data'!$P$3:$P$722,0)),""))</f>
        <v/>
      </c>
      <c r="H689" s="24">
        <f>IF($A689="","",IFERROR(INDEX('03 Raw Data'!$T$3:$T$722,MATCH($A689,'03 Raw Data'!$S$3:$S$722,0)),""))</f>
        <v/>
      </c>
    </row>
    <row r="690">
      <c r="A690" s="23">
        <f>IFERROR(IF(OR('03 Raw Data'!A688="",'03 Raw Data'!A688=0),"",'03 Raw Data'!A688),"")</f>
        <v/>
      </c>
      <c r="B690" s="24">
        <f>IF($A690="","",IFERROR(INDEX('03 Raw Data'!$B$3:$B$722,MATCH($A690,'03 Raw Data'!$A$3:$A$722,0)),""))</f>
        <v/>
      </c>
      <c r="C690" s="24">
        <f>IF($A690="","",IFERROR(INDEX('03 Raw Data'!$E$3:$E$722,MATCH($A690,'03 Raw Data'!$D$3:$D$722,0)),""))</f>
        <v/>
      </c>
      <c r="D690" s="24">
        <f>IF($A690="","",IFERROR(INDEX('03 Raw Data'!$H$3:$H$722,MATCH($A690,'03 Raw Data'!$G$3:$G$722,0)),""))</f>
        <v/>
      </c>
      <c r="E690" s="24">
        <f>IF($A690="","",IFERROR(INDEX('03 Raw Data'!$K$3:$K$722,MATCH($A690,'03 Raw Data'!$J$3:$J$722,0)),""))</f>
        <v/>
      </c>
      <c r="F690" s="24">
        <f>IF($A690="","",IFERROR(INDEX('03 Raw Data'!$N$3:$N$722,MATCH($A690,'03 Raw Data'!$M$3:$M$722,0)),""))</f>
        <v/>
      </c>
      <c r="G690" s="24">
        <f>IF($A690="","",IFERROR(INDEX('03 Raw Data'!$Q$3:$Q$722,MATCH($A690,'03 Raw Data'!$P$3:$P$722,0)),""))</f>
        <v/>
      </c>
      <c r="H690" s="24">
        <f>IF($A690="","",IFERROR(INDEX('03 Raw Data'!$T$3:$T$722,MATCH($A690,'03 Raw Data'!$S$3:$S$722,0)),""))</f>
        <v/>
      </c>
    </row>
    <row r="691">
      <c r="A691" s="23">
        <f>IFERROR(IF(OR('03 Raw Data'!A689="",'03 Raw Data'!A689=0),"",'03 Raw Data'!A689),"")</f>
        <v/>
      </c>
      <c r="B691" s="24">
        <f>IF($A691="","",IFERROR(INDEX('03 Raw Data'!$B$3:$B$722,MATCH($A691,'03 Raw Data'!$A$3:$A$722,0)),""))</f>
        <v/>
      </c>
      <c r="C691" s="24">
        <f>IF($A691="","",IFERROR(INDEX('03 Raw Data'!$E$3:$E$722,MATCH($A691,'03 Raw Data'!$D$3:$D$722,0)),""))</f>
        <v/>
      </c>
      <c r="D691" s="24">
        <f>IF($A691="","",IFERROR(INDEX('03 Raw Data'!$H$3:$H$722,MATCH($A691,'03 Raw Data'!$G$3:$G$722,0)),""))</f>
        <v/>
      </c>
      <c r="E691" s="24">
        <f>IF($A691="","",IFERROR(INDEX('03 Raw Data'!$K$3:$K$722,MATCH($A691,'03 Raw Data'!$J$3:$J$722,0)),""))</f>
        <v/>
      </c>
      <c r="F691" s="24">
        <f>IF($A691="","",IFERROR(INDEX('03 Raw Data'!$N$3:$N$722,MATCH($A691,'03 Raw Data'!$M$3:$M$722,0)),""))</f>
        <v/>
      </c>
      <c r="G691" s="24">
        <f>IF($A691="","",IFERROR(INDEX('03 Raw Data'!$Q$3:$Q$722,MATCH($A691,'03 Raw Data'!$P$3:$P$722,0)),""))</f>
        <v/>
      </c>
      <c r="H691" s="24">
        <f>IF($A691="","",IFERROR(INDEX('03 Raw Data'!$T$3:$T$722,MATCH($A691,'03 Raw Data'!$S$3:$S$722,0)),""))</f>
        <v/>
      </c>
    </row>
    <row r="692">
      <c r="A692" s="23">
        <f>IFERROR(IF(OR('03 Raw Data'!A690="",'03 Raw Data'!A690=0),"",'03 Raw Data'!A690),"")</f>
        <v/>
      </c>
      <c r="B692" s="24">
        <f>IF($A692="","",IFERROR(INDEX('03 Raw Data'!$B$3:$B$722,MATCH($A692,'03 Raw Data'!$A$3:$A$722,0)),""))</f>
        <v/>
      </c>
      <c r="C692" s="24">
        <f>IF($A692="","",IFERROR(INDEX('03 Raw Data'!$E$3:$E$722,MATCH($A692,'03 Raw Data'!$D$3:$D$722,0)),""))</f>
        <v/>
      </c>
      <c r="D692" s="24">
        <f>IF($A692="","",IFERROR(INDEX('03 Raw Data'!$H$3:$H$722,MATCH($A692,'03 Raw Data'!$G$3:$G$722,0)),""))</f>
        <v/>
      </c>
      <c r="E692" s="24">
        <f>IF($A692="","",IFERROR(INDEX('03 Raw Data'!$K$3:$K$722,MATCH($A692,'03 Raw Data'!$J$3:$J$722,0)),""))</f>
        <v/>
      </c>
      <c r="F692" s="24">
        <f>IF($A692="","",IFERROR(INDEX('03 Raw Data'!$N$3:$N$722,MATCH($A692,'03 Raw Data'!$M$3:$M$722,0)),""))</f>
        <v/>
      </c>
      <c r="G692" s="24">
        <f>IF($A692="","",IFERROR(INDEX('03 Raw Data'!$Q$3:$Q$722,MATCH($A692,'03 Raw Data'!$P$3:$P$722,0)),""))</f>
        <v/>
      </c>
      <c r="H692" s="24">
        <f>IF($A692="","",IFERROR(INDEX('03 Raw Data'!$T$3:$T$722,MATCH($A692,'03 Raw Data'!$S$3:$S$722,0)),""))</f>
        <v/>
      </c>
    </row>
    <row r="693">
      <c r="A693" s="23">
        <f>IFERROR(IF(OR('03 Raw Data'!A691="",'03 Raw Data'!A691=0),"",'03 Raw Data'!A691),"")</f>
        <v/>
      </c>
      <c r="B693" s="24">
        <f>IF($A693="","",IFERROR(INDEX('03 Raw Data'!$B$3:$B$722,MATCH($A693,'03 Raw Data'!$A$3:$A$722,0)),""))</f>
        <v/>
      </c>
      <c r="C693" s="24">
        <f>IF($A693="","",IFERROR(INDEX('03 Raw Data'!$E$3:$E$722,MATCH($A693,'03 Raw Data'!$D$3:$D$722,0)),""))</f>
        <v/>
      </c>
      <c r="D693" s="24">
        <f>IF($A693="","",IFERROR(INDEX('03 Raw Data'!$H$3:$H$722,MATCH($A693,'03 Raw Data'!$G$3:$G$722,0)),""))</f>
        <v/>
      </c>
      <c r="E693" s="24">
        <f>IF($A693="","",IFERROR(INDEX('03 Raw Data'!$K$3:$K$722,MATCH($A693,'03 Raw Data'!$J$3:$J$722,0)),""))</f>
        <v/>
      </c>
      <c r="F693" s="24">
        <f>IF($A693="","",IFERROR(INDEX('03 Raw Data'!$N$3:$N$722,MATCH($A693,'03 Raw Data'!$M$3:$M$722,0)),""))</f>
        <v/>
      </c>
      <c r="G693" s="24">
        <f>IF($A693="","",IFERROR(INDEX('03 Raw Data'!$Q$3:$Q$722,MATCH($A693,'03 Raw Data'!$P$3:$P$722,0)),""))</f>
        <v/>
      </c>
      <c r="H693" s="24">
        <f>IF($A693="","",IFERROR(INDEX('03 Raw Data'!$T$3:$T$722,MATCH($A693,'03 Raw Data'!$S$3:$S$722,0)),""))</f>
        <v/>
      </c>
    </row>
    <row r="694">
      <c r="A694" s="23">
        <f>IFERROR(IF(OR('03 Raw Data'!A692="",'03 Raw Data'!A692=0),"",'03 Raw Data'!A692),"")</f>
        <v/>
      </c>
      <c r="B694" s="24">
        <f>IF($A694="","",IFERROR(INDEX('03 Raw Data'!$B$3:$B$722,MATCH($A694,'03 Raw Data'!$A$3:$A$722,0)),""))</f>
        <v/>
      </c>
      <c r="C694" s="24">
        <f>IF($A694="","",IFERROR(INDEX('03 Raw Data'!$E$3:$E$722,MATCH($A694,'03 Raw Data'!$D$3:$D$722,0)),""))</f>
        <v/>
      </c>
      <c r="D694" s="24">
        <f>IF($A694="","",IFERROR(INDEX('03 Raw Data'!$H$3:$H$722,MATCH($A694,'03 Raw Data'!$G$3:$G$722,0)),""))</f>
        <v/>
      </c>
      <c r="E694" s="24">
        <f>IF($A694="","",IFERROR(INDEX('03 Raw Data'!$K$3:$K$722,MATCH($A694,'03 Raw Data'!$J$3:$J$722,0)),""))</f>
        <v/>
      </c>
      <c r="F694" s="24">
        <f>IF($A694="","",IFERROR(INDEX('03 Raw Data'!$N$3:$N$722,MATCH($A694,'03 Raw Data'!$M$3:$M$722,0)),""))</f>
        <v/>
      </c>
      <c r="G694" s="24">
        <f>IF($A694="","",IFERROR(INDEX('03 Raw Data'!$Q$3:$Q$722,MATCH($A694,'03 Raw Data'!$P$3:$P$722,0)),""))</f>
        <v/>
      </c>
      <c r="H694" s="24">
        <f>IF($A694="","",IFERROR(INDEX('03 Raw Data'!$T$3:$T$722,MATCH($A694,'03 Raw Data'!$S$3:$S$722,0)),""))</f>
        <v/>
      </c>
    </row>
    <row r="695">
      <c r="A695" s="23">
        <f>IFERROR(IF(OR('03 Raw Data'!A693="",'03 Raw Data'!A693=0),"",'03 Raw Data'!A693),"")</f>
        <v/>
      </c>
      <c r="B695" s="24">
        <f>IF($A695="","",IFERROR(INDEX('03 Raw Data'!$B$3:$B$722,MATCH($A695,'03 Raw Data'!$A$3:$A$722,0)),""))</f>
        <v/>
      </c>
      <c r="C695" s="24">
        <f>IF($A695="","",IFERROR(INDEX('03 Raw Data'!$E$3:$E$722,MATCH($A695,'03 Raw Data'!$D$3:$D$722,0)),""))</f>
        <v/>
      </c>
      <c r="D695" s="24">
        <f>IF($A695="","",IFERROR(INDEX('03 Raw Data'!$H$3:$H$722,MATCH($A695,'03 Raw Data'!$G$3:$G$722,0)),""))</f>
        <v/>
      </c>
      <c r="E695" s="24">
        <f>IF($A695="","",IFERROR(INDEX('03 Raw Data'!$K$3:$K$722,MATCH($A695,'03 Raw Data'!$J$3:$J$722,0)),""))</f>
        <v/>
      </c>
      <c r="F695" s="24">
        <f>IF($A695="","",IFERROR(INDEX('03 Raw Data'!$N$3:$N$722,MATCH($A695,'03 Raw Data'!$M$3:$M$722,0)),""))</f>
        <v/>
      </c>
      <c r="G695" s="24">
        <f>IF($A695="","",IFERROR(INDEX('03 Raw Data'!$Q$3:$Q$722,MATCH($A695,'03 Raw Data'!$P$3:$P$722,0)),""))</f>
        <v/>
      </c>
      <c r="H695" s="24">
        <f>IF($A695="","",IFERROR(INDEX('03 Raw Data'!$T$3:$T$722,MATCH($A695,'03 Raw Data'!$S$3:$S$722,0)),""))</f>
        <v/>
      </c>
    </row>
    <row r="696">
      <c r="A696" s="23">
        <f>IFERROR(IF(OR('03 Raw Data'!A694="",'03 Raw Data'!A694=0),"",'03 Raw Data'!A694),"")</f>
        <v/>
      </c>
      <c r="B696" s="24">
        <f>IF($A696="","",IFERROR(INDEX('03 Raw Data'!$B$3:$B$722,MATCH($A696,'03 Raw Data'!$A$3:$A$722,0)),""))</f>
        <v/>
      </c>
      <c r="C696" s="24">
        <f>IF($A696="","",IFERROR(INDEX('03 Raw Data'!$E$3:$E$722,MATCH($A696,'03 Raw Data'!$D$3:$D$722,0)),""))</f>
        <v/>
      </c>
      <c r="D696" s="24">
        <f>IF($A696="","",IFERROR(INDEX('03 Raw Data'!$H$3:$H$722,MATCH($A696,'03 Raw Data'!$G$3:$G$722,0)),""))</f>
        <v/>
      </c>
      <c r="E696" s="24">
        <f>IF($A696="","",IFERROR(INDEX('03 Raw Data'!$K$3:$K$722,MATCH($A696,'03 Raw Data'!$J$3:$J$722,0)),""))</f>
        <v/>
      </c>
      <c r="F696" s="24">
        <f>IF($A696="","",IFERROR(INDEX('03 Raw Data'!$N$3:$N$722,MATCH($A696,'03 Raw Data'!$M$3:$M$722,0)),""))</f>
        <v/>
      </c>
      <c r="G696" s="24">
        <f>IF($A696="","",IFERROR(INDEX('03 Raw Data'!$Q$3:$Q$722,MATCH($A696,'03 Raw Data'!$P$3:$P$722,0)),""))</f>
        <v/>
      </c>
      <c r="H696" s="24">
        <f>IF($A696="","",IFERROR(INDEX('03 Raw Data'!$T$3:$T$722,MATCH($A696,'03 Raw Data'!$S$3:$S$722,0)),""))</f>
        <v/>
      </c>
    </row>
    <row r="697">
      <c r="A697" s="23">
        <f>IFERROR(IF(OR('03 Raw Data'!A695="",'03 Raw Data'!A695=0),"",'03 Raw Data'!A695),"")</f>
        <v/>
      </c>
      <c r="B697" s="24">
        <f>IF($A697="","",IFERROR(INDEX('03 Raw Data'!$B$3:$B$722,MATCH($A697,'03 Raw Data'!$A$3:$A$722,0)),""))</f>
        <v/>
      </c>
      <c r="C697" s="24">
        <f>IF($A697="","",IFERROR(INDEX('03 Raw Data'!$E$3:$E$722,MATCH($A697,'03 Raw Data'!$D$3:$D$722,0)),""))</f>
        <v/>
      </c>
      <c r="D697" s="24">
        <f>IF($A697="","",IFERROR(INDEX('03 Raw Data'!$H$3:$H$722,MATCH($A697,'03 Raw Data'!$G$3:$G$722,0)),""))</f>
        <v/>
      </c>
      <c r="E697" s="24">
        <f>IF($A697="","",IFERROR(INDEX('03 Raw Data'!$K$3:$K$722,MATCH($A697,'03 Raw Data'!$J$3:$J$722,0)),""))</f>
        <v/>
      </c>
      <c r="F697" s="24">
        <f>IF($A697="","",IFERROR(INDEX('03 Raw Data'!$N$3:$N$722,MATCH($A697,'03 Raw Data'!$M$3:$M$722,0)),""))</f>
        <v/>
      </c>
      <c r="G697" s="24">
        <f>IF($A697="","",IFERROR(INDEX('03 Raw Data'!$Q$3:$Q$722,MATCH($A697,'03 Raw Data'!$P$3:$P$722,0)),""))</f>
        <v/>
      </c>
      <c r="H697" s="24">
        <f>IF($A697="","",IFERROR(INDEX('03 Raw Data'!$T$3:$T$722,MATCH($A697,'03 Raw Data'!$S$3:$S$722,0)),""))</f>
        <v/>
      </c>
    </row>
    <row r="698">
      <c r="A698" s="23">
        <f>IFERROR(IF(OR('03 Raw Data'!A696="",'03 Raw Data'!A696=0),"",'03 Raw Data'!A696),"")</f>
        <v/>
      </c>
      <c r="B698" s="24">
        <f>IF($A698="","",IFERROR(INDEX('03 Raw Data'!$B$3:$B$722,MATCH($A698,'03 Raw Data'!$A$3:$A$722,0)),""))</f>
        <v/>
      </c>
      <c r="C698" s="24">
        <f>IF($A698="","",IFERROR(INDEX('03 Raw Data'!$E$3:$E$722,MATCH($A698,'03 Raw Data'!$D$3:$D$722,0)),""))</f>
        <v/>
      </c>
      <c r="D698" s="24">
        <f>IF($A698="","",IFERROR(INDEX('03 Raw Data'!$H$3:$H$722,MATCH($A698,'03 Raw Data'!$G$3:$G$722,0)),""))</f>
        <v/>
      </c>
      <c r="E698" s="24">
        <f>IF($A698="","",IFERROR(INDEX('03 Raw Data'!$K$3:$K$722,MATCH($A698,'03 Raw Data'!$J$3:$J$722,0)),""))</f>
        <v/>
      </c>
      <c r="F698" s="24">
        <f>IF($A698="","",IFERROR(INDEX('03 Raw Data'!$N$3:$N$722,MATCH($A698,'03 Raw Data'!$M$3:$M$722,0)),""))</f>
        <v/>
      </c>
      <c r="G698" s="24">
        <f>IF($A698="","",IFERROR(INDEX('03 Raw Data'!$Q$3:$Q$722,MATCH($A698,'03 Raw Data'!$P$3:$P$722,0)),""))</f>
        <v/>
      </c>
      <c r="H698" s="24">
        <f>IF($A698="","",IFERROR(INDEX('03 Raw Data'!$T$3:$T$722,MATCH($A698,'03 Raw Data'!$S$3:$S$722,0)),""))</f>
        <v/>
      </c>
    </row>
    <row r="699">
      <c r="A699" s="23">
        <f>IFERROR(IF(OR('03 Raw Data'!A697="",'03 Raw Data'!A697=0),"",'03 Raw Data'!A697),"")</f>
        <v/>
      </c>
      <c r="B699" s="24">
        <f>IF($A699="","",IFERROR(INDEX('03 Raw Data'!$B$3:$B$722,MATCH($A699,'03 Raw Data'!$A$3:$A$722,0)),""))</f>
        <v/>
      </c>
      <c r="C699" s="24">
        <f>IF($A699="","",IFERROR(INDEX('03 Raw Data'!$E$3:$E$722,MATCH($A699,'03 Raw Data'!$D$3:$D$722,0)),""))</f>
        <v/>
      </c>
      <c r="D699" s="24">
        <f>IF($A699="","",IFERROR(INDEX('03 Raw Data'!$H$3:$H$722,MATCH($A699,'03 Raw Data'!$G$3:$G$722,0)),""))</f>
        <v/>
      </c>
      <c r="E699" s="24">
        <f>IF($A699="","",IFERROR(INDEX('03 Raw Data'!$K$3:$K$722,MATCH($A699,'03 Raw Data'!$J$3:$J$722,0)),""))</f>
        <v/>
      </c>
      <c r="F699" s="24">
        <f>IF($A699="","",IFERROR(INDEX('03 Raw Data'!$N$3:$N$722,MATCH($A699,'03 Raw Data'!$M$3:$M$722,0)),""))</f>
        <v/>
      </c>
      <c r="G699" s="24">
        <f>IF($A699="","",IFERROR(INDEX('03 Raw Data'!$Q$3:$Q$722,MATCH($A699,'03 Raw Data'!$P$3:$P$722,0)),""))</f>
        <v/>
      </c>
      <c r="H699" s="24">
        <f>IF($A699="","",IFERROR(INDEX('03 Raw Data'!$T$3:$T$722,MATCH($A699,'03 Raw Data'!$S$3:$S$722,0)),""))</f>
        <v/>
      </c>
    </row>
    <row r="700">
      <c r="A700" s="23">
        <f>IFERROR(IF(OR('03 Raw Data'!A698="",'03 Raw Data'!A698=0),"",'03 Raw Data'!A698),"")</f>
        <v/>
      </c>
      <c r="B700" s="24">
        <f>IF($A700="","",IFERROR(INDEX('03 Raw Data'!$B$3:$B$722,MATCH($A700,'03 Raw Data'!$A$3:$A$722,0)),""))</f>
        <v/>
      </c>
      <c r="C700" s="24">
        <f>IF($A700="","",IFERROR(INDEX('03 Raw Data'!$E$3:$E$722,MATCH($A700,'03 Raw Data'!$D$3:$D$722,0)),""))</f>
        <v/>
      </c>
      <c r="D700" s="24">
        <f>IF($A700="","",IFERROR(INDEX('03 Raw Data'!$H$3:$H$722,MATCH($A700,'03 Raw Data'!$G$3:$G$722,0)),""))</f>
        <v/>
      </c>
      <c r="E700" s="24">
        <f>IF($A700="","",IFERROR(INDEX('03 Raw Data'!$K$3:$K$722,MATCH($A700,'03 Raw Data'!$J$3:$J$722,0)),""))</f>
        <v/>
      </c>
      <c r="F700" s="24">
        <f>IF($A700="","",IFERROR(INDEX('03 Raw Data'!$N$3:$N$722,MATCH($A700,'03 Raw Data'!$M$3:$M$722,0)),""))</f>
        <v/>
      </c>
      <c r="G700" s="24">
        <f>IF($A700="","",IFERROR(INDEX('03 Raw Data'!$Q$3:$Q$722,MATCH($A700,'03 Raw Data'!$P$3:$P$722,0)),""))</f>
        <v/>
      </c>
      <c r="H700" s="24">
        <f>IF($A700="","",IFERROR(INDEX('03 Raw Data'!$T$3:$T$722,MATCH($A700,'03 Raw Data'!$S$3:$S$722,0)),""))</f>
        <v/>
      </c>
    </row>
    <row r="701">
      <c r="A701" s="23">
        <f>IFERROR(IF(OR('03 Raw Data'!A699="",'03 Raw Data'!A699=0),"",'03 Raw Data'!A699),"")</f>
        <v/>
      </c>
      <c r="B701" s="24">
        <f>IF($A701="","",IFERROR(INDEX('03 Raw Data'!$B$3:$B$722,MATCH($A701,'03 Raw Data'!$A$3:$A$722,0)),""))</f>
        <v/>
      </c>
      <c r="C701" s="24">
        <f>IF($A701="","",IFERROR(INDEX('03 Raw Data'!$E$3:$E$722,MATCH($A701,'03 Raw Data'!$D$3:$D$722,0)),""))</f>
        <v/>
      </c>
      <c r="D701" s="24">
        <f>IF($A701="","",IFERROR(INDEX('03 Raw Data'!$H$3:$H$722,MATCH($A701,'03 Raw Data'!$G$3:$G$722,0)),""))</f>
        <v/>
      </c>
      <c r="E701" s="24">
        <f>IF($A701="","",IFERROR(INDEX('03 Raw Data'!$K$3:$K$722,MATCH($A701,'03 Raw Data'!$J$3:$J$722,0)),""))</f>
        <v/>
      </c>
      <c r="F701" s="24">
        <f>IF($A701="","",IFERROR(INDEX('03 Raw Data'!$N$3:$N$722,MATCH($A701,'03 Raw Data'!$M$3:$M$722,0)),""))</f>
        <v/>
      </c>
      <c r="G701" s="24">
        <f>IF($A701="","",IFERROR(INDEX('03 Raw Data'!$Q$3:$Q$722,MATCH($A701,'03 Raw Data'!$P$3:$P$722,0)),""))</f>
        <v/>
      </c>
      <c r="H701" s="24">
        <f>IF($A701="","",IFERROR(INDEX('03 Raw Data'!$T$3:$T$722,MATCH($A701,'03 Raw Data'!$S$3:$S$722,0)),""))</f>
        <v/>
      </c>
    </row>
    <row r="702">
      <c r="A702" s="23">
        <f>IFERROR(IF(OR('03 Raw Data'!A700="",'03 Raw Data'!A700=0),"",'03 Raw Data'!A700),"")</f>
        <v/>
      </c>
      <c r="B702" s="24">
        <f>IF($A702="","",IFERROR(INDEX('03 Raw Data'!$B$3:$B$722,MATCH($A702,'03 Raw Data'!$A$3:$A$722,0)),""))</f>
        <v/>
      </c>
      <c r="C702" s="24">
        <f>IF($A702="","",IFERROR(INDEX('03 Raw Data'!$E$3:$E$722,MATCH($A702,'03 Raw Data'!$D$3:$D$722,0)),""))</f>
        <v/>
      </c>
      <c r="D702" s="24">
        <f>IF($A702="","",IFERROR(INDEX('03 Raw Data'!$H$3:$H$722,MATCH($A702,'03 Raw Data'!$G$3:$G$722,0)),""))</f>
        <v/>
      </c>
      <c r="E702" s="24">
        <f>IF($A702="","",IFERROR(INDEX('03 Raw Data'!$K$3:$K$722,MATCH($A702,'03 Raw Data'!$J$3:$J$722,0)),""))</f>
        <v/>
      </c>
      <c r="F702" s="24">
        <f>IF($A702="","",IFERROR(INDEX('03 Raw Data'!$N$3:$N$722,MATCH($A702,'03 Raw Data'!$M$3:$M$722,0)),""))</f>
        <v/>
      </c>
      <c r="G702" s="24">
        <f>IF($A702="","",IFERROR(INDEX('03 Raw Data'!$Q$3:$Q$722,MATCH($A702,'03 Raw Data'!$P$3:$P$722,0)),""))</f>
        <v/>
      </c>
      <c r="H702" s="24">
        <f>IF($A702="","",IFERROR(INDEX('03 Raw Data'!$T$3:$T$722,MATCH($A702,'03 Raw Data'!$S$3:$S$722,0)),""))</f>
        <v/>
      </c>
    </row>
    <row r="703">
      <c r="A703" s="23">
        <f>IFERROR(IF(OR('03 Raw Data'!A701="",'03 Raw Data'!A701=0),"",'03 Raw Data'!A701),"")</f>
        <v/>
      </c>
      <c r="B703" s="24">
        <f>IF($A703="","",IFERROR(INDEX('03 Raw Data'!$B$3:$B$722,MATCH($A703,'03 Raw Data'!$A$3:$A$722,0)),""))</f>
        <v/>
      </c>
      <c r="C703" s="24">
        <f>IF($A703="","",IFERROR(INDEX('03 Raw Data'!$E$3:$E$722,MATCH($A703,'03 Raw Data'!$D$3:$D$722,0)),""))</f>
        <v/>
      </c>
      <c r="D703" s="24">
        <f>IF($A703="","",IFERROR(INDEX('03 Raw Data'!$H$3:$H$722,MATCH($A703,'03 Raw Data'!$G$3:$G$722,0)),""))</f>
        <v/>
      </c>
      <c r="E703" s="24">
        <f>IF($A703="","",IFERROR(INDEX('03 Raw Data'!$K$3:$K$722,MATCH($A703,'03 Raw Data'!$J$3:$J$722,0)),""))</f>
        <v/>
      </c>
      <c r="F703" s="24">
        <f>IF($A703="","",IFERROR(INDEX('03 Raw Data'!$N$3:$N$722,MATCH($A703,'03 Raw Data'!$M$3:$M$722,0)),""))</f>
        <v/>
      </c>
      <c r="G703" s="24">
        <f>IF($A703="","",IFERROR(INDEX('03 Raw Data'!$Q$3:$Q$722,MATCH($A703,'03 Raw Data'!$P$3:$P$722,0)),""))</f>
        <v/>
      </c>
      <c r="H703" s="24">
        <f>IF($A703="","",IFERROR(INDEX('03 Raw Data'!$T$3:$T$722,MATCH($A703,'03 Raw Data'!$S$3:$S$722,0)),""))</f>
        <v/>
      </c>
    </row>
    <row r="704">
      <c r="A704" s="23">
        <f>IFERROR(IF(OR('03 Raw Data'!A702="",'03 Raw Data'!A702=0),"",'03 Raw Data'!A702),"")</f>
        <v/>
      </c>
      <c r="B704" s="24">
        <f>IF($A704="","",IFERROR(INDEX('03 Raw Data'!$B$3:$B$722,MATCH($A704,'03 Raw Data'!$A$3:$A$722,0)),""))</f>
        <v/>
      </c>
      <c r="C704" s="24">
        <f>IF($A704="","",IFERROR(INDEX('03 Raw Data'!$E$3:$E$722,MATCH($A704,'03 Raw Data'!$D$3:$D$722,0)),""))</f>
        <v/>
      </c>
      <c r="D704" s="24">
        <f>IF($A704="","",IFERROR(INDEX('03 Raw Data'!$H$3:$H$722,MATCH($A704,'03 Raw Data'!$G$3:$G$722,0)),""))</f>
        <v/>
      </c>
      <c r="E704" s="24">
        <f>IF($A704="","",IFERROR(INDEX('03 Raw Data'!$K$3:$K$722,MATCH($A704,'03 Raw Data'!$J$3:$J$722,0)),""))</f>
        <v/>
      </c>
      <c r="F704" s="24">
        <f>IF($A704="","",IFERROR(INDEX('03 Raw Data'!$N$3:$N$722,MATCH($A704,'03 Raw Data'!$M$3:$M$722,0)),""))</f>
        <v/>
      </c>
      <c r="G704" s="24">
        <f>IF($A704="","",IFERROR(INDEX('03 Raw Data'!$Q$3:$Q$722,MATCH($A704,'03 Raw Data'!$P$3:$P$722,0)),""))</f>
        <v/>
      </c>
      <c r="H704" s="24">
        <f>IF($A704="","",IFERROR(INDEX('03 Raw Data'!$T$3:$T$722,MATCH($A704,'03 Raw Data'!$S$3:$S$722,0)),""))</f>
        <v/>
      </c>
    </row>
    <row r="705">
      <c r="A705" s="23">
        <f>IFERROR(IF(OR('03 Raw Data'!A703="",'03 Raw Data'!A703=0),"",'03 Raw Data'!A703),"")</f>
        <v/>
      </c>
      <c r="B705" s="24">
        <f>IF($A705="","",IFERROR(INDEX('03 Raw Data'!$B$3:$B$722,MATCH($A705,'03 Raw Data'!$A$3:$A$722,0)),""))</f>
        <v/>
      </c>
      <c r="C705" s="24">
        <f>IF($A705="","",IFERROR(INDEX('03 Raw Data'!$E$3:$E$722,MATCH($A705,'03 Raw Data'!$D$3:$D$722,0)),""))</f>
        <v/>
      </c>
      <c r="D705" s="24">
        <f>IF($A705="","",IFERROR(INDEX('03 Raw Data'!$H$3:$H$722,MATCH($A705,'03 Raw Data'!$G$3:$G$722,0)),""))</f>
        <v/>
      </c>
      <c r="E705" s="24">
        <f>IF($A705="","",IFERROR(INDEX('03 Raw Data'!$K$3:$K$722,MATCH($A705,'03 Raw Data'!$J$3:$J$722,0)),""))</f>
        <v/>
      </c>
      <c r="F705" s="24">
        <f>IF($A705="","",IFERROR(INDEX('03 Raw Data'!$N$3:$N$722,MATCH($A705,'03 Raw Data'!$M$3:$M$722,0)),""))</f>
        <v/>
      </c>
      <c r="G705" s="24">
        <f>IF($A705="","",IFERROR(INDEX('03 Raw Data'!$Q$3:$Q$722,MATCH($A705,'03 Raw Data'!$P$3:$P$722,0)),""))</f>
        <v/>
      </c>
      <c r="H705" s="24">
        <f>IF($A705="","",IFERROR(INDEX('03 Raw Data'!$T$3:$T$722,MATCH($A705,'03 Raw Data'!$S$3:$S$722,0)),""))</f>
        <v/>
      </c>
    </row>
    <row r="706">
      <c r="A706" s="23">
        <f>IFERROR(IF(OR('03 Raw Data'!A704="",'03 Raw Data'!A704=0),"",'03 Raw Data'!A704),"")</f>
        <v/>
      </c>
      <c r="B706" s="24">
        <f>IF($A706="","",IFERROR(INDEX('03 Raw Data'!$B$3:$B$722,MATCH($A706,'03 Raw Data'!$A$3:$A$722,0)),""))</f>
        <v/>
      </c>
      <c r="C706" s="24">
        <f>IF($A706="","",IFERROR(INDEX('03 Raw Data'!$E$3:$E$722,MATCH($A706,'03 Raw Data'!$D$3:$D$722,0)),""))</f>
        <v/>
      </c>
      <c r="D706" s="24">
        <f>IF($A706="","",IFERROR(INDEX('03 Raw Data'!$H$3:$H$722,MATCH($A706,'03 Raw Data'!$G$3:$G$722,0)),""))</f>
        <v/>
      </c>
      <c r="E706" s="24">
        <f>IF($A706="","",IFERROR(INDEX('03 Raw Data'!$K$3:$K$722,MATCH($A706,'03 Raw Data'!$J$3:$J$722,0)),""))</f>
        <v/>
      </c>
      <c r="F706" s="24">
        <f>IF($A706="","",IFERROR(INDEX('03 Raw Data'!$N$3:$N$722,MATCH($A706,'03 Raw Data'!$M$3:$M$722,0)),""))</f>
        <v/>
      </c>
      <c r="G706" s="24">
        <f>IF($A706="","",IFERROR(INDEX('03 Raw Data'!$Q$3:$Q$722,MATCH($A706,'03 Raw Data'!$P$3:$P$722,0)),""))</f>
        <v/>
      </c>
      <c r="H706" s="24">
        <f>IF($A706="","",IFERROR(INDEX('03 Raw Data'!$T$3:$T$722,MATCH($A706,'03 Raw Data'!$S$3:$S$722,0)),""))</f>
        <v/>
      </c>
    </row>
    <row r="707">
      <c r="A707" s="23">
        <f>IFERROR(IF(OR('03 Raw Data'!A705="",'03 Raw Data'!A705=0),"",'03 Raw Data'!A705),"")</f>
        <v/>
      </c>
      <c r="B707" s="24">
        <f>IF($A707="","",IFERROR(INDEX('03 Raw Data'!$B$3:$B$722,MATCH($A707,'03 Raw Data'!$A$3:$A$722,0)),""))</f>
        <v/>
      </c>
      <c r="C707" s="24">
        <f>IF($A707="","",IFERROR(INDEX('03 Raw Data'!$E$3:$E$722,MATCH($A707,'03 Raw Data'!$D$3:$D$722,0)),""))</f>
        <v/>
      </c>
      <c r="D707" s="24">
        <f>IF($A707="","",IFERROR(INDEX('03 Raw Data'!$H$3:$H$722,MATCH($A707,'03 Raw Data'!$G$3:$G$722,0)),""))</f>
        <v/>
      </c>
      <c r="E707" s="24">
        <f>IF($A707="","",IFERROR(INDEX('03 Raw Data'!$K$3:$K$722,MATCH($A707,'03 Raw Data'!$J$3:$J$722,0)),""))</f>
        <v/>
      </c>
      <c r="F707" s="24">
        <f>IF($A707="","",IFERROR(INDEX('03 Raw Data'!$N$3:$N$722,MATCH($A707,'03 Raw Data'!$M$3:$M$722,0)),""))</f>
        <v/>
      </c>
      <c r="G707" s="24">
        <f>IF($A707="","",IFERROR(INDEX('03 Raw Data'!$Q$3:$Q$722,MATCH($A707,'03 Raw Data'!$P$3:$P$722,0)),""))</f>
        <v/>
      </c>
      <c r="H707" s="24">
        <f>IF($A707="","",IFERROR(INDEX('03 Raw Data'!$T$3:$T$722,MATCH($A707,'03 Raw Data'!$S$3:$S$722,0)),""))</f>
        <v/>
      </c>
    </row>
    <row r="708">
      <c r="A708" s="23">
        <f>IFERROR(IF(OR('03 Raw Data'!A706="",'03 Raw Data'!A706=0),"",'03 Raw Data'!A706),"")</f>
        <v/>
      </c>
      <c r="B708" s="24">
        <f>IF($A708="","",IFERROR(INDEX('03 Raw Data'!$B$3:$B$722,MATCH($A708,'03 Raw Data'!$A$3:$A$722,0)),""))</f>
        <v/>
      </c>
      <c r="C708" s="24">
        <f>IF($A708="","",IFERROR(INDEX('03 Raw Data'!$E$3:$E$722,MATCH($A708,'03 Raw Data'!$D$3:$D$722,0)),""))</f>
        <v/>
      </c>
      <c r="D708" s="24">
        <f>IF($A708="","",IFERROR(INDEX('03 Raw Data'!$H$3:$H$722,MATCH($A708,'03 Raw Data'!$G$3:$G$722,0)),""))</f>
        <v/>
      </c>
      <c r="E708" s="24">
        <f>IF($A708="","",IFERROR(INDEX('03 Raw Data'!$K$3:$K$722,MATCH($A708,'03 Raw Data'!$J$3:$J$722,0)),""))</f>
        <v/>
      </c>
      <c r="F708" s="24">
        <f>IF($A708="","",IFERROR(INDEX('03 Raw Data'!$N$3:$N$722,MATCH($A708,'03 Raw Data'!$M$3:$M$722,0)),""))</f>
        <v/>
      </c>
      <c r="G708" s="24">
        <f>IF($A708="","",IFERROR(INDEX('03 Raw Data'!$Q$3:$Q$722,MATCH($A708,'03 Raw Data'!$P$3:$P$722,0)),""))</f>
        <v/>
      </c>
      <c r="H708" s="24">
        <f>IF($A708="","",IFERROR(INDEX('03 Raw Data'!$T$3:$T$722,MATCH($A708,'03 Raw Data'!$S$3:$S$722,0)),""))</f>
        <v/>
      </c>
    </row>
    <row r="709">
      <c r="A709" s="23">
        <f>IFERROR(IF(OR('03 Raw Data'!A707="",'03 Raw Data'!A707=0),"",'03 Raw Data'!A707),"")</f>
        <v/>
      </c>
      <c r="B709" s="24">
        <f>IF($A709="","",IFERROR(INDEX('03 Raw Data'!$B$3:$B$722,MATCH($A709,'03 Raw Data'!$A$3:$A$722,0)),""))</f>
        <v/>
      </c>
      <c r="C709" s="24">
        <f>IF($A709="","",IFERROR(INDEX('03 Raw Data'!$E$3:$E$722,MATCH($A709,'03 Raw Data'!$D$3:$D$722,0)),""))</f>
        <v/>
      </c>
      <c r="D709" s="24">
        <f>IF($A709="","",IFERROR(INDEX('03 Raw Data'!$H$3:$H$722,MATCH($A709,'03 Raw Data'!$G$3:$G$722,0)),""))</f>
        <v/>
      </c>
      <c r="E709" s="24">
        <f>IF($A709="","",IFERROR(INDEX('03 Raw Data'!$K$3:$K$722,MATCH($A709,'03 Raw Data'!$J$3:$J$722,0)),""))</f>
        <v/>
      </c>
      <c r="F709" s="24">
        <f>IF($A709="","",IFERROR(INDEX('03 Raw Data'!$N$3:$N$722,MATCH($A709,'03 Raw Data'!$M$3:$M$722,0)),""))</f>
        <v/>
      </c>
      <c r="G709" s="24">
        <f>IF($A709="","",IFERROR(INDEX('03 Raw Data'!$Q$3:$Q$722,MATCH($A709,'03 Raw Data'!$P$3:$P$722,0)),""))</f>
        <v/>
      </c>
      <c r="H709" s="24">
        <f>IF($A709="","",IFERROR(INDEX('03 Raw Data'!$T$3:$T$722,MATCH($A709,'03 Raw Data'!$S$3:$S$722,0)),""))</f>
        <v/>
      </c>
    </row>
    <row r="710">
      <c r="A710" s="23">
        <f>IFERROR(IF(OR('03 Raw Data'!A708="",'03 Raw Data'!A708=0),"",'03 Raw Data'!A708),"")</f>
        <v/>
      </c>
      <c r="B710" s="24">
        <f>IF($A710="","",IFERROR(INDEX('03 Raw Data'!$B$3:$B$722,MATCH($A710,'03 Raw Data'!$A$3:$A$722,0)),""))</f>
        <v/>
      </c>
      <c r="C710" s="24">
        <f>IF($A710="","",IFERROR(INDEX('03 Raw Data'!$E$3:$E$722,MATCH($A710,'03 Raw Data'!$D$3:$D$722,0)),""))</f>
        <v/>
      </c>
      <c r="D710" s="24">
        <f>IF($A710="","",IFERROR(INDEX('03 Raw Data'!$H$3:$H$722,MATCH($A710,'03 Raw Data'!$G$3:$G$722,0)),""))</f>
        <v/>
      </c>
      <c r="E710" s="24">
        <f>IF($A710="","",IFERROR(INDEX('03 Raw Data'!$K$3:$K$722,MATCH($A710,'03 Raw Data'!$J$3:$J$722,0)),""))</f>
        <v/>
      </c>
      <c r="F710" s="24">
        <f>IF($A710="","",IFERROR(INDEX('03 Raw Data'!$N$3:$N$722,MATCH($A710,'03 Raw Data'!$M$3:$M$722,0)),""))</f>
        <v/>
      </c>
      <c r="G710" s="24">
        <f>IF($A710="","",IFERROR(INDEX('03 Raw Data'!$Q$3:$Q$722,MATCH($A710,'03 Raw Data'!$P$3:$P$722,0)),""))</f>
        <v/>
      </c>
      <c r="H710" s="24">
        <f>IF($A710="","",IFERROR(INDEX('03 Raw Data'!$T$3:$T$722,MATCH($A710,'03 Raw Data'!$S$3:$S$722,0)),""))</f>
        <v/>
      </c>
    </row>
    <row r="711">
      <c r="A711" s="23">
        <f>IFERROR(IF(OR('03 Raw Data'!A709="",'03 Raw Data'!A709=0),"",'03 Raw Data'!A709),"")</f>
        <v/>
      </c>
      <c r="B711" s="24">
        <f>IF($A711="","",IFERROR(INDEX('03 Raw Data'!$B$3:$B$722,MATCH($A711,'03 Raw Data'!$A$3:$A$722,0)),""))</f>
        <v/>
      </c>
      <c r="C711" s="24">
        <f>IF($A711="","",IFERROR(INDEX('03 Raw Data'!$E$3:$E$722,MATCH($A711,'03 Raw Data'!$D$3:$D$722,0)),""))</f>
        <v/>
      </c>
      <c r="D711" s="24">
        <f>IF($A711="","",IFERROR(INDEX('03 Raw Data'!$H$3:$H$722,MATCH($A711,'03 Raw Data'!$G$3:$G$722,0)),""))</f>
        <v/>
      </c>
      <c r="E711" s="24">
        <f>IF($A711="","",IFERROR(INDEX('03 Raw Data'!$K$3:$K$722,MATCH($A711,'03 Raw Data'!$J$3:$J$722,0)),""))</f>
        <v/>
      </c>
      <c r="F711" s="24">
        <f>IF($A711="","",IFERROR(INDEX('03 Raw Data'!$N$3:$N$722,MATCH($A711,'03 Raw Data'!$M$3:$M$722,0)),""))</f>
        <v/>
      </c>
      <c r="G711" s="24">
        <f>IF($A711="","",IFERROR(INDEX('03 Raw Data'!$Q$3:$Q$722,MATCH($A711,'03 Raw Data'!$P$3:$P$722,0)),""))</f>
        <v/>
      </c>
      <c r="H711" s="24">
        <f>IF($A711="","",IFERROR(INDEX('03 Raw Data'!$T$3:$T$722,MATCH($A711,'03 Raw Data'!$S$3:$S$722,0)),""))</f>
        <v/>
      </c>
    </row>
    <row r="712">
      <c r="A712" s="23">
        <f>IFERROR(IF(OR('03 Raw Data'!A710="",'03 Raw Data'!A710=0),"",'03 Raw Data'!A710),"")</f>
        <v/>
      </c>
      <c r="B712" s="24">
        <f>IF($A712="","",IFERROR(INDEX('03 Raw Data'!$B$3:$B$722,MATCH($A712,'03 Raw Data'!$A$3:$A$722,0)),""))</f>
        <v/>
      </c>
      <c r="C712" s="24">
        <f>IF($A712="","",IFERROR(INDEX('03 Raw Data'!$E$3:$E$722,MATCH($A712,'03 Raw Data'!$D$3:$D$722,0)),""))</f>
        <v/>
      </c>
      <c r="D712" s="24">
        <f>IF($A712="","",IFERROR(INDEX('03 Raw Data'!$H$3:$H$722,MATCH($A712,'03 Raw Data'!$G$3:$G$722,0)),""))</f>
        <v/>
      </c>
      <c r="E712" s="24">
        <f>IF($A712="","",IFERROR(INDEX('03 Raw Data'!$K$3:$K$722,MATCH($A712,'03 Raw Data'!$J$3:$J$722,0)),""))</f>
        <v/>
      </c>
      <c r="F712" s="24">
        <f>IF($A712="","",IFERROR(INDEX('03 Raw Data'!$N$3:$N$722,MATCH($A712,'03 Raw Data'!$M$3:$M$722,0)),""))</f>
        <v/>
      </c>
      <c r="G712" s="24">
        <f>IF($A712="","",IFERROR(INDEX('03 Raw Data'!$Q$3:$Q$722,MATCH($A712,'03 Raw Data'!$P$3:$P$722,0)),""))</f>
        <v/>
      </c>
      <c r="H712" s="24">
        <f>IF($A712="","",IFERROR(INDEX('03 Raw Data'!$T$3:$T$722,MATCH($A712,'03 Raw Data'!$S$3:$S$722,0)),""))</f>
        <v/>
      </c>
    </row>
    <row r="713">
      <c r="A713" s="23">
        <f>IFERROR(IF(OR('03 Raw Data'!A711="",'03 Raw Data'!A711=0),"",'03 Raw Data'!A711),"")</f>
        <v/>
      </c>
      <c r="B713" s="24">
        <f>IF($A713="","",IFERROR(INDEX('03 Raw Data'!$B$3:$B$722,MATCH($A713,'03 Raw Data'!$A$3:$A$722,0)),""))</f>
        <v/>
      </c>
      <c r="C713" s="24">
        <f>IF($A713="","",IFERROR(INDEX('03 Raw Data'!$E$3:$E$722,MATCH($A713,'03 Raw Data'!$D$3:$D$722,0)),""))</f>
        <v/>
      </c>
      <c r="D713" s="24">
        <f>IF($A713="","",IFERROR(INDEX('03 Raw Data'!$H$3:$H$722,MATCH($A713,'03 Raw Data'!$G$3:$G$722,0)),""))</f>
        <v/>
      </c>
      <c r="E713" s="24">
        <f>IF($A713="","",IFERROR(INDEX('03 Raw Data'!$K$3:$K$722,MATCH($A713,'03 Raw Data'!$J$3:$J$722,0)),""))</f>
        <v/>
      </c>
      <c r="F713" s="24">
        <f>IF($A713="","",IFERROR(INDEX('03 Raw Data'!$N$3:$N$722,MATCH($A713,'03 Raw Data'!$M$3:$M$722,0)),""))</f>
        <v/>
      </c>
      <c r="G713" s="24">
        <f>IF($A713="","",IFERROR(INDEX('03 Raw Data'!$Q$3:$Q$722,MATCH($A713,'03 Raw Data'!$P$3:$P$722,0)),""))</f>
        <v/>
      </c>
      <c r="H713" s="24">
        <f>IF($A713="","",IFERROR(INDEX('03 Raw Data'!$T$3:$T$722,MATCH($A713,'03 Raw Data'!$S$3:$S$722,0)),""))</f>
        <v/>
      </c>
    </row>
    <row r="714">
      <c r="A714" s="23">
        <f>IFERROR(IF(OR('03 Raw Data'!A712="",'03 Raw Data'!A712=0),"",'03 Raw Data'!A712),"")</f>
        <v/>
      </c>
      <c r="B714" s="24">
        <f>IF($A714="","",IFERROR(INDEX('03 Raw Data'!$B$3:$B$722,MATCH($A714,'03 Raw Data'!$A$3:$A$722,0)),""))</f>
        <v/>
      </c>
      <c r="C714" s="24">
        <f>IF($A714="","",IFERROR(INDEX('03 Raw Data'!$E$3:$E$722,MATCH($A714,'03 Raw Data'!$D$3:$D$722,0)),""))</f>
        <v/>
      </c>
      <c r="D714" s="24">
        <f>IF($A714="","",IFERROR(INDEX('03 Raw Data'!$H$3:$H$722,MATCH($A714,'03 Raw Data'!$G$3:$G$722,0)),""))</f>
        <v/>
      </c>
      <c r="E714" s="24">
        <f>IF($A714="","",IFERROR(INDEX('03 Raw Data'!$K$3:$K$722,MATCH($A714,'03 Raw Data'!$J$3:$J$722,0)),""))</f>
        <v/>
      </c>
      <c r="F714" s="24">
        <f>IF($A714="","",IFERROR(INDEX('03 Raw Data'!$N$3:$N$722,MATCH($A714,'03 Raw Data'!$M$3:$M$722,0)),""))</f>
        <v/>
      </c>
      <c r="G714" s="24">
        <f>IF($A714="","",IFERROR(INDEX('03 Raw Data'!$Q$3:$Q$722,MATCH($A714,'03 Raw Data'!$P$3:$P$722,0)),""))</f>
        <v/>
      </c>
      <c r="H714" s="24">
        <f>IF($A714="","",IFERROR(INDEX('03 Raw Data'!$T$3:$T$722,MATCH($A714,'03 Raw Data'!$S$3:$S$722,0)),""))</f>
        <v/>
      </c>
    </row>
    <row r="715">
      <c r="A715" s="23">
        <f>IFERROR(IF(OR('03 Raw Data'!A713="",'03 Raw Data'!A713=0),"",'03 Raw Data'!A713),"")</f>
        <v/>
      </c>
      <c r="B715" s="24">
        <f>IF($A715="","",IFERROR(INDEX('03 Raw Data'!$B$3:$B$722,MATCH($A715,'03 Raw Data'!$A$3:$A$722,0)),""))</f>
        <v/>
      </c>
      <c r="C715" s="24">
        <f>IF($A715="","",IFERROR(INDEX('03 Raw Data'!$E$3:$E$722,MATCH($A715,'03 Raw Data'!$D$3:$D$722,0)),""))</f>
        <v/>
      </c>
      <c r="D715" s="24">
        <f>IF($A715="","",IFERROR(INDEX('03 Raw Data'!$H$3:$H$722,MATCH($A715,'03 Raw Data'!$G$3:$G$722,0)),""))</f>
        <v/>
      </c>
      <c r="E715" s="24">
        <f>IF($A715="","",IFERROR(INDEX('03 Raw Data'!$K$3:$K$722,MATCH($A715,'03 Raw Data'!$J$3:$J$722,0)),""))</f>
        <v/>
      </c>
      <c r="F715" s="24">
        <f>IF($A715="","",IFERROR(INDEX('03 Raw Data'!$N$3:$N$722,MATCH($A715,'03 Raw Data'!$M$3:$M$722,0)),""))</f>
        <v/>
      </c>
      <c r="G715" s="24">
        <f>IF($A715="","",IFERROR(INDEX('03 Raw Data'!$Q$3:$Q$722,MATCH($A715,'03 Raw Data'!$P$3:$P$722,0)),""))</f>
        <v/>
      </c>
      <c r="H715" s="24">
        <f>IF($A715="","",IFERROR(INDEX('03 Raw Data'!$T$3:$T$722,MATCH($A715,'03 Raw Data'!$S$3:$S$722,0)),""))</f>
        <v/>
      </c>
    </row>
    <row r="716">
      <c r="A716" s="23">
        <f>IFERROR(IF(OR('03 Raw Data'!A714="",'03 Raw Data'!A714=0),"",'03 Raw Data'!A714),"")</f>
        <v/>
      </c>
      <c r="B716" s="24">
        <f>IF($A716="","",IFERROR(INDEX('03 Raw Data'!$B$3:$B$722,MATCH($A716,'03 Raw Data'!$A$3:$A$722,0)),""))</f>
        <v/>
      </c>
      <c r="C716" s="24">
        <f>IF($A716="","",IFERROR(INDEX('03 Raw Data'!$E$3:$E$722,MATCH($A716,'03 Raw Data'!$D$3:$D$722,0)),""))</f>
        <v/>
      </c>
      <c r="D716" s="24">
        <f>IF($A716="","",IFERROR(INDEX('03 Raw Data'!$H$3:$H$722,MATCH($A716,'03 Raw Data'!$G$3:$G$722,0)),""))</f>
        <v/>
      </c>
      <c r="E716" s="24">
        <f>IF($A716="","",IFERROR(INDEX('03 Raw Data'!$K$3:$K$722,MATCH($A716,'03 Raw Data'!$J$3:$J$722,0)),""))</f>
        <v/>
      </c>
      <c r="F716" s="24">
        <f>IF($A716="","",IFERROR(INDEX('03 Raw Data'!$N$3:$N$722,MATCH($A716,'03 Raw Data'!$M$3:$M$722,0)),""))</f>
        <v/>
      </c>
      <c r="G716" s="24">
        <f>IF($A716="","",IFERROR(INDEX('03 Raw Data'!$Q$3:$Q$722,MATCH($A716,'03 Raw Data'!$P$3:$P$722,0)),""))</f>
        <v/>
      </c>
      <c r="H716" s="24">
        <f>IF($A716="","",IFERROR(INDEX('03 Raw Data'!$T$3:$T$722,MATCH($A716,'03 Raw Data'!$S$3:$S$722,0)),""))</f>
        <v/>
      </c>
    </row>
    <row r="717">
      <c r="A717" s="23">
        <f>IFERROR(IF(OR('03 Raw Data'!A715="",'03 Raw Data'!A715=0),"",'03 Raw Data'!A715),"")</f>
        <v/>
      </c>
      <c r="B717" s="24">
        <f>IF($A717="","",IFERROR(INDEX('03 Raw Data'!$B$3:$B$722,MATCH($A717,'03 Raw Data'!$A$3:$A$722,0)),""))</f>
        <v/>
      </c>
      <c r="C717" s="24">
        <f>IF($A717="","",IFERROR(INDEX('03 Raw Data'!$E$3:$E$722,MATCH($A717,'03 Raw Data'!$D$3:$D$722,0)),""))</f>
        <v/>
      </c>
      <c r="D717" s="24">
        <f>IF($A717="","",IFERROR(INDEX('03 Raw Data'!$H$3:$H$722,MATCH($A717,'03 Raw Data'!$G$3:$G$722,0)),""))</f>
        <v/>
      </c>
      <c r="E717" s="24">
        <f>IF($A717="","",IFERROR(INDEX('03 Raw Data'!$K$3:$K$722,MATCH($A717,'03 Raw Data'!$J$3:$J$722,0)),""))</f>
        <v/>
      </c>
      <c r="F717" s="24">
        <f>IF($A717="","",IFERROR(INDEX('03 Raw Data'!$N$3:$N$722,MATCH($A717,'03 Raw Data'!$M$3:$M$722,0)),""))</f>
        <v/>
      </c>
      <c r="G717" s="24">
        <f>IF($A717="","",IFERROR(INDEX('03 Raw Data'!$Q$3:$Q$722,MATCH($A717,'03 Raw Data'!$P$3:$P$722,0)),""))</f>
        <v/>
      </c>
      <c r="H717" s="24">
        <f>IF($A717="","",IFERROR(INDEX('03 Raw Data'!$T$3:$T$722,MATCH($A717,'03 Raw Data'!$S$3:$S$722,0)),""))</f>
        <v/>
      </c>
    </row>
    <row r="718">
      <c r="A718" s="23">
        <f>IFERROR(IF(OR('03 Raw Data'!A716="",'03 Raw Data'!A716=0),"",'03 Raw Data'!A716),"")</f>
        <v/>
      </c>
      <c r="B718" s="24">
        <f>IF($A718="","",IFERROR(INDEX('03 Raw Data'!$B$3:$B$722,MATCH($A718,'03 Raw Data'!$A$3:$A$722,0)),""))</f>
        <v/>
      </c>
      <c r="C718" s="24">
        <f>IF($A718="","",IFERROR(INDEX('03 Raw Data'!$E$3:$E$722,MATCH($A718,'03 Raw Data'!$D$3:$D$722,0)),""))</f>
        <v/>
      </c>
      <c r="D718" s="24">
        <f>IF($A718="","",IFERROR(INDEX('03 Raw Data'!$H$3:$H$722,MATCH($A718,'03 Raw Data'!$G$3:$G$722,0)),""))</f>
        <v/>
      </c>
      <c r="E718" s="24">
        <f>IF($A718="","",IFERROR(INDEX('03 Raw Data'!$K$3:$K$722,MATCH($A718,'03 Raw Data'!$J$3:$J$722,0)),""))</f>
        <v/>
      </c>
      <c r="F718" s="24">
        <f>IF($A718="","",IFERROR(INDEX('03 Raw Data'!$N$3:$N$722,MATCH($A718,'03 Raw Data'!$M$3:$M$722,0)),""))</f>
        <v/>
      </c>
      <c r="G718" s="24">
        <f>IF($A718="","",IFERROR(INDEX('03 Raw Data'!$Q$3:$Q$722,MATCH($A718,'03 Raw Data'!$P$3:$P$722,0)),""))</f>
        <v/>
      </c>
      <c r="H718" s="24">
        <f>IF($A718="","",IFERROR(INDEX('03 Raw Data'!$T$3:$T$722,MATCH($A718,'03 Raw Data'!$S$3:$S$722,0)),""))</f>
        <v/>
      </c>
    </row>
    <row r="719">
      <c r="A719" s="23">
        <f>IFERROR(IF(OR('03 Raw Data'!A717="",'03 Raw Data'!A717=0),"",'03 Raw Data'!A717),"")</f>
        <v/>
      </c>
      <c r="B719" s="24">
        <f>IF($A719="","",IFERROR(INDEX('03 Raw Data'!$B$3:$B$722,MATCH($A719,'03 Raw Data'!$A$3:$A$722,0)),""))</f>
        <v/>
      </c>
      <c r="C719" s="24">
        <f>IF($A719="","",IFERROR(INDEX('03 Raw Data'!$E$3:$E$722,MATCH($A719,'03 Raw Data'!$D$3:$D$722,0)),""))</f>
        <v/>
      </c>
      <c r="D719" s="24">
        <f>IF($A719="","",IFERROR(INDEX('03 Raw Data'!$H$3:$H$722,MATCH($A719,'03 Raw Data'!$G$3:$G$722,0)),""))</f>
        <v/>
      </c>
      <c r="E719" s="24">
        <f>IF($A719="","",IFERROR(INDEX('03 Raw Data'!$K$3:$K$722,MATCH($A719,'03 Raw Data'!$J$3:$J$722,0)),""))</f>
        <v/>
      </c>
      <c r="F719" s="24">
        <f>IF($A719="","",IFERROR(INDEX('03 Raw Data'!$N$3:$N$722,MATCH($A719,'03 Raw Data'!$M$3:$M$722,0)),""))</f>
        <v/>
      </c>
      <c r="G719" s="24">
        <f>IF($A719="","",IFERROR(INDEX('03 Raw Data'!$Q$3:$Q$722,MATCH($A719,'03 Raw Data'!$P$3:$P$722,0)),""))</f>
        <v/>
      </c>
      <c r="H719" s="24">
        <f>IF($A719="","",IFERROR(INDEX('03 Raw Data'!$T$3:$T$722,MATCH($A719,'03 Raw Data'!$S$3:$S$722,0)),""))</f>
        <v/>
      </c>
    </row>
    <row r="720">
      <c r="A720" s="23">
        <f>IFERROR(IF(OR('03 Raw Data'!A718="",'03 Raw Data'!A718=0),"",'03 Raw Data'!A718),"")</f>
        <v/>
      </c>
      <c r="B720" s="24">
        <f>IF($A720="","",IFERROR(INDEX('03 Raw Data'!$B$3:$B$722,MATCH($A720,'03 Raw Data'!$A$3:$A$722,0)),""))</f>
        <v/>
      </c>
      <c r="C720" s="24">
        <f>IF($A720="","",IFERROR(INDEX('03 Raw Data'!$E$3:$E$722,MATCH($A720,'03 Raw Data'!$D$3:$D$722,0)),""))</f>
        <v/>
      </c>
      <c r="D720" s="24">
        <f>IF($A720="","",IFERROR(INDEX('03 Raw Data'!$H$3:$H$722,MATCH($A720,'03 Raw Data'!$G$3:$G$722,0)),""))</f>
        <v/>
      </c>
      <c r="E720" s="24">
        <f>IF($A720="","",IFERROR(INDEX('03 Raw Data'!$K$3:$K$722,MATCH($A720,'03 Raw Data'!$J$3:$J$722,0)),""))</f>
        <v/>
      </c>
      <c r="F720" s="24">
        <f>IF($A720="","",IFERROR(INDEX('03 Raw Data'!$N$3:$N$722,MATCH($A720,'03 Raw Data'!$M$3:$M$722,0)),""))</f>
        <v/>
      </c>
      <c r="G720" s="24">
        <f>IF($A720="","",IFERROR(INDEX('03 Raw Data'!$Q$3:$Q$722,MATCH($A720,'03 Raw Data'!$P$3:$P$722,0)),""))</f>
        <v/>
      </c>
      <c r="H720" s="24">
        <f>IF($A720="","",IFERROR(INDEX('03 Raw Data'!$T$3:$T$722,MATCH($A720,'03 Raw Data'!$S$3:$S$722,0)),""))</f>
        <v/>
      </c>
    </row>
    <row r="721">
      <c r="A721" s="23">
        <f>IFERROR(IF(OR('03 Raw Data'!A719="",'03 Raw Data'!A719=0),"",'03 Raw Data'!A719),"")</f>
        <v/>
      </c>
      <c r="B721" s="24">
        <f>IF($A721="","",IFERROR(INDEX('03 Raw Data'!$B$3:$B$722,MATCH($A721,'03 Raw Data'!$A$3:$A$722,0)),""))</f>
        <v/>
      </c>
      <c r="C721" s="24">
        <f>IF($A721="","",IFERROR(INDEX('03 Raw Data'!$E$3:$E$722,MATCH($A721,'03 Raw Data'!$D$3:$D$722,0)),""))</f>
        <v/>
      </c>
      <c r="D721" s="24">
        <f>IF($A721="","",IFERROR(INDEX('03 Raw Data'!$H$3:$H$722,MATCH($A721,'03 Raw Data'!$G$3:$G$722,0)),""))</f>
        <v/>
      </c>
      <c r="E721" s="24">
        <f>IF($A721="","",IFERROR(INDEX('03 Raw Data'!$K$3:$K$722,MATCH($A721,'03 Raw Data'!$J$3:$J$722,0)),""))</f>
        <v/>
      </c>
      <c r="F721" s="24">
        <f>IF($A721="","",IFERROR(INDEX('03 Raw Data'!$N$3:$N$722,MATCH($A721,'03 Raw Data'!$M$3:$M$722,0)),""))</f>
        <v/>
      </c>
      <c r="G721" s="24">
        <f>IF($A721="","",IFERROR(INDEX('03 Raw Data'!$Q$3:$Q$722,MATCH($A721,'03 Raw Data'!$P$3:$P$722,0)),""))</f>
        <v/>
      </c>
      <c r="H721" s="24">
        <f>IF($A721="","",IFERROR(INDEX('03 Raw Data'!$T$3:$T$722,MATCH($A721,'03 Raw Data'!$S$3:$S$722,0)),""))</f>
        <v/>
      </c>
    </row>
    <row r="722">
      <c r="A722" s="23">
        <f>IFERROR(IF(OR('03 Raw Data'!A720="",'03 Raw Data'!A720=0),"",'03 Raw Data'!A720),"")</f>
        <v/>
      </c>
      <c r="B722" s="24">
        <f>IF($A722="","",IFERROR(INDEX('03 Raw Data'!$B$3:$B$722,MATCH($A722,'03 Raw Data'!$A$3:$A$722,0)),""))</f>
        <v/>
      </c>
      <c r="C722" s="24">
        <f>IF($A722="","",IFERROR(INDEX('03 Raw Data'!$E$3:$E$722,MATCH($A722,'03 Raw Data'!$D$3:$D$722,0)),""))</f>
        <v/>
      </c>
      <c r="D722" s="24">
        <f>IF($A722="","",IFERROR(INDEX('03 Raw Data'!$H$3:$H$722,MATCH($A722,'03 Raw Data'!$G$3:$G$722,0)),""))</f>
        <v/>
      </c>
      <c r="E722" s="24">
        <f>IF($A722="","",IFERROR(INDEX('03 Raw Data'!$K$3:$K$722,MATCH($A722,'03 Raw Data'!$J$3:$J$722,0)),""))</f>
        <v/>
      </c>
      <c r="F722" s="24">
        <f>IF($A722="","",IFERROR(INDEX('03 Raw Data'!$N$3:$N$722,MATCH($A722,'03 Raw Data'!$M$3:$M$722,0)),""))</f>
        <v/>
      </c>
      <c r="G722" s="24">
        <f>IF($A722="","",IFERROR(INDEX('03 Raw Data'!$Q$3:$Q$722,MATCH($A722,'03 Raw Data'!$P$3:$P$722,0)),""))</f>
        <v/>
      </c>
      <c r="H722" s="24">
        <f>IF($A722="","",IFERROR(INDEX('03 Raw Data'!$T$3:$T$722,MATCH($A722,'03 Raw Data'!$S$3:$S$722,0)),""))</f>
        <v/>
      </c>
    </row>
    <row r="723">
      <c r="A723" s="23">
        <f>IFERROR(IF(OR('03 Raw Data'!A721="",'03 Raw Data'!A721=0),"",'03 Raw Data'!A721),"")</f>
        <v/>
      </c>
      <c r="B723" s="24">
        <f>IF($A723="","",IFERROR(INDEX('03 Raw Data'!$B$3:$B$722,MATCH($A723,'03 Raw Data'!$A$3:$A$722,0)),""))</f>
        <v/>
      </c>
      <c r="C723" s="24">
        <f>IF($A723="","",IFERROR(INDEX('03 Raw Data'!$E$3:$E$722,MATCH($A723,'03 Raw Data'!$D$3:$D$722,0)),""))</f>
        <v/>
      </c>
      <c r="D723" s="24">
        <f>IF($A723="","",IFERROR(INDEX('03 Raw Data'!$H$3:$H$722,MATCH($A723,'03 Raw Data'!$G$3:$G$722,0)),""))</f>
        <v/>
      </c>
      <c r="E723" s="24">
        <f>IF($A723="","",IFERROR(INDEX('03 Raw Data'!$K$3:$K$722,MATCH($A723,'03 Raw Data'!$J$3:$J$722,0)),""))</f>
        <v/>
      </c>
      <c r="F723" s="24">
        <f>IF($A723="","",IFERROR(INDEX('03 Raw Data'!$N$3:$N$722,MATCH($A723,'03 Raw Data'!$M$3:$M$722,0)),""))</f>
        <v/>
      </c>
      <c r="G723" s="24">
        <f>IF($A723="","",IFERROR(INDEX('03 Raw Data'!$Q$3:$Q$722,MATCH($A723,'03 Raw Data'!$P$3:$P$722,0)),""))</f>
        <v/>
      </c>
      <c r="H723" s="24">
        <f>IF($A723="","",IFERROR(INDEX('03 Raw Data'!$T$3:$T$722,MATCH($A723,'03 Raw Data'!$S$3:$S$722,0)),""))</f>
        <v/>
      </c>
    </row>
    <row r="724">
      <c r="A724" s="23">
        <f>IFERROR(IF(OR('03 Raw Data'!A722="",'03 Raw Data'!A722=0),"",'03 Raw Data'!A722),"")</f>
        <v/>
      </c>
      <c r="B724" s="24">
        <f>IF($A724="","",IFERROR(INDEX('03 Raw Data'!$B$3:$B$722,MATCH($A724,'03 Raw Data'!$A$3:$A$722,0)),""))</f>
        <v/>
      </c>
      <c r="C724" s="24">
        <f>IF($A724="","",IFERROR(INDEX('03 Raw Data'!$E$3:$E$722,MATCH($A724,'03 Raw Data'!$D$3:$D$722,0)),""))</f>
        <v/>
      </c>
      <c r="D724" s="24">
        <f>IF($A724="","",IFERROR(INDEX('03 Raw Data'!$H$3:$H$722,MATCH($A724,'03 Raw Data'!$G$3:$G$722,0)),""))</f>
        <v/>
      </c>
      <c r="E724" s="24">
        <f>IF($A724="","",IFERROR(INDEX('03 Raw Data'!$K$3:$K$722,MATCH($A724,'03 Raw Data'!$J$3:$J$722,0)),""))</f>
        <v/>
      </c>
      <c r="F724" s="24">
        <f>IF($A724="","",IFERROR(INDEX('03 Raw Data'!$N$3:$N$722,MATCH($A724,'03 Raw Data'!$M$3:$M$722,0)),""))</f>
        <v/>
      </c>
      <c r="G724" s="24">
        <f>IF($A724="","",IFERROR(INDEX('03 Raw Data'!$Q$3:$Q$722,MATCH($A724,'03 Raw Data'!$P$3:$P$722,0)),""))</f>
        <v/>
      </c>
      <c r="H724" s="24">
        <f>IF($A724="","",IFERROR(INDEX('03 Raw Data'!$T$3:$T$722,MATCH($A724,'03 Raw Data'!$S$3:$S$722,0)),""))</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H7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Daily Simple (Arithmetic) Returns</t>
        </is>
      </c>
    </row>
    <row r="2">
      <c r="A2" s="2" t="inlineStr">
        <is>
          <t>r_t = P_t / P_(t-1) - 1, one row per trading day after the first. Simple returns aggregate correctly ACROSS ASSETS, which is why the portfolio return series and every risk metric are built from these.</t>
        </is>
      </c>
    </row>
    <row r="3">
      <c r="A3" s="3" t="inlineStr">
        <is>
          <t>Mirrors: returns.py -&gt; simple_returns(prices) = prices.pct_change().dropna()</t>
        </is>
      </c>
    </row>
    <row r="4">
      <c r="A4" s="7" t="inlineStr">
        <is>
          <t>Date</t>
        </is>
      </c>
      <c r="B4" s="7" t="inlineStr">
        <is>
          <t>JPM</t>
        </is>
      </c>
      <c r="C4" s="7" t="inlineStr">
        <is>
          <t>MS</t>
        </is>
      </c>
      <c r="D4" s="7" t="inlineStr">
        <is>
          <t>BAC</t>
        </is>
      </c>
      <c r="E4" s="7" t="inlineStr">
        <is>
          <t>AAPL</t>
        </is>
      </c>
      <c r="F4" s="7" t="inlineStr">
        <is>
          <t>MSFT</t>
        </is>
      </c>
      <c r="G4" s="7" t="inlineStr">
        <is>
          <t>GLD</t>
        </is>
      </c>
      <c r="H4" s="7" t="inlineStr">
        <is>
          <t>BENCHMARK</t>
        </is>
      </c>
    </row>
    <row r="5">
      <c r="A5" s="23">
        <f>IF('04 Prices'!A6="","",'04 Prices'!A6)</f>
        <v/>
      </c>
      <c r="B5" s="25">
        <f>IF(OR($A5="",'04 Prices'!B5="",'04 Prices'!B6=""),"",'04 Prices'!B6/'04 Prices'!B5-1)</f>
        <v/>
      </c>
      <c r="C5" s="25">
        <f>IF(OR($A5="",'04 Prices'!C5="",'04 Prices'!C6=""),"",'04 Prices'!C6/'04 Prices'!C5-1)</f>
        <v/>
      </c>
      <c r="D5" s="25">
        <f>IF(OR($A5="",'04 Prices'!D5="",'04 Prices'!D6=""),"",'04 Prices'!D6/'04 Prices'!D5-1)</f>
        <v/>
      </c>
      <c r="E5" s="25">
        <f>IF(OR($A5="",'04 Prices'!E5="",'04 Prices'!E6=""),"",'04 Prices'!E6/'04 Prices'!E5-1)</f>
        <v/>
      </c>
      <c r="F5" s="25">
        <f>IF(OR($A5="",'04 Prices'!F5="",'04 Prices'!F6=""),"",'04 Prices'!F6/'04 Prices'!F5-1)</f>
        <v/>
      </c>
      <c r="G5" s="25">
        <f>IF(OR($A5="",'04 Prices'!G5="",'04 Prices'!G6=""),"",'04 Prices'!G6/'04 Prices'!G5-1)</f>
        <v/>
      </c>
      <c r="H5" s="25">
        <f>IF(OR($A5="",'04 Prices'!H5="",'04 Prices'!H6=""),"",'04 Prices'!H6/'04 Prices'!H5-1)</f>
        <v/>
      </c>
    </row>
    <row r="6">
      <c r="A6" s="23">
        <f>IF('04 Prices'!A7="","",'04 Prices'!A7)</f>
        <v/>
      </c>
      <c r="B6" s="25">
        <f>IF(OR($A6="",'04 Prices'!B6="",'04 Prices'!B7=""),"",'04 Prices'!B7/'04 Prices'!B6-1)</f>
        <v/>
      </c>
      <c r="C6" s="25">
        <f>IF(OR($A6="",'04 Prices'!C6="",'04 Prices'!C7=""),"",'04 Prices'!C7/'04 Prices'!C6-1)</f>
        <v/>
      </c>
      <c r="D6" s="25">
        <f>IF(OR($A6="",'04 Prices'!D6="",'04 Prices'!D7=""),"",'04 Prices'!D7/'04 Prices'!D6-1)</f>
        <v/>
      </c>
      <c r="E6" s="25">
        <f>IF(OR($A6="",'04 Prices'!E6="",'04 Prices'!E7=""),"",'04 Prices'!E7/'04 Prices'!E6-1)</f>
        <v/>
      </c>
      <c r="F6" s="25">
        <f>IF(OR($A6="",'04 Prices'!F6="",'04 Prices'!F7=""),"",'04 Prices'!F7/'04 Prices'!F6-1)</f>
        <v/>
      </c>
      <c r="G6" s="25">
        <f>IF(OR($A6="",'04 Prices'!G6="",'04 Prices'!G7=""),"",'04 Prices'!G7/'04 Prices'!G6-1)</f>
        <v/>
      </c>
      <c r="H6" s="25">
        <f>IF(OR($A6="",'04 Prices'!H6="",'04 Prices'!H7=""),"",'04 Prices'!H7/'04 Prices'!H6-1)</f>
        <v/>
      </c>
    </row>
    <row r="7">
      <c r="A7" s="23">
        <f>IF('04 Prices'!A8="","",'04 Prices'!A8)</f>
        <v/>
      </c>
      <c r="B7" s="25">
        <f>IF(OR($A7="",'04 Prices'!B7="",'04 Prices'!B8=""),"",'04 Prices'!B8/'04 Prices'!B7-1)</f>
        <v/>
      </c>
      <c r="C7" s="25">
        <f>IF(OR($A7="",'04 Prices'!C7="",'04 Prices'!C8=""),"",'04 Prices'!C8/'04 Prices'!C7-1)</f>
        <v/>
      </c>
      <c r="D7" s="25">
        <f>IF(OR($A7="",'04 Prices'!D7="",'04 Prices'!D8=""),"",'04 Prices'!D8/'04 Prices'!D7-1)</f>
        <v/>
      </c>
      <c r="E7" s="25">
        <f>IF(OR($A7="",'04 Prices'!E7="",'04 Prices'!E8=""),"",'04 Prices'!E8/'04 Prices'!E7-1)</f>
        <v/>
      </c>
      <c r="F7" s="25">
        <f>IF(OR($A7="",'04 Prices'!F7="",'04 Prices'!F8=""),"",'04 Prices'!F8/'04 Prices'!F7-1)</f>
        <v/>
      </c>
      <c r="G7" s="25">
        <f>IF(OR($A7="",'04 Prices'!G7="",'04 Prices'!G8=""),"",'04 Prices'!G8/'04 Prices'!G7-1)</f>
        <v/>
      </c>
      <c r="H7" s="25">
        <f>IF(OR($A7="",'04 Prices'!H7="",'04 Prices'!H8=""),"",'04 Prices'!H8/'04 Prices'!H7-1)</f>
        <v/>
      </c>
    </row>
    <row r="8">
      <c r="A8" s="23">
        <f>IF('04 Prices'!A9="","",'04 Prices'!A9)</f>
        <v/>
      </c>
      <c r="B8" s="25">
        <f>IF(OR($A8="",'04 Prices'!B8="",'04 Prices'!B9=""),"",'04 Prices'!B9/'04 Prices'!B8-1)</f>
        <v/>
      </c>
      <c r="C8" s="25">
        <f>IF(OR($A8="",'04 Prices'!C8="",'04 Prices'!C9=""),"",'04 Prices'!C9/'04 Prices'!C8-1)</f>
        <v/>
      </c>
      <c r="D8" s="25">
        <f>IF(OR($A8="",'04 Prices'!D8="",'04 Prices'!D9=""),"",'04 Prices'!D9/'04 Prices'!D8-1)</f>
        <v/>
      </c>
      <c r="E8" s="25">
        <f>IF(OR($A8="",'04 Prices'!E8="",'04 Prices'!E9=""),"",'04 Prices'!E9/'04 Prices'!E8-1)</f>
        <v/>
      </c>
      <c r="F8" s="25">
        <f>IF(OR($A8="",'04 Prices'!F8="",'04 Prices'!F9=""),"",'04 Prices'!F9/'04 Prices'!F8-1)</f>
        <v/>
      </c>
      <c r="G8" s="25">
        <f>IF(OR($A8="",'04 Prices'!G8="",'04 Prices'!G9=""),"",'04 Prices'!G9/'04 Prices'!G8-1)</f>
        <v/>
      </c>
      <c r="H8" s="25">
        <f>IF(OR($A8="",'04 Prices'!H8="",'04 Prices'!H9=""),"",'04 Prices'!H9/'04 Prices'!H8-1)</f>
        <v/>
      </c>
    </row>
    <row r="9">
      <c r="A9" s="23">
        <f>IF('04 Prices'!A10="","",'04 Prices'!A10)</f>
        <v/>
      </c>
      <c r="B9" s="25">
        <f>IF(OR($A9="",'04 Prices'!B9="",'04 Prices'!B10=""),"",'04 Prices'!B10/'04 Prices'!B9-1)</f>
        <v/>
      </c>
      <c r="C9" s="25">
        <f>IF(OR($A9="",'04 Prices'!C9="",'04 Prices'!C10=""),"",'04 Prices'!C10/'04 Prices'!C9-1)</f>
        <v/>
      </c>
      <c r="D9" s="25">
        <f>IF(OR($A9="",'04 Prices'!D9="",'04 Prices'!D10=""),"",'04 Prices'!D10/'04 Prices'!D9-1)</f>
        <v/>
      </c>
      <c r="E9" s="25">
        <f>IF(OR($A9="",'04 Prices'!E9="",'04 Prices'!E10=""),"",'04 Prices'!E10/'04 Prices'!E9-1)</f>
        <v/>
      </c>
      <c r="F9" s="25">
        <f>IF(OR($A9="",'04 Prices'!F9="",'04 Prices'!F10=""),"",'04 Prices'!F10/'04 Prices'!F9-1)</f>
        <v/>
      </c>
      <c r="G9" s="25">
        <f>IF(OR($A9="",'04 Prices'!G9="",'04 Prices'!G10=""),"",'04 Prices'!G10/'04 Prices'!G9-1)</f>
        <v/>
      </c>
      <c r="H9" s="25">
        <f>IF(OR($A9="",'04 Prices'!H9="",'04 Prices'!H10=""),"",'04 Prices'!H10/'04 Prices'!H9-1)</f>
        <v/>
      </c>
    </row>
    <row r="10">
      <c r="A10" s="23">
        <f>IF('04 Prices'!A11="","",'04 Prices'!A11)</f>
        <v/>
      </c>
      <c r="B10" s="25">
        <f>IF(OR($A10="",'04 Prices'!B10="",'04 Prices'!B11=""),"",'04 Prices'!B11/'04 Prices'!B10-1)</f>
        <v/>
      </c>
      <c r="C10" s="25">
        <f>IF(OR($A10="",'04 Prices'!C10="",'04 Prices'!C11=""),"",'04 Prices'!C11/'04 Prices'!C10-1)</f>
        <v/>
      </c>
      <c r="D10" s="25">
        <f>IF(OR($A10="",'04 Prices'!D10="",'04 Prices'!D11=""),"",'04 Prices'!D11/'04 Prices'!D10-1)</f>
        <v/>
      </c>
      <c r="E10" s="25">
        <f>IF(OR($A10="",'04 Prices'!E10="",'04 Prices'!E11=""),"",'04 Prices'!E11/'04 Prices'!E10-1)</f>
        <v/>
      </c>
      <c r="F10" s="25">
        <f>IF(OR($A10="",'04 Prices'!F10="",'04 Prices'!F11=""),"",'04 Prices'!F11/'04 Prices'!F10-1)</f>
        <v/>
      </c>
      <c r="G10" s="25">
        <f>IF(OR($A10="",'04 Prices'!G10="",'04 Prices'!G11=""),"",'04 Prices'!G11/'04 Prices'!G10-1)</f>
        <v/>
      </c>
      <c r="H10" s="25">
        <f>IF(OR($A10="",'04 Prices'!H10="",'04 Prices'!H11=""),"",'04 Prices'!H11/'04 Prices'!H10-1)</f>
        <v/>
      </c>
    </row>
    <row r="11">
      <c r="A11" s="23">
        <f>IF('04 Prices'!A12="","",'04 Prices'!A12)</f>
        <v/>
      </c>
      <c r="B11" s="25">
        <f>IF(OR($A11="",'04 Prices'!B11="",'04 Prices'!B12=""),"",'04 Prices'!B12/'04 Prices'!B11-1)</f>
        <v/>
      </c>
      <c r="C11" s="25">
        <f>IF(OR($A11="",'04 Prices'!C11="",'04 Prices'!C12=""),"",'04 Prices'!C12/'04 Prices'!C11-1)</f>
        <v/>
      </c>
      <c r="D11" s="25">
        <f>IF(OR($A11="",'04 Prices'!D11="",'04 Prices'!D12=""),"",'04 Prices'!D12/'04 Prices'!D11-1)</f>
        <v/>
      </c>
      <c r="E11" s="25">
        <f>IF(OR($A11="",'04 Prices'!E11="",'04 Prices'!E12=""),"",'04 Prices'!E12/'04 Prices'!E11-1)</f>
        <v/>
      </c>
      <c r="F11" s="25">
        <f>IF(OR($A11="",'04 Prices'!F11="",'04 Prices'!F12=""),"",'04 Prices'!F12/'04 Prices'!F11-1)</f>
        <v/>
      </c>
      <c r="G11" s="25">
        <f>IF(OR($A11="",'04 Prices'!G11="",'04 Prices'!G12=""),"",'04 Prices'!G12/'04 Prices'!G11-1)</f>
        <v/>
      </c>
      <c r="H11" s="25">
        <f>IF(OR($A11="",'04 Prices'!H11="",'04 Prices'!H12=""),"",'04 Prices'!H12/'04 Prices'!H11-1)</f>
        <v/>
      </c>
    </row>
    <row r="12">
      <c r="A12" s="23">
        <f>IF('04 Prices'!A13="","",'04 Prices'!A13)</f>
        <v/>
      </c>
      <c r="B12" s="25">
        <f>IF(OR($A12="",'04 Prices'!B12="",'04 Prices'!B13=""),"",'04 Prices'!B13/'04 Prices'!B12-1)</f>
        <v/>
      </c>
      <c r="C12" s="25">
        <f>IF(OR($A12="",'04 Prices'!C12="",'04 Prices'!C13=""),"",'04 Prices'!C13/'04 Prices'!C12-1)</f>
        <v/>
      </c>
      <c r="D12" s="25">
        <f>IF(OR($A12="",'04 Prices'!D12="",'04 Prices'!D13=""),"",'04 Prices'!D13/'04 Prices'!D12-1)</f>
        <v/>
      </c>
      <c r="E12" s="25">
        <f>IF(OR($A12="",'04 Prices'!E12="",'04 Prices'!E13=""),"",'04 Prices'!E13/'04 Prices'!E12-1)</f>
        <v/>
      </c>
      <c r="F12" s="25">
        <f>IF(OR($A12="",'04 Prices'!F12="",'04 Prices'!F13=""),"",'04 Prices'!F13/'04 Prices'!F12-1)</f>
        <v/>
      </c>
      <c r="G12" s="25">
        <f>IF(OR($A12="",'04 Prices'!G12="",'04 Prices'!G13=""),"",'04 Prices'!G13/'04 Prices'!G12-1)</f>
        <v/>
      </c>
      <c r="H12" s="25">
        <f>IF(OR($A12="",'04 Prices'!H12="",'04 Prices'!H13=""),"",'04 Prices'!H13/'04 Prices'!H12-1)</f>
        <v/>
      </c>
    </row>
    <row r="13">
      <c r="A13" s="23">
        <f>IF('04 Prices'!A14="","",'04 Prices'!A14)</f>
        <v/>
      </c>
      <c r="B13" s="25">
        <f>IF(OR($A13="",'04 Prices'!B13="",'04 Prices'!B14=""),"",'04 Prices'!B14/'04 Prices'!B13-1)</f>
        <v/>
      </c>
      <c r="C13" s="25">
        <f>IF(OR($A13="",'04 Prices'!C13="",'04 Prices'!C14=""),"",'04 Prices'!C14/'04 Prices'!C13-1)</f>
        <v/>
      </c>
      <c r="D13" s="25">
        <f>IF(OR($A13="",'04 Prices'!D13="",'04 Prices'!D14=""),"",'04 Prices'!D14/'04 Prices'!D13-1)</f>
        <v/>
      </c>
      <c r="E13" s="25">
        <f>IF(OR($A13="",'04 Prices'!E13="",'04 Prices'!E14=""),"",'04 Prices'!E14/'04 Prices'!E13-1)</f>
        <v/>
      </c>
      <c r="F13" s="25">
        <f>IF(OR($A13="",'04 Prices'!F13="",'04 Prices'!F14=""),"",'04 Prices'!F14/'04 Prices'!F13-1)</f>
        <v/>
      </c>
      <c r="G13" s="25">
        <f>IF(OR($A13="",'04 Prices'!G13="",'04 Prices'!G14=""),"",'04 Prices'!G14/'04 Prices'!G13-1)</f>
        <v/>
      </c>
      <c r="H13" s="25">
        <f>IF(OR($A13="",'04 Prices'!H13="",'04 Prices'!H14=""),"",'04 Prices'!H14/'04 Prices'!H13-1)</f>
        <v/>
      </c>
    </row>
    <row r="14">
      <c r="A14" s="23">
        <f>IF('04 Prices'!A15="","",'04 Prices'!A15)</f>
        <v/>
      </c>
      <c r="B14" s="25">
        <f>IF(OR($A14="",'04 Prices'!B14="",'04 Prices'!B15=""),"",'04 Prices'!B15/'04 Prices'!B14-1)</f>
        <v/>
      </c>
      <c r="C14" s="25">
        <f>IF(OR($A14="",'04 Prices'!C14="",'04 Prices'!C15=""),"",'04 Prices'!C15/'04 Prices'!C14-1)</f>
        <v/>
      </c>
      <c r="D14" s="25">
        <f>IF(OR($A14="",'04 Prices'!D14="",'04 Prices'!D15=""),"",'04 Prices'!D15/'04 Prices'!D14-1)</f>
        <v/>
      </c>
      <c r="E14" s="25">
        <f>IF(OR($A14="",'04 Prices'!E14="",'04 Prices'!E15=""),"",'04 Prices'!E15/'04 Prices'!E14-1)</f>
        <v/>
      </c>
      <c r="F14" s="25">
        <f>IF(OR($A14="",'04 Prices'!F14="",'04 Prices'!F15=""),"",'04 Prices'!F15/'04 Prices'!F14-1)</f>
        <v/>
      </c>
      <c r="G14" s="25">
        <f>IF(OR($A14="",'04 Prices'!G14="",'04 Prices'!G15=""),"",'04 Prices'!G15/'04 Prices'!G14-1)</f>
        <v/>
      </c>
      <c r="H14" s="25">
        <f>IF(OR($A14="",'04 Prices'!H14="",'04 Prices'!H15=""),"",'04 Prices'!H15/'04 Prices'!H14-1)</f>
        <v/>
      </c>
    </row>
    <row r="15">
      <c r="A15" s="23">
        <f>IF('04 Prices'!A16="","",'04 Prices'!A16)</f>
        <v/>
      </c>
      <c r="B15" s="25">
        <f>IF(OR($A15="",'04 Prices'!B15="",'04 Prices'!B16=""),"",'04 Prices'!B16/'04 Prices'!B15-1)</f>
        <v/>
      </c>
      <c r="C15" s="25">
        <f>IF(OR($A15="",'04 Prices'!C15="",'04 Prices'!C16=""),"",'04 Prices'!C16/'04 Prices'!C15-1)</f>
        <v/>
      </c>
      <c r="D15" s="25">
        <f>IF(OR($A15="",'04 Prices'!D15="",'04 Prices'!D16=""),"",'04 Prices'!D16/'04 Prices'!D15-1)</f>
        <v/>
      </c>
      <c r="E15" s="25">
        <f>IF(OR($A15="",'04 Prices'!E15="",'04 Prices'!E16=""),"",'04 Prices'!E16/'04 Prices'!E15-1)</f>
        <v/>
      </c>
      <c r="F15" s="25">
        <f>IF(OR($A15="",'04 Prices'!F15="",'04 Prices'!F16=""),"",'04 Prices'!F16/'04 Prices'!F15-1)</f>
        <v/>
      </c>
      <c r="G15" s="25">
        <f>IF(OR($A15="",'04 Prices'!G15="",'04 Prices'!G16=""),"",'04 Prices'!G16/'04 Prices'!G15-1)</f>
        <v/>
      </c>
      <c r="H15" s="25">
        <f>IF(OR($A15="",'04 Prices'!H15="",'04 Prices'!H16=""),"",'04 Prices'!H16/'04 Prices'!H15-1)</f>
        <v/>
      </c>
    </row>
    <row r="16">
      <c r="A16" s="23">
        <f>IF('04 Prices'!A17="","",'04 Prices'!A17)</f>
        <v/>
      </c>
      <c r="B16" s="25">
        <f>IF(OR($A16="",'04 Prices'!B16="",'04 Prices'!B17=""),"",'04 Prices'!B17/'04 Prices'!B16-1)</f>
        <v/>
      </c>
      <c r="C16" s="25">
        <f>IF(OR($A16="",'04 Prices'!C16="",'04 Prices'!C17=""),"",'04 Prices'!C17/'04 Prices'!C16-1)</f>
        <v/>
      </c>
      <c r="D16" s="25">
        <f>IF(OR($A16="",'04 Prices'!D16="",'04 Prices'!D17=""),"",'04 Prices'!D17/'04 Prices'!D16-1)</f>
        <v/>
      </c>
      <c r="E16" s="25">
        <f>IF(OR($A16="",'04 Prices'!E16="",'04 Prices'!E17=""),"",'04 Prices'!E17/'04 Prices'!E16-1)</f>
        <v/>
      </c>
      <c r="F16" s="25">
        <f>IF(OR($A16="",'04 Prices'!F16="",'04 Prices'!F17=""),"",'04 Prices'!F17/'04 Prices'!F16-1)</f>
        <v/>
      </c>
      <c r="G16" s="25">
        <f>IF(OR($A16="",'04 Prices'!G16="",'04 Prices'!G17=""),"",'04 Prices'!G17/'04 Prices'!G16-1)</f>
        <v/>
      </c>
      <c r="H16" s="25">
        <f>IF(OR($A16="",'04 Prices'!H16="",'04 Prices'!H17=""),"",'04 Prices'!H17/'04 Prices'!H16-1)</f>
        <v/>
      </c>
    </row>
    <row r="17">
      <c r="A17" s="23">
        <f>IF('04 Prices'!A18="","",'04 Prices'!A18)</f>
        <v/>
      </c>
      <c r="B17" s="25">
        <f>IF(OR($A17="",'04 Prices'!B17="",'04 Prices'!B18=""),"",'04 Prices'!B18/'04 Prices'!B17-1)</f>
        <v/>
      </c>
      <c r="C17" s="25">
        <f>IF(OR($A17="",'04 Prices'!C17="",'04 Prices'!C18=""),"",'04 Prices'!C18/'04 Prices'!C17-1)</f>
        <v/>
      </c>
      <c r="D17" s="25">
        <f>IF(OR($A17="",'04 Prices'!D17="",'04 Prices'!D18=""),"",'04 Prices'!D18/'04 Prices'!D17-1)</f>
        <v/>
      </c>
      <c r="E17" s="25">
        <f>IF(OR($A17="",'04 Prices'!E17="",'04 Prices'!E18=""),"",'04 Prices'!E18/'04 Prices'!E17-1)</f>
        <v/>
      </c>
      <c r="F17" s="25">
        <f>IF(OR($A17="",'04 Prices'!F17="",'04 Prices'!F18=""),"",'04 Prices'!F18/'04 Prices'!F17-1)</f>
        <v/>
      </c>
      <c r="G17" s="25">
        <f>IF(OR($A17="",'04 Prices'!G17="",'04 Prices'!G18=""),"",'04 Prices'!G18/'04 Prices'!G17-1)</f>
        <v/>
      </c>
      <c r="H17" s="25">
        <f>IF(OR($A17="",'04 Prices'!H17="",'04 Prices'!H18=""),"",'04 Prices'!H18/'04 Prices'!H17-1)</f>
        <v/>
      </c>
    </row>
    <row r="18">
      <c r="A18" s="23">
        <f>IF('04 Prices'!A19="","",'04 Prices'!A19)</f>
        <v/>
      </c>
      <c r="B18" s="25">
        <f>IF(OR($A18="",'04 Prices'!B18="",'04 Prices'!B19=""),"",'04 Prices'!B19/'04 Prices'!B18-1)</f>
        <v/>
      </c>
      <c r="C18" s="25">
        <f>IF(OR($A18="",'04 Prices'!C18="",'04 Prices'!C19=""),"",'04 Prices'!C19/'04 Prices'!C18-1)</f>
        <v/>
      </c>
      <c r="D18" s="25">
        <f>IF(OR($A18="",'04 Prices'!D18="",'04 Prices'!D19=""),"",'04 Prices'!D19/'04 Prices'!D18-1)</f>
        <v/>
      </c>
      <c r="E18" s="25">
        <f>IF(OR($A18="",'04 Prices'!E18="",'04 Prices'!E19=""),"",'04 Prices'!E19/'04 Prices'!E18-1)</f>
        <v/>
      </c>
      <c r="F18" s="25">
        <f>IF(OR($A18="",'04 Prices'!F18="",'04 Prices'!F19=""),"",'04 Prices'!F19/'04 Prices'!F18-1)</f>
        <v/>
      </c>
      <c r="G18" s="25">
        <f>IF(OR($A18="",'04 Prices'!G18="",'04 Prices'!G19=""),"",'04 Prices'!G19/'04 Prices'!G18-1)</f>
        <v/>
      </c>
      <c r="H18" s="25">
        <f>IF(OR($A18="",'04 Prices'!H18="",'04 Prices'!H19=""),"",'04 Prices'!H19/'04 Prices'!H18-1)</f>
        <v/>
      </c>
    </row>
    <row r="19">
      <c r="A19" s="23">
        <f>IF('04 Prices'!A20="","",'04 Prices'!A20)</f>
        <v/>
      </c>
      <c r="B19" s="25">
        <f>IF(OR($A19="",'04 Prices'!B19="",'04 Prices'!B20=""),"",'04 Prices'!B20/'04 Prices'!B19-1)</f>
        <v/>
      </c>
      <c r="C19" s="25">
        <f>IF(OR($A19="",'04 Prices'!C19="",'04 Prices'!C20=""),"",'04 Prices'!C20/'04 Prices'!C19-1)</f>
        <v/>
      </c>
      <c r="D19" s="25">
        <f>IF(OR($A19="",'04 Prices'!D19="",'04 Prices'!D20=""),"",'04 Prices'!D20/'04 Prices'!D19-1)</f>
        <v/>
      </c>
      <c r="E19" s="25">
        <f>IF(OR($A19="",'04 Prices'!E19="",'04 Prices'!E20=""),"",'04 Prices'!E20/'04 Prices'!E19-1)</f>
        <v/>
      </c>
      <c r="F19" s="25">
        <f>IF(OR($A19="",'04 Prices'!F19="",'04 Prices'!F20=""),"",'04 Prices'!F20/'04 Prices'!F19-1)</f>
        <v/>
      </c>
      <c r="G19" s="25">
        <f>IF(OR($A19="",'04 Prices'!G19="",'04 Prices'!G20=""),"",'04 Prices'!G20/'04 Prices'!G19-1)</f>
        <v/>
      </c>
      <c r="H19" s="25">
        <f>IF(OR($A19="",'04 Prices'!H19="",'04 Prices'!H20=""),"",'04 Prices'!H20/'04 Prices'!H19-1)</f>
        <v/>
      </c>
    </row>
    <row r="20">
      <c r="A20" s="23">
        <f>IF('04 Prices'!A21="","",'04 Prices'!A21)</f>
        <v/>
      </c>
      <c r="B20" s="25">
        <f>IF(OR($A20="",'04 Prices'!B20="",'04 Prices'!B21=""),"",'04 Prices'!B21/'04 Prices'!B20-1)</f>
        <v/>
      </c>
      <c r="C20" s="25">
        <f>IF(OR($A20="",'04 Prices'!C20="",'04 Prices'!C21=""),"",'04 Prices'!C21/'04 Prices'!C20-1)</f>
        <v/>
      </c>
      <c r="D20" s="25">
        <f>IF(OR($A20="",'04 Prices'!D20="",'04 Prices'!D21=""),"",'04 Prices'!D21/'04 Prices'!D20-1)</f>
        <v/>
      </c>
      <c r="E20" s="25">
        <f>IF(OR($A20="",'04 Prices'!E20="",'04 Prices'!E21=""),"",'04 Prices'!E21/'04 Prices'!E20-1)</f>
        <v/>
      </c>
      <c r="F20" s="25">
        <f>IF(OR($A20="",'04 Prices'!F20="",'04 Prices'!F21=""),"",'04 Prices'!F21/'04 Prices'!F20-1)</f>
        <v/>
      </c>
      <c r="G20" s="25">
        <f>IF(OR($A20="",'04 Prices'!G20="",'04 Prices'!G21=""),"",'04 Prices'!G21/'04 Prices'!G20-1)</f>
        <v/>
      </c>
      <c r="H20" s="25">
        <f>IF(OR($A20="",'04 Prices'!H20="",'04 Prices'!H21=""),"",'04 Prices'!H21/'04 Prices'!H20-1)</f>
        <v/>
      </c>
    </row>
    <row r="21">
      <c r="A21" s="23">
        <f>IF('04 Prices'!A22="","",'04 Prices'!A22)</f>
        <v/>
      </c>
      <c r="B21" s="25">
        <f>IF(OR($A21="",'04 Prices'!B21="",'04 Prices'!B22=""),"",'04 Prices'!B22/'04 Prices'!B21-1)</f>
        <v/>
      </c>
      <c r="C21" s="25">
        <f>IF(OR($A21="",'04 Prices'!C21="",'04 Prices'!C22=""),"",'04 Prices'!C22/'04 Prices'!C21-1)</f>
        <v/>
      </c>
      <c r="D21" s="25">
        <f>IF(OR($A21="",'04 Prices'!D21="",'04 Prices'!D22=""),"",'04 Prices'!D22/'04 Prices'!D21-1)</f>
        <v/>
      </c>
      <c r="E21" s="25">
        <f>IF(OR($A21="",'04 Prices'!E21="",'04 Prices'!E22=""),"",'04 Prices'!E22/'04 Prices'!E21-1)</f>
        <v/>
      </c>
      <c r="F21" s="25">
        <f>IF(OR($A21="",'04 Prices'!F21="",'04 Prices'!F22=""),"",'04 Prices'!F22/'04 Prices'!F21-1)</f>
        <v/>
      </c>
      <c r="G21" s="25">
        <f>IF(OR($A21="",'04 Prices'!G21="",'04 Prices'!G22=""),"",'04 Prices'!G22/'04 Prices'!G21-1)</f>
        <v/>
      </c>
      <c r="H21" s="25">
        <f>IF(OR($A21="",'04 Prices'!H21="",'04 Prices'!H22=""),"",'04 Prices'!H22/'04 Prices'!H21-1)</f>
        <v/>
      </c>
    </row>
    <row r="22">
      <c r="A22" s="23">
        <f>IF('04 Prices'!A23="","",'04 Prices'!A23)</f>
        <v/>
      </c>
      <c r="B22" s="25">
        <f>IF(OR($A22="",'04 Prices'!B22="",'04 Prices'!B23=""),"",'04 Prices'!B23/'04 Prices'!B22-1)</f>
        <v/>
      </c>
      <c r="C22" s="25">
        <f>IF(OR($A22="",'04 Prices'!C22="",'04 Prices'!C23=""),"",'04 Prices'!C23/'04 Prices'!C22-1)</f>
        <v/>
      </c>
      <c r="D22" s="25">
        <f>IF(OR($A22="",'04 Prices'!D22="",'04 Prices'!D23=""),"",'04 Prices'!D23/'04 Prices'!D22-1)</f>
        <v/>
      </c>
      <c r="E22" s="25">
        <f>IF(OR($A22="",'04 Prices'!E22="",'04 Prices'!E23=""),"",'04 Prices'!E23/'04 Prices'!E22-1)</f>
        <v/>
      </c>
      <c r="F22" s="25">
        <f>IF(OR($A22="",'04 Prices'!F22="",'04 Prices'!F23=""),"",'04 Prices'!F23/'04 Prices'!F22-1)</f>
        <v/>
      </c>
      <c r="G22" s="25">
        <f>IF(OR($A22="",'04 Prices'!G22="",'04 Prices'!G23=""),"",'04 Prices'!G23/'04 Prices'!G22-1)</f>
        <v/>
      </c>
      <c r="H22" s="25">
        <f>IF(OR($A22="",'04 Prices'!H22="",'04 Prices'!H23=""),"",'04 Prices'!H23/'04 Prices'!H22-1)</f>
        <v/>
      </c>
    </row>
    <row r="23">
      <c r="A23" s="23">
        <f>IF('04 Prices'!A24="","",'04 Prices'!A24)</f>
        <v/>
      </c>
      <c r="B23" s="25">
        <f>IF(OR($A23="",'04 Prices'!B23="",'04 Prices'!B24=""),"",'04 Prices'!B24/'04 Prices'!B23-1)</f>
        <v/>
      </c>
      <c r="C23" s="25">
        <f>IF(OR($A23="",'04 Prices'!C23="",'04 Prices'!C24=""),"",'04 Prices'!C24/'04 Prices'!C23-1)</f>
        <v/>
      </c>
      <c r="D23" s="25">
        <f>IF(OR($A23="",'04 Prices'!D23="",'04 Prices'!D24=""),"",'04 Prices'!D24/'04 Prices'!D23-1)</f>
        <v/>
      </c>
      <c r="E23" s="25">
        <f>IF(OR($A23="",'04 Prices'!E23="",'04 Prices'!E24=""),"",'04 Prices'!E24/'04 Prices'!E23-1)</f>
        <v/>
      </c>
      <c r="F23" s="25">
        <f>IF(OR($A23="",'04 Prices'!F23="",'04 Prices'!F24=""),"",'04 Prices'!F24/'04 Prices'!F23-1)</f>
        <v/>
      </c>
      <c r="G23" s="25">
        <f>IF(OR($A23="",'04 Prices'!G23="",'04 Prices'!G24=""),"",'04 Prices'!G24/'04 Prices'!G23-1)</f>
        <v/>
      </c>
      <c r="H23" s="25">
        <f>IF(OR($A23="",'04 Prices'!H23="",'04 Prices'!H24=""),"",'04 Prices'!H24/'04 Prices'!H23-1)</f>
        <v/>
      </c>
    </row>
    <row r="24">
      <c r="A24" s="23">
        <f>IF('04 Prices'!A25="","",'04 Prices'!A25)</f>
        <v/>
      </c>
      <c r="B24" s="25">
        <f>IF(OR($A24="",'04 Prices'!B24="",'04 Prices'!B25=""),"",'04 Prices'!B25/'04 Prices'!B24-1)</f>
        <v/>
      </c>
      <c r="C24" s="25">
        <f>IF(OR($A24="",'04 Prices'!C24="",'04 Prices'!C25=""),"",'04 Prices'!C25/'04 Prices'!C24-1)</f>
        <v/>
      </c>
      <c r="D24" s="25">
        <f>IF(OR($A24="",'04 Prices'!D24="",'04 Prices'!D25=""),"",'04 Prices'!D25/'04 Prices'!D24-1)</f>
        <v/>
      </c>
      <c r="E24" s="25">
        <f>IF(OR($A24="",'04 Prices'!E24="",'04 Prices'!E25=""),"",'04 Prices'!E25/'04 Prices'!E24-1)</f>
        <v/>
      </c>
      <c r="F24" s="25">
        <f>IF(OR($A24="",'04 Prices'!F24="",'04 Prices'!F25=""),"",'04 Prices'!F25/'04 Prices'!F24-1)</f>
        <v/>
      </c>
      <c r="G24" s="25">
        <f>IF(OR($A24="",'04 Prices'!G24="",'04 Prices'!G25=""),"",'04 Prices'!G25/'04 Prices'!G24-1)</f>
        <v/>
      </c>
      <c r="H24" s="25">
        <f>IF(OR($A24="",'04 Prices'!H24="",'04 Prices'!H25=""),"",'04 Prices'!H25/'04 Prices'!H24-1)</f>
        <v/>
      </c>
    </row>
    <row r="25">
      <c r="A25" s="23">
        <f>IF('04 Prices'!A26="","",'04 Prices'!A26)</f>
        <v/>
      </c>
      <c r="B25" s="25">
        <f>IF(OR($A25="",'04 Prices'!B25="",'04 Prices'!B26=""),"",'04 Prices'!B26/'04 Prices'!B25-1)</f>
        <v/>
      </c>
      <c r="C25" s="25">
        <f>IF(OR($A25="",'04 Prices'!C25="",'04 Prices'!C26=""),"",'04 Prices'!C26/'04 Prices'!C25-1)</f>
        <v/>
      </c>
      <c r="D25" s="25">
        <f>IF(OR($A25="",'04 Prices'!D25="",'04 Prices'!D26=""),"",'04 Prices'!D26/'04 Prices'!D25-1)</f>
        <v/>
      </c>
      <c r="E25" s="25">
        <f>IF(OR($A25="",'04 Prices'!E25="",'04 Prices'!E26=""),"",'04 Prices'!E26/'04 Prices'!E25-1)</f>
        <v/>
      </c>
      <c r="F25" s="25">
        <f>IF(OR($A25="",'04 Prices'!F25="",'04 Prices'!F26=""),"",'04 Prices'!F26/'04 Prices'!F25-1)</f>
        <v/>
      </c>
      <c r="G25" s="25">
        <f>IF(OR($A25="",'04 Prices'!G25="",'04 Prices'!G26=""),"",'04 Prices'!G26/'04 Prices'!G25-1)</f>
        <v/>
      </c>
      <c r="H25" s="25">
        <f>IF(OR($A25="",'04 Prices'!H25="",'04 Prices'!H26=""),"",'04 Prices'!H26/'04 Prices'!H25-1)</f>
        <v/>
      </c>
    </row>
    <row r="26">
      <c r="A26" s="23">
        <f>IF('04 Prices'!A27="","",'04 Prices'!A27)</f>
        <v/>
      </c>
      <c r="B26" s="25">
        <f>IF(OR($A26="",'04 Prices'!B26="",'04 Prices'!B27=""),"",'04 Prices'!B27/'04 Prices'!B26-1)</f>
        <v/>
      </c>
      <c r="C26" s="25">
        <f>IF(OR($A26="",'04 Prices'!C26="",'04 Prices'!C27=""),"",'04 Prices'!C27/'04 Prices'!C26-1)</f>
        <v/>
      </c>
      <c r="D26" s="25">
        <f>IF(OR($A26="",'04 Prices'!D26="",'04 Prices'!D27=""),"",'04 Prices'!D27/'04 Prices'!D26-1)</f>
        <v/>
      </c>
      <c r="E26" s="25">
        <f>IF(OR($A26="",'04 Prices'!E26="",'04 Prices'!E27=""),"",'04 Prices'!E27/'04 Prices'!E26-1)</f>
        <v/>
      </c>
      <c r="F26" s="25">
        <f>IF(OR($A26="",'04 Prices'!F26="",'04 Prices'!F27=""),"",'04 Prices'!F27/'04 Prices'!F26-1)</f>
        <v/>
      </c>
      <c r="G26" s="25">
        <f>IF(OR($A26="",'04 Prices'!G26="",'04 Prices'!G27=""),"",'04 Prices'!G27/'04 Prices'!G26-1)</f>
        <v/>
      </c>
      <c r="H26" s="25">
        <f>IF(OR($A26="",'04 Prices'!H26="",'04 Prices'!H27=""),"",'04 Prices'!H27/'04 Prices'!H26-1)</f>
        <v/>
      </c>
    </row>
    <row r="27">
      <c r="A27" s="23">
        <f>IF('04 Prices'!A28="","",'04 Prices'!A28)</f>
        <v/>
      </c>
      <c r="B27" s="25">
        <f>IF(OR($A27="",'04 Prices'!B27="",'04 Prices'!B28=""),"",'04 Prices'!B28/'04 Prices'!B27-1)</f>
        <v/>
      </c>
      <c r="C27" s="25">
        <f>IF(OR($A27="",'04 Prices'!C27="",'04 Prices'!C28=""),"",'04 Prices'!C28/'04 Prices'!C27-1)</f>
        <v/>
      </c>
      <c r="D27" s="25">
        <f>IF(OR($A27="",'04 Prices'!D27="",'04 Prices'!D28=""),"",'04 Prices'!D28/'04 Prices'!D27-1)</f>
        <v/>
      </c>
      <c r="E27" s="25">
        <f>IF(OR($A27="",'04 Prices'!E27="",'04 Prices'!E28=""),"",'04 Prices'!E28/'04 Prices'!E27-1)</f>
        <v/>
      </c>
      <c r="F27" s="25">
        <f>IF(OR($A27="",'04 Prices'!F27="",'04 Prices'!F28=""),"",'04 Prices'!F28/'04 Prices'!F27-1)</f>
        <v/>
      </c>
      <c r="G27" s="25">
        <f>IF(OR($A27="",'04 Prices'!G27="",'04 Prices'!G28=""),"",'04 Prices'!G28/'04 Prices'!G27-1)</f>
        <v/>
      </c>
      <c r="H27" s="25">
        <f>IF(OR($A27="",'04 Prices'!H27="",'04 Prices'!H28=""),"",'04 Prices'!H28/'04 Prices'!H27-1)</f>
        <v/>
      </c>
    </row>
    <row r="28">
      <c r="A28" s="23">
        <f>IF('04 Prices'!A29="","",'04 Prices'!A29)</f>
        <v/>
      </c>
      <c r="B28" s="25">
        <f>IF(OR($A28="",'04 Prices'!B28="",'04 Prices'!B29=""),"",'04 Prices'!B29/'04 Prices'!B28-1)</f>
        <v/>
      </c>
      <c r="C28" s="25">
        <f>IF(OR($A28="",'04 Prices'!C28="",'04 Prices'!C29=""),"",'04 Prices'!C29/'04 Prices'!C28-1)</f>
        <v/>
      </c>
      <c r="D28" s="25">
        <f>IF(OR($A28="",'04 Prices'!D28="",'04 Prices'!D29=""),"",'04 Prices'!D29/'04 Prices'!D28-1)</f>
        <v/>
      </c>
      <c r="E28" s="25">
        <f>IF(OR($A28="",'04 Prices'!E28="",'04 Prices'!E29=""),"",'04 Prices'!E29/'04 Prices'!E28-1)</f>
        <v/>
      </c>
      <c r="F28" s="25">
        <f>IF(OR($A28="",'04 Prices'!F28="",'04 Prices'!F29=""),"",'04 Prices'!F29/'04 Prices'!F28-1)</f>
        <v/>
      </c>
      <c r="G28" s="25">
        <f>IF(OR($A28="",'04 Prices'!G28="",'04 Prices'!G29=""),"",'04 Prices'!G29/'04 Prices'!G28-1)</f>
        <v/>
      </c>
      <c r="H28" s="25">
        <f>IF(OR($A28="",'04 Prices'!H28="",'04 Prices'!H29=""),"",'04 Prices'!H29/'04 Prices'!H28-1)</f>
        <v/>
      </c>
    </row>
    <row r="29">
      <c r="A29" s="23">
        <f>IF('04 Prices'!A30="","",'04 Prices'!A30)</f>
        <v/>
      </c>
      <c r="B29" s="25">
        <f>IF(OR($A29="",'04 Prices'!B29="",'04 Prices'!B30=""),"",'04 Prices'!B30/'04 Prices'!B29-1)</f>
        <v/>
      </c>
      <c r="C29" s="25">
        <f>IF(OR($A29="",'04 Prices'!C29="",'04 Prices'!C30=""),"",'04 Prices'!C30/'04 Prices'!C29-1)</f>
        <v/>
      </c>
      <c r="D29" s="25">
        <f>IF(OR($A29="",'04 Prices'!D29="",'04 Prices'!D30=""),"",'04 Prices'!D30/'04 Prices'!D29-1)</f>
        <v/>
      </c>
      <c r="E29" s="25">
        <f>IF(OR($A29="",'04 Prices'!E29="",'04 Prices'!E30=""),"",'04 Prices'!E30/'04 Prices'!E29-1)</f>
        <v/>
      </c>
      <c r="F29" s="25">
        <f>IF(OR($A29="",'04 Prices'!F29="",'04 Prices'!F30=""),"",'04 Prices'!F30/'04 Prices'!F29-1)</f>
        <v/>
      </c>
      <c r="G29" s="25">
        <f>IF(OR($A29="",'04 Prices'!G29="",'04 Prices'!G30=""),"",'04 Prices'!G30/'04 Prices'!G29-1)</f>
        <v/>
      </c>
      <c r="H29" s="25">
        <f>IF(OR($A29="",'04 Prices'!H29="",'04 Prices'!H30=""),"",'04 Prices'!H30/'04 Prices'!H29-1)</f>
        <v/>
      </c>
    </row>
    <row r="30">
      <c r="A30" s="23">
        <f>IF('04 Prices'!A31="","",'04 Prices'!A31)</f>
        <v/>
      </c>
      <c r="B30" s="25">
        <f>IF(OR($A30="",'04 Prices'!B30="",'04 Prices'!B31=""),"",'04 Prices'!B31/'04 Prices'!B30-1)</f>
        <v/>
      </c>
      <c r="C30" s="25">
        <f>IF(OR($A30="",'04 Prices'!C30="",'04 Prices'!C31=""),"",'04 Prices'!C31/'04 Prices'!C30-1)</f>
        <v/>
      </c>
      <c r="D30" s="25">
        <f>IF(OR($A30="",'04 Prices'!D30="",'04 Prices'!D31=""),"",'04 Prices'!D31/'04 Prices'!D30-1)</f>
        <v/>
      </c>
      <c r="E30" s="25">
        <f>IF(OR($A30="",'04 Prices'!E30="",'04 Prices'!E31=""),"",'04 Prices'!E31/'04 Prices'!E30-1)</f>
        <v/>
      </c>
      <c r="F30" s="25">
        <f>IF(OR($A30="",'04 Prices'!F30="",'04 Prices'!F31=""),"",'04 Prices'!F31/'04 Prices'!F30-1)</f>
        <v/>
      </c>
      <c r="G30" s="25">
        <f>IF(OR($A30="",'04 Prices'!G30="",'04 Prices'!G31=""),"",'04 Prices'!G31/'04 Prices'!G30-1)</f>
        <v/>
      </c>
      <c r="H30" s="25">
        <f>IF(OR($A30="",'04 Prices'!H30="",'04 Prices'!H31=""),"",'04 Prices'!H31/'04 Prices'!H30-1)</f>
        <v/>
      </c>
    </row>
    <row r="31">
      <c r="A31" s="23">
        <f>IF('04 Prices'!A32="","",'04 Prices'!A32)</f>
        <v/>
      </c>
      <c r="B31" s="25">
        <f>IF(OR($A31="",'04 Prices'!B31="",'04 Prices'!B32=""),"",'04 Prices'!B32/'04 Prices'!B31-1)</f>
        <v/>
      </c>
      <c r="C31" s="25">
        <f>IF(OR($A31="",'04 Prices'!C31="",'04 Prices'!C32=""),"",'04 Prices'!C32/'04 Prices'!C31-1)</f>
        <v/>
      </c>
      <c r="D31" s="25">
        <f>IF(OR($A31="",'04 Prices'!D31="",'04 Prices'!D32=""),"",'04 Prices'!D32/'04 Prices'!D31-1)</f>
        <v/>
      </c>
      <c r="E31" s="25">
        <f>IF(OR($A31="",'04 Prices'!E31="",'04 Prices'!E32=""),"",'04 Prices'!E32/'04 Prices'!E31-1)</f>
        <v/>
      </c>
      <c r="F31" s="25">
        <f>IF(OR($A31="",'04 Prices'!F31="",'04 Prices'!F32=""),"",'04 Prices'!F32/'04 Prices'!F31-1)</f>
        <v/>
      </c>
      <c r="G31" s="25">
        <f>IF(OR($A31="",'04 Prices'!G31="",'04 Prices'!G32=""),"",'04 Prices'!G32/'04 Prices'!G31-1)</f>
        <v/>
      </c>
      <c r="H31" s="25">
        <f>IF(OR($A31="",'04 Prices'!H31="",'04 Prices'!H32=""),"",'04 Prices'!H32/'04 Prices'!H31-1)</f>
        <v/>
      </c>
    </row>
    <row r="32">
      <c r="A32" s="23">
        <f>IF('04 Prices'!A33="","",'04 Prices'!A33)</f>
        <v/>
      </c>
      <c r="B32" s="25">
        <f>IF(OR($A32="",'04 Prices'!B32="",'04 Prices'!B33=""),"",'04 Prices'!B33/'04 Prices'!B32-1)</f>
        <v/>
      </c>
      <c r="C32" s="25">
        <f>IF(OR($A32="",'04 Prices'!C32="",'04 Prices'!C33=""),"",'04 Prices'!C33/'04 Prices'!C32-1)</f>
        <v/>
      </c>
      <c r="D32" s="25">
        <f>IF(OR($A32="",'04 Prices'!D32="",'04 Prices'!D33=""),"",'04 Prices'!D33/'04 Prices'!D32-1)</f>
        <v/>
      </c>
      <c r="E32" s="25">
        <f>IF(OR($A32="",'04 Prices'!E32="",'04 Prices'!E33=""),"",'04 Prices'!E33/'04 Prices'!E32-1)</f>
        <v/>
      </c>
      <c r="F32" s="25">
        <f>IF(OR($A32="",'04 Prices'!F32="",'04 Prices'!F33=""),"",'04 Prices'!F33/'04 Prices'!F32-1)</f>
        <v/>
      </c>
      <c r="G32" s="25">
        <f>IF(OR($A32="",'04 Prices'!G32="",'04 Prices'!G33=""),"",'04 Prices'!G33/'04 Prices'!G32-1)</f>
        <v/>
      </c>
      <c r="H32" s="25">
        <f>IF(OR($A32="",'04 Prices'!H32="",'04 Prices'!H33=""),"",'04 Prices'!H33/'04 Prices'!H32-1)</f>
        <v/>
      </c>
    </row>
    <row r="33">
      <c r="A33" s="23">
        <f>IF('04 Prices'!A34="","",'04 Prices'!A34)</f>
        <v/>
      </c>
      <c r="B33" s="25">
        <f>IF(OR($A33="",'04 Prices'!B33="",'04 Prices'!B34=""),"",'04 Prices'!B34/'04 Prices'!B33-1)</f>
        <v/>
      </c>
      <c r="C33" s="25">
        <f>IF(OR($A33="",'04 Prices'!C33="",'04 Prices'!C34=""),"",'04 Prices'!C34/'04 Prices'!C33-1)</f>
        <v/>
      </c>
      <c r="D33" s="25">
        <f>IF(OR($A33="",'04 Prices'!D33="",'04 Prices'!D34=""),"",'04 Prices'!D34/'04 Prices'!D33-1)</f>
        <v/>
      </c>
      <c r="E33" s="25">
        <f>IF(OR($A33="",'04 Prices'!E33="",'04 Prices'!E34=""),"",'04 Prices'!E34/'04 Prices'!E33-1)</f>
        <v/>
      </c>
      <c r="F33" s="25">
        <f>IF(OR($A33="",'04 Prices'!F33="",'04 Prices'!F34=""),"",'04 Prices'!F34/'04 Prices'!F33-1)</f>
        <v/>
      </c>
      <c r="G33" s="25">
        <f>IF(OR($A33="",'04 Prices'!G33="",'04 Prices'!G34=""),"",'04 Prices'!G34/'04 Prices'!G33-1)</f>
        <v/>
      </c>
      <c r="H33" s="25">
        <f>IF(OR($A33="",'04 Prices'!H33="",'04 Prices'!H34=""),"",'04 Prices'!H34/'04 Prices'!H33-1)</f>
        <v/>
      </c>
    </row>
    <row r="34">
      <c r="A34" s="23">
        <f>IF('04 Prices'!A35="","",'04 Prices'!A35)</f>
        <v/>
      </c>
      <c r="B34" s="25">
        <f>IF(OR($A34="",'04 Prices'!B34="",'04 Prices'!B35=""),"",'04 Prices'!B35/'04 Prices'!B34-1)</f>
        <v/>
      </c>
      <c r="C34" s="25">
        <f>IF(OR($A34="",'04 Prices'!C34="",'04 Prices'!C35=""),"",'04 Prices'!C35/'04 Prices'!C34-1)</f>
        <v/>
      </c>
      <c r="D34" s="25">
        <f>IF(OR($A34="",'04 Prices'!D34="",'04 Prices'!D35=""),"",'04 Prices'!D35/'04 Prices'!D34-1)</f>
        <v/>
      </c>
      <c r="E34" s="25">
        <f>IF(OR($A34="",'04 Prices'!E34="",'04 Prices'!E35=""),"",'04 Prices'!E35/'04 Prices'!E34-1)</f>
        <v/>
      </c>
      <c r="F34" s="25">
        <f>IF(OR($A34="",'04 Prices'!F34="",'04 Prices'!F35=""),"",'04 Prices'!F35/'04 Prices'!F34-1)</f>
        <v/>
      </c>
      <c r="G34" s="25">
        <f>IF(OR($A34="",'04 Prices'!G34="",'04 Prices'!G35=""),"",'04 Prices'!G35/'04 Prices'!G34-1)</f>
        <v/>
      </c>
      <c r="H34" s="25">
        <f>IF(OR($A34="",'04 Prices'!H34="",'04 Prices'!H35=""),"",'04 Prices'!H35/'04 Prices'!H34-1)</f>
        <v/>
      </c>
    </row>
    <row r="35">
      <c r="A35" s="23">
        <f>IF('04 Prices'!A36="","",'04 Prices'!A36)</f>
        <v/>
      </c>
      <c r="B35" s="25">
        <f>IF(OR($A35="",'04 Prices'!B35="",'04 Prices'!B36=""),"",'04 Prices'!B36/'04 Prices'!B35-1)</f>
        <v/>
      </c>
      <c r="C35" s="25">
        <f>IF(OR($A35="",'04 Prices'!C35="",'04 Prices'!C36=""),"",'04 Prices'!C36/'04 Prices'!C35-1)</f>
        <v/>
      </c>
      <c r="D35" s="25">
        <f>IF(OR($A35="",'04 Prices'!D35="",'04 Prices'!D36=""),"",'04 Prices'!D36/'04 Prices'!D35-1)</f>
        <v/>
      </c>
      <c r="E35" s="25">
        <f>IF(OR($A35="",'04 Prices'!E35="",'04 Prices'!E36=""),"",'04 Prices'!E36/'04 Prices'!E35-1)</f>
        <v/>
      </c>
      <c r="F35" s="25">
        <f>IF(OR($A35="",'04 Prices'!F35="",'04 Prices'!F36=""),"",'04 Prices'!F36/'04 Prices'!F35-1)</f>
        <v/>
      </c>
      <c r="G35" s="25">
        <f>IF(OR($A35="",'04 Prices'!G35="",'04 Prices'!G36=""),"",'04 Prices'!G36/'04 Prices'!G35-1)</f>
        <v/>
      </c>
      <c r="H35" s="25">
        <f>IF(OR($A35="",'04 Prices'!H35="",'04 Prices'!H36=""),"",'04 Prices'!H36/'04 Prices'!H35-1)</f>
        <v/>
      </c>
    </row>
    <row r="36">
      <c r="A36" s="23">
        <f>IF('04 Prices'!A37="","",'04 Prices'!A37)</f>
        <v/>
      </c>
      <c r="B36" s="25">
        <f>IF(OR($A36="",'04 Prices'!B36="",'04 Prices'!B37=""),"",'04 Prices'!B37/'04 Prices'!B36-1)</f>
        <v/>
      </c>
      <c r="C36" s="25">
        <f>IF(OR($A36="",'04 Prices'!C36="",'04 Prices'!C37=""),"",'04 Prices'!C37/'04 Prices'!C36-1)</f>
        <v/>
      </c>
      <c r="D36" s="25">
        <f>IF(OR($A36="",'04 Prices'!D36="",'04 Prices'!D37=""),"",'04 Prices'!D37/'04 Prices'!D36-1)</f>
        <v/>
      </c>
      <c r="E36" s="25">
        <f>IF(OR($A36="",'04 Prices'!E36="",'04 Prices'!E37=""),"",'04 Prices'!E37/'04 Prices'!E36-1)</f>
        <v/>
      </c>
      <c r="F36" s="25">
        <f>IF(OR($A36="",'04 Prices'!F36="",'04 Prices'!F37=""),"",'04 Prices'!F37/'04 Prices'!F36-1)</f>
        <v/>
      </c>
      <c r="G36" s="25">
        <f>IF(OR($A36="",'04 Prices'!G36="",'04 Prices'!G37=""),"",'04 Prices'!G37/'04 Prices'!G36-1)</f>
        <v/>
      </c>
      <c r="H36" s="25">
        <f>IF(OR($A36="",'04 Prices'!H36="",'04 Prices'!H37=""),"",'04 Prices'!H37/'04 Prices'!H36-1)</f>
        <v/>
      </c>
    </row>
    <row r="37">
      <c r="A37" s="23">
        <f>IF('04 Prices'!A38="","",'04 Prices'!A38)</f>
        <v/>
      </c>
      <c r="B37" s="25">
        <f>IF(OR($A37="",'04 Prices'!B37="",'04 Prices'!B38=""),"",'04 Prices'!B38/'04 Prices'!B37-1)</f>
        <v/>
      </c>
      <c r="C37" s="25">
        <f>IF(OR($A37="",'04 Prices'!C37="",'04 Prices'!C38=""),"",'04 Prices'!C38/'04 Prices'!C37-1)</f>
        <v/>
      </c>
      <c r="D37" s="25">
        <f>IF(OR($A37="",'04 Prices'!D37="",'04 Prices'!D38=""),"",'04 Prices'!D38/'04 Prices'!D37-1)</f>
        <v/>
      </c>
      <c r="E37" s="25">
        <f>IF(OR($A37="",'04 Prices'!E37="",'04 Prices'!E38=""),"",'04 Prices'!E38/'04 Prices'!E37-1)</f>
        <v/>
      </c>
      <c r="F37" s="25">
        <f>IF(OR($A37="",'04 Prices'!F37="",'04 Prices'!F38=""),"",'04 Prices'!F38/'04 Prices'!F37-1)</f>
        <v/>
      </c>
      <c r="G37" s="25">
        <f>IF(OR($A37="",'04 Prices'!G37="",'04 Prices'!G38=""),"",'04 Prices'!G38/'04 Prices'!G37-1)</f>
        <v/>
      </c>
      <c r="H37" s="25">
        <f>IF(OR($A37="",'04 Prices'!H37="",'04 Prices'!H38=""),"",'04 Prices'!H38/'04 Prices'!H37-1)</f>
        <v/>
      </c>
    </row>
    <row r="38">
      <c r="A38" s="23">
        <f>IF('04 Prices'!A39="","",'04 Prices'!A39)</f>
        <v/>
      </c>
      <c r="B38" s="25">
        <f>IF(OR($A38="",'04 Prices'!B38="",'04 Prices'!B39=""),"",'04 Prices'!B39/'04 Prices'!B38-1)</f>
        <v/>
      </c>
      <c r="C38" s="25">
        <f>IF(OR($A38="",'04 Prices'!C38="",'04 Prices'!C39=""),"",'04 Prices'!C39/'04 Prices'!C38-1)</f>
        <v/>
      </c>
      <c r="D38" s="25">
        <f>IF(OR($A38="",'04 Prices'!D38="",'04 Prices'!D39=""),"",'04 Prices'!D39/'04 Prices'!D38-1)</f>
        <v/>
      </c>
      <c r="E38" s="25">
        <f>IF(OR($A38="",'04 Prices'!E38="",'04 Prices'!E39=""),"",'04 Prices'!E39/'04 Prices'!E38-1)</f>
        <v/>
      </c>
      <c r="F38" s="25">
        <f>IF(OR($A38="",'04 Prices'!F38="",'04 Prices'!F39=""),"",'04 Prices'!F39/'04 Prices'!F38-1)</f>
        <v/>
      </c>
      <c r="G38" s="25">
        <f>IF(OR($A38="",'04 Prices'!G38="",'04 Prices'!G39=""),"",'04 Prices'!G39/'04 Prices'!G38-1)</f>
        <v/>
      </c>
      <c r="H38" s="25">
        <f>IF(OR($A38="",'04 Prices'!H38="",'04 Prices'!H39=""),"",'04 Prices'!H39/'04 Prices'!H38-1)</f>
        <v/>
      </c>
    </row>
    <row r="39">
      <c r="A39" s="23">
        <f>IF('04 Prices'!A40="","",'04 Prices'!A40)</f>
        <v/>
      </c>
      <c r="B39" s="25">
        <f>IF(OR($A39="",'04 Prices'!B39="",'04 Prices'!B40=""),"",'04 Prices'!B40/'04 Prices'!B39-1)</f>
        <v/>
      </c>
      <c r="C39" s="25">
        <f>IF(OR($A39="",'04 Prices'!C39="",'04 Prices'!C40=""),"",'04 Prices'!C40/'04 Prices'!C39-1)</f>
        <v/>
      </c>
      <c r="D39" s="25">
        <f>IF(OR($A39="",'04 Prices'!D39="",'04 Prices'!D40=""),"",'04 Prices'!D40/'04 Prices'!D39-1)</f>
        <v/>
      </c>
      <c r="E39" s="25">
        <f>IF(OR($A39="",'04 Prices'!E39="",'04 Prices'!E40=""),"",'04 Prices'!E40/'04 Prices'!E39-1)</f>
        <v/>
      </c>
      <c r="F39" s="25">
        <f>IF(OR($A39="",'04 Prices'!F39="",'04 Prices'!F40=""),"",'04 Prices'!F40/'04 Prices'!F39-1)</f>
        <v/>
      </c>
      <c r="G39" s="25">
        <f>IF(OR($A39="",'04 Prices'!G39="",'04 Prices'!G40=""),"",'04 Prices'!G40/'04 Prices'!G39-1)</f>
        <v/>
      </c>
      <c r="H39" s="25">
        <f>IF(OR($A39="",'04 Prices'!H39="",'04 Prices'!H40=""),"",'04 Prices'!H40/'04 Prices'!H39-1)</f>
        <v/>
      </c>
    </row>
    <row r="40">
      <c r="A40" s="23">
        <f>IF('04 Prices'!A41="","",'04 Prices'!A41)</f>
        <v/>
      </c>
      <c r="B40" s="25">
        <f>IF(OR($A40="",'04 Prices'!B40="",'04 Prices'!B41=""),"",'04 Prices'!B41/'04 Prices'!B40-1)</f>
        <v/>
      </c>
      <c r="C40" s="25">
        <f>IF(OR($A40="",'04 Prices'!C40="",'04 Prices'!C41=""),"",'04 Prices'!C41/'04 Prices'!C40-1)</f>
        <v/>
      </c>
      <c r="D40" s="25">
        <f>IF(OR($A40="",'04 Prices'!D40="",'04 Prices'!D41=""),"",'04 Prices'!D41/'04 Prices'!D40-1)</f>
        <v/>
      </c>
      <c r="E40" s="25">
        <f>IF(OR($A40="",'04 Prices'!E40="",'04 Prices'!E41=""),"",'04 Prices'!E41/'04 Prices'!E40-1)</f>
        <v/>
      </c>
      <c r="F40" s="25">
        <f>IF(OR($A40="",'04 Prices'!F40="",'04 Prices'!F41=""),"",'04 Prices'!F41/'04 Prices'!F40-1)</f>
        <v/>
      </c>
      <c r="G40" s="25">
        <f>IF(OR($A40="",'04 Prices'!G40="",'04 Prices'!G41=""),"",'04 Prices'!G41/'04 Prices'!G40-1)</f>
        <v/>
      </c>
      <c r="H40" s="25">
        <f>IF(OR($A40="",'04 Prices'!H40="",'04 Prices'!H41=""),"",'04 Prices'!H41/'04 Prices'!H40-1)</f>
        <v/>
      </c>
    </row>
    <row r="41">
      <c r="A41" s="23">
        <f>IF('04 Prices'!A42="","",'04 Prices'!A42)</f>
        <v/>
      </c>
      <c r="B41" s="25">
        <f>IF(OR($A41="",'04 Prices'!B41="",'04 Prices'!B42=""),"",'04 Prices'!B42/'04 Prices'!B41-1)</f>
        <v/>
      </c>
      <c r="C41" s="25">
        <f>IF(OR($A41="",'04 Prices'!C41="",'04 Prices'!C42=""),"",'04 Prices'!C42/'04 Prices'!C41-1)</f>
        <v/>
      </c>
      <c r="D41" s="25">
        <f>IF(OR($A41="",'04 Prices'!D41="",'04 Prices'!D42=""),"",'04 Prices'!D42/'04 Prices'!D41-1)</f>
        <v/>
      </c>
      <c r="E41" s="25">
        <f>IF(OR($A41="",'04 Prices'!E41="",'04 Prices'!E42=""),"",'04 Prices'!E42/'04 Prices'!E41-1)</f>
        <v/>
      </c>
      <c r="F41" s="25">
        <f>IF(OR($A41="",'04 Prices'!F41="",'04 Prices'!F42=""),"",'04 Prices'!F42/'04 Prices'!F41-1)</f>
        <v/>
      </c>
      <c r="G41" s="25">
        <f>IF(OR($A41="",'04 Prices'!G41="",'04 Prices'!G42=""),"",'04 Prices'!G42/'04 Prices'!G41-1)</f>
        <v/>
      </c>
      <c r="H41" s="25">
        <f>IF(OR($A41="",'04 Prices'!H41="",'04 Prices'!H42=""),"",'04 Prices'!H42/'04 Prices'!H41-1)</f>
        <v/>
      </c>
    </row>
    <row r="42">
      <c r="A42" s="23">
        <f>IF('04 Prices'!A43="","",'04 Prices'!A43)</f>
        <v/>
      </c>
      <c r="B42" s="25">
        <f>IF(OR($A42="",'04 Prices'!B42="",'04 Prices'!B43=""),"",'04 Prices'!B43/'04 Prices'!B42-1)</f>
        <v/>
      </c>
      <c r="C42" s="25">
        <f>IF(OR($A42="",'04 Prices'!C42="",'04 Prices'!C43=""),"",'04 Prices'!C43/'04 Prices'!C42-1)</f>
        <v/>
      </c>
      <c r="D42" s="25">
        <f>IF(OR($A42="",'04 Prices'!D42="",'04 Prices'!D43=""),"",'04 Prices'!D43/'04 Prices'!D42-1)</f>
        <v/>
      </c>
      <c r="E42" s="25">
        <f>IF(OR($A42="",'04 Prices'!E42="",'04 Prices'!E43=""),"",'04 Prices'!E43/'04 Prices'!E42-1)</f>
        <v/>
      </c>
      <c r="F42" s="25">
        <f>IF(OR($A42="",'04 Prices'!F42="",'04 Prices'!F43=""),"",'04 Prices'!F43/'04 Prices'!F42-1)</f>
        <v/>
      </c>
      <c r="G42" s="25">
        <f>IF(OR($A42="",'04 Prices'!G42="",'04 Prices'!G43=""),"",'04 Prices'!G43/'04 Prices'!G42-1)</f>
        <v/>
      </c>
      <c r="H42" s="25">
        <f>IF(OR($A42="",'04 Prices'!H42="",'04 Prices'!H43=""),"",'04 Prices'!H43/'04 Prices'!H42-1)</f>
        <v/>
      </c>
    </row>
    <row r="43">
      <c r="A43" s="23">
        <f>IF('04 Prices'!A44="","",'04 Prices'!A44)</f>
        <v/>
      </c>
      <c r="B43" s="25">
        <f>IF(OR($A43="",'04 Prices'!B43="",'04 Prices'!B44=""),"",'04 Prices'!B44/'04 Prices'!B43-1)</f>
        <v/>
      </c>
      <c r="C43" s="25">
        <f>IF(OR($A43="",'04 Prices'!C43="",'04 Prices'!C44=""),"",'04 Prices'!C44/'04 Prices'!C43-1)</f>
        <v/>
      </c>
      <c r="D43" s="25">
        <f>IF(OR($A43="",'04 Prices'!D43="",'04 Prices'!D44=""),"",'04 Prices'!D44/'04 Prices'!D43-1)</f>
        <v/>
      </c>
      <c r="E43" s="25">
        <f>IF(OR($A43="",'04 Prices'!E43="",'04 Prices'!E44=""),"",'04 Prices'!E44/'04 Prices'!E43-1)</f>
        <v/>
      </c>
      <c r="F43" s="25">
        <f>IF(OR($A43="",'04 Prices'!F43="",'04 Prices'!F44=""),"",'04 Prices'!F44/'04 Prices'!F43-1)</f>
        <v/>
      </c>
      <c r="G43" s="25">
        <f>IF(OR($A43="",'04 Prices'!G43="",'04 Prices'!G44=""),"",'04 Prices'!G44/'04 Prices'!G43-1)</f>
        <v/>
      </c>
      <c r="H43" s="25">
        <f>IF(OR($A43="",'04 Prices'!H43="",'04 Prices'!H44=""),"",'04 Prices'!H44/'04 Prices'!H43-1)</f>
        <v/>
      </c>
    </row>
    <row r="44">
      <c r="A44" s="23">
        <f>IF('04 Prices'!A45="","",'04 Prices'!A45)</f>
        <v/>
      </c>
      <c r="B44" s="25">
        <f>IF(OR($A44="",'04 Prices'!B44="",'04 Prices'!B45=""),"",'04 Prices'!B45/'04 Prices'!B44-1)</f>
        <v/>
      </c>
      <c r="C44" s="25">
        <f>IF(OR($A44="",'04 Prices'!C44="",'04 Prices'!C45=""),"",'04 Prices'!C45/'04 Prices'!C44-1)</f>
        <v/>
      </c>
      <c r="D44" s="25">
        <f>IF(OR($A44="",'04 Prices'!D44="",'04 Prices'!D45=""),"",'04 Prices'!D45/'04 Prices'!D44-1)</f>
        <v/>
      </c>
      <c r="E44" s="25">
        <f>IF(OR($A44="",'04 Prices'!E44="",'04 Prices'!E45=""),"",'04 Prices'!E45/'04 Prices'!E44-1)</f>
        <v/>
      </c>
      <c r="F44" s="25">
        <f>IF(OR($A44="",'04 Prices'!F44="",'04 Prices'!F45=""),"",'04 Prices'!F45/'04 Prices'!F44-1)</f>
        <v/>
      </c>
      <c r="G44" s="25">
        <f>IF(OR($A44="",'04 Prices'!G44="",'04 Prices'!G45=""),"",'04 Prices'!G45/'04 Prices'!G44-1)</f>
        <v/>
      </c>
      <c r="H44" s="25">
        <f>IF(OR($A44="",'04 Prices'!H44="",'04 Prices'!H45=""),"",'04 Prices'!H45/'04 Prices'!H44-1)</f>
        <v/>
      </c>
    </row>
    <row r="45">
      <c r="A45" s="23">
        <f>IF('04 Prices'!A46="","",'04 Prices'!A46)</f>
        <v/>
      </c>
      <c r="B45" s="25">
        <f>IF(OR($A45="",'04 Prices'!B45="",'04 Prices'!B46=""),"",'04 Prices'!B46/'04 Prices'!B45-1)</f>
        <v/>
      </c>
      <c r="C45" s="25">
        <f>IF(OR($A45="",'04 Prices'!C45="",'04 Prices'!C46=""),"",'04 Prices'!C46/'04 Prices'!C45-1)</f>
        <v/>
      </c>
      <c r="D45" s="25">
        <f>IF(OR($A45="",'04 Prices'!D45="",'04 Prices'!D46=""),"",'04 Prices'!D46/'04 Prices'!D45-1)</f>
        <v/>
      </c>
      <c r="E45" s="25">
        <f>IF(OR($A45="",'04 Prices'!E45="",'04 Prices'!E46=""),"",'04 Prices'!E46/'04 Prices'!E45-1)</f>
        <v/>
      </c>
      <c r="F45" s="25">
        <f>IF(OR($A45="",'04 Prices'!F45="",'04 Prices'!F46=""),"",'04 Prices'!F46/'04 Prices'!F45-1)</f>
        <v/>
      </c>
      <c r="G45" s="25">
        <f>IF(OR($A45="",'04 Prices'!G45="",'04 Prices'!G46=""),"",'04 Prices'!G46/'04 Prices'!G45-1)</f>
        <v/>
      </c>
      <c r="H45" s="25">
        <f>IF(OR($A45="",'04 Prices'!H45="",'04 Prices'!H46=""),"",'04 Prices'!H46/'04 Prices'!H45-1)</f>
        <v/>
      </c>
    </row>
    <row r="46">
      <c r="A46" s="23">
        <f>IF('04 Prices'!A47="","",'04 Prices'!A47)</f>
        <v/>
      </c>
      <c r="B46" s="25">
        <f>IF(OR($A46="",'04 Prices'!B46="",'04 Prices'!B47=""),"",'04 Prices'!B47/'04 Prices'!B46-1)</f>
        <v/>
      </c>
      <c r="C46" s="25">
        <f>IF(OR($A46="",'04 Prices'!C46="",'04 Prices'!C47=""),"",'04 Prices'!C47/'04 Prices'!C46-1)</f>
        <v/>
      </c>
      <c r="D46" s="25">
        <f>IF(OR($A46="",'04 Prices'!D46="",'04 Prices'!D47=""),"",'04 Prices'!D47/'04 Prices'!D46-1)</f>
        <v/>
      </c>
      <c r="E46" s="25">
        <f>IF(OR($A46="",'04 Prices'!E46="",'04 Prices'!E47=""),"",'04 Prices'!E47/'04 Prices'!E46-1)</f>
        <v/>
      </c>
      <c r="F46" s="25">
        <f>IF(OR($A46="",'04 Prices'!F46="",'04 Prices'!F47=""),"",'04 Prices'!F47/'04 Prices'!F46-1)</f>
        <v/>
      </c>
      <c r="G46" s="25">
        <f>IF(OR($A46="",'04 Prices'!G46="",'04 Prices'!G47=""),"",'04 Prices'!G47/'04 Prices'!G46-1)</f>
        <v/>
      </c>
      <c r="H46" s="25">
        <f>IF(OR($A46="",'04 Prices'!H46="",'04 Prices'!H47=""),"",'04 Prices'!H47/'04 Prices'!H46-1)</f>
        <v/>
      </c>
    </row>
    <row r="47">
      <c r="A47" s="23">
        <f>IF('04 Prices'!A48="","",'04 Prices'!A48)</f>
        <v/>
      </c>
      <c r="B47" s="25">
        <f>IF(OR($A47="",'04 Prices'!B47="",'04 Prices'!B48=""),"",'04 Prices'!B48/'04 Prices'!B47-1)</f>
        <v/>
      </c>
      <c r="C47" s="25">
        <f>IF(OR($A47="",'04 Prices'!C47="",'04 Prices'!C48=""),"",'04 Prices'!C48/'04 Prices'!C47-1)</f>
        <v/>
      </c>
      <c r="D47" s="25">
        <f>IF(OR($A47="",'04 Prices'!D47="",'04 Prices'!D48=""),"",'04 Prices'!D48/'04 Prices'!D47-1)</f>
        <v/>
      </c>
      <c r="E47" s="25">
        <f>IF(OR($A47="",'04 Prices'!E47="",'04 Prices'!E48=""),"",'04 Prices'!E48/'04 Prices'!E47-1)</f>
        <v/>
      </c>
      <c r="F47" s="25">
        <f>IF(OR($A47="",'04 Prices'!F47="",'04 Prices'!F48=""),"",'04 Prices'!F48/'04 Prices'!F47-1)</f>
        <v/>
      </c>
      <c r="G47" s="25">
        <f>IF(OR($A47="",'04 Prices'!G47="",'04 Prices'!G48=""),"",'04 Prices'!G48/'04 Prices'!G47-1)</f>
        <v/>
      </c>
      <c r="H47" s="25">
        <f>IF(OR($A47="",'04 Prices'!H47="",'04 Prices'!H48=""),"",'04 Prices'!H48/'04 Prices'!H47-1)</f>
        <v/>
      </c>
    </row>
    <row r="48">
      <c r="A48" s="23">
        <f>IF('04 Prices'!A49="","",'04 Prices'!A49)</f>
        <v/>
      </c>
      <c r="B48" s="25">
        <f>IF(OR($A48="",'04 Prices'!B48="",'04 Prices'!B49=""),"",'04 Prices'!B49/'04 Prices'!B48-1)</f>
        <v/>
      </c>
      <c r="C48" s="25">
        <f>IF(OR($A48="",'04 Prices'!C48="",'04 Prices'!C49=""),"",'04 Prices'!C49/'04 Prices'!C48-1)</f>
        <v/>
      </c>
      <c r="D48" s="25">
        <f>IF(OR($A48="",'04 Prices'!D48="",'04 Prices'!D49=""),"",'04 Prices'!D49/'04 Prices'!D48-1)</f>
        <v/>
      </c>
      <c r="E48" s="25">
        <f>IF(OR($A48="",'04 Prices'!E48="",'04 Prices'!E49=""),"",'04 Prices'!E49/'04 Prices'!E48-1)</f>
        <v/>
      </c>
      <c r="F48" s="25">
        <f>IF(OR($A48="",'04 Prices'!F48="",'04 Prices'!F49=""),"",'04 Prices'!F49/'04 Prices'!F48-1)</f>
        <v/>
      </c>
      <c r="G48" s="25">
        <f>IF(OR($A48="",'04 Prices'!G48="",'04 Prices'!G49=""),"",'04 Prices'!G49/'04 Prices'!G48-1)</f>
        <v/>
      </c>
      <c r="H48" s="25">
        <f>IF(OR($A48="",'04 Prices'!H48="",'04 Prices'!H49=""),"",'04 Prices'!H49/'04 Prices'!H48-1)</f>
        <v/>
      </c>
    </row>
    <row r="49">
      <c r="A49" s="23">
        <f>IF('04 Prices'!A50="","",'04 Prices'!A50)</f>
        <v/>
      </c>
      <c r="B49" s="25">
        <f>IF(OR($A49="",'04 Prices'!B49="",'04 Prices'!B50=""),"",'04 Prices'!B50/'04 Prices'!B49-1)</f>
        <v/>
      </c>
      <c r="C49" s="25">
        <f>IF(OR($A49="",'04 Prices'!C49="",'04 Prices'!C50=""),"",'04 Prices'!C50/'04 Prices'!C49-1)</f>
        <v/>
      </c>
      <c r="D49" s="25">
        <f>IF(OR($A49="",'04 Prices'!D49="",'04 Prices'!D50=""),"",'04 Prices'!D50/'04 Prices'!D49-1)</f>
        <v/>
      </c>
      <c r="E49" s="25">
        <f>IF(OR($A49="",'04 Prices'!E49="",'04 Prices'!E50=""),"",'04 Prices'!E50/'04 Prices'!E49-1)</f>
        <v/>
      </c>
      <c r="F49" s="25">
        <f>IF(OR($A49="",'04 Prices'!F49="",'04 Prices'!F50=""),"",'04 Prices'!F50/'04 Prices'!F49-1)</f>
        <v/>
      </c>
      <c r="G49" s="25">
        <f>IF(OR($A49="",'04 Prices'!G49="",'04 Prices'!G50=""),"",'04 Prices'!G50/'04 Prices'!G49-1)</f>
        <v/>
      </c>
      <c r="H49" s="25">
        <f>IF(OR($A49="",'04 Prices'!H49="",'04 Prices'!H50=""),"",'04 Prices'!H50/'04 Prices'!H49-1)</f>
        <v/>
      </c>
    </row>
    <row r="50">
      <c r="A50" s="23">
        <f>IF('04 Prices'!A51="","",'04 Prices'!A51)</f>
        <v/>
      </c>
      <c r="B50" s="25">
        <f>IF(OR($A50="",'04 Prices'!B50="",'04 Prices'!B51=""),"",'04 Prices'!B51/'04 Prices'!B50-1)</f>
        <v/>
      </c>
      <c r="C50" s="25">
        <f>IF(OR($A50="",'04 Prices'!C50="",'04 Prices'!C51=""),"",'04 Prices'!C51/'04 Prices'!C50-1)</f>
        <v/>
      </c>
      <c r="D50" s="25">
        <f>IF(OR($A50="",'04 Prices'!D50="",'04 Prices'!D51=""),"",'04 Prices'!D51/'04 Prices'!D50-1)</f>
        <v/>
      </c>
      <c r="E50" s="25">
        <f>IF(OR($A50="",'04 Prices'!E50="",'04 Prices'!E51=""),"",'04 Prices'!E51/'04 Prices'!E50-1)</f>
        <v/>
      </c>
      <c r="F50" s="25">
        <f>IF(OR($A50="",'04 Prices'!F50="",'04 Prices'!F51=""),"",'04 Prices'!F51/'04 Prices'!F50-1)</f>
        <v/>
      </c>
      <c r="G50" s="25">
        <f>IF(OR($A50="",'04 Prices'!G50="",'04 Prices'!G51=""),"",'04 Prices'!G51/'04 Prices'!G50-1)</f>
        <v/>
      </c>
      <c r="H50" s="25">
        <f>IF(OR($A50="",'04 Prices'!H50="",'04 Prices'!H51=""),"",'04 Prices'!H51/'04 Prices'!H50-1)</f>
        <v/>
      </c>
    </row>
    <row r="51">
      <c r="A51" s="23">
        <f>IF('04 Prices'!A52="","",'04 Prices'!A52)</f>
        <v/>
      </c>
      <c r="B51" s="25">
        <f>IF(OR($A51="",'04 Prices'!B51="",'04 Prices'!B52=""),"",'04 Prices'!B52/'04 Prices'!B51-1)</f>
        <v/>
      </c>
      <c r="C51" s="25">
        <f>IF(OR($A51="",'04 Prices'!C51="",'04 Prices'!C52=""),"",'04 Prices'!C52/'04 Prices'!C51-1)</f>
        <v/>
      </c>
      <c r="D51" s="25">
        <f>IF(OR($A51="",'04 Prices'!D51="",'04 Prices'!D52=""),"",'04 Prices'!D52/'04 Prices'!D51-1)</f>
        <v/>
      </c>
      <c r="E51" s="25">
        <f>IF(OR($A51="",'04 Prices'!E51="",'04 Prices'!E52=""),"",'04 Prices'!E52/'04 Prices'!E51-1)</f>
        <v/>
      </c>
      <c r="F51" s="25">
        <f>IF(OR($A51="",'04 Prices'!F51="",'04 Prices'!F52=""),"",'04 Prices'!F52/'04 Prices'!F51-1)</f>
        <v/>
      </c>
      <c r="G51" s="25">
        <f>IF(OR($A51="",'04 Prices'!G51="",'04 Prices'!G52=""),"",'04 Prices'!G52/'04 Prices'!G51-1)</f>
        <v/>
      </c>
      <c r="H51" s="25">
        <f>IF(OR($A51="",'04 Prices'!H51="",'04 Prices'!H52=""),"",'04 Prices'!H52/'04 Prices'!H51-1)</f>
        <v/>
      </c>
    </row>
    <row r="52">
      <c r="A52" s="23">
        <f>IF('04 Prices'!A53="","",'04 Prices'!A53)</f>
        <v/>
      </c>
      <c r="B52" s="25">
        <f>IF(OR($A52="",'04 Prices'!B52="",'04 Prices'!B53=""),"",'04 Prices'!B53/'04 Prices'!B52-1)</f>
        <v/>
      </c>
      <c r="C52" s="25">
        <f>IF(OR($A52="",'04 Prices'!C52="",'04 Prices'!C53=""),"",'04 Prices'!C53/'04 Prices'!C52-1)</f>
        <v/>
      </c>
      <c r="D52" s="25">
        <f>IF(OR($A52="",'04 Prices'!D52="",'04 Prices'!D53=""),"",'04 Prices'!D53/'04 Prices'!D52-1)</f>
        <v/>
      </c>
      <c r="E52" s="25">
        <f>IF(OR($A52="",'04 Prices'!E52="",'04 Prices'!E53=""),"",'04 Prices'!E53/'04 Prices'!E52-1)</f>
        <v/>
      </c>
      <c r="F52" s="25">
        <f>IF(OR($A52="",'04 Prices'!F52="",'04 Prices'!F53=""),"",'04 Prices'!F53/'04 Prices'!F52-1)</f>
        <v/>
      </c>
      <c r="G52" s="25">
        <f>IF(OR($A52="",'04 Prices'!G52="",'04 Prices'!G53=""),"",'04 Prices'!G53/'04 Prices'!G52-1)</f>
        <v/>
      </c>
      <c r="H52" s="25">
        <f>IF(OR($A52="",'04 Prices'!H52="",'04 Prices'!H53=""),"",'04 Prices'!H53/'04 Prices'!H52-1)</f>
        <v/>
      </c>
    </row>
    <row r="53">
      <c r="A53" s="23">
        <f>IF('04 Prices'!A54="","",'04 Prices'!A54)</f>
        <v/>
      </c>
      <c r="B53" s="25">
        <f>IF(OR($A53="",'04 Prices'!B53="",'04 Prices'!B54=""),"",'04 Prices'!B54/'04 Prices'!B53-1)</f>
        <v/>
      </c>
      <c r="C53" s="25">
        <f>IF(OR($A53="",'04 Prices'!C53="",'04 Prices'!C54=""),"",'04 Prices'!C54/'04 Prices'!C53-1)</f>
        <v/>
      </c>
      <c r="D53" s="25">
        <f>IF(OR($A53="",'04 Prices'!D53="",'04 Prices'!D54=""),"",'04 Prices'!D54/'04 Prices'!D53-1)</f>
        <v/>
      </c>
      <c r="E53" s="25">
        <f>IF(OR($A53="",'04 Prices'!E53="",'04 Prices'!E54=""),"",'04 Prices'!E54/'04 Prices'!E53-1)</f>
        <v/>
      </c>
      <c r="F53" s="25">
        <f>IF(OR($A53="",'04 Prices'!F53="",'04 Prices'!F54=""),"",'04 Prices'!F54/'04 Prices'!F53-1)</f>
        <v/>
      </c>
      <c r="G53" s="25">
        <f>IF(OR($A53="",'04 Prices'!G53="",'04 Prices'!G54=""),"",'04 Prices'!G54/'04 Prices'!G53-1)</f>
        <v/>
      </c>
      <c r="H53" s="25">
        <f>IF(OR($A53="",'04 Prices'!H53="",'04 Prices'!H54=""),"",'04 Prices'!H54/'04 Prices'!H53-1)</f>
        <v/>
      </c>
    </row>
    <row r="54">
      <c r="A54" s="23">
        <f>IF('04 Prices'!A55="","",'04 Prices'!A55)</f>
        <v/>
      </c>
      <c r="B54" s="25">
        <f>IF(OR($A54="",'04 Prices'!B54="",'04 Prices'!B55=""),"",'04 Prices'!B55/'04 Prices'!B54-1)</f>
        <v/>
      </c>
      <c r="C54" s="25">
        <f>IF(OR($A54="",'04 Prices'!C54="",'04 Prices'!C55=""),"",'04 Prices'!C55/'04 Prices'!C54-1)</f>
        <v/>
      </c>
      <c r="D54" s="25">
        <f>IF(OR($A54="",'04 Prices'!D54="",'04 Prices'!D55=""),"",'04 Prices'!D55/'04 Prices'!D54-1)</f>
        <v/>
      </c>
      <c r="E54" s="25">
        <f>IF(OR($A54="",'04 Prices'!E54="",'04 Prices'!E55=""),"",'04 Prices'!E55/'04 Prices'!E54-1)</f>
        <v/>
      </c>
      <c r="F54" s="25">
        <f>IF(OR($A54="",'04 Prices'!F54="",'04 Prices'!F55=""),"",'04 Prices'!F55/'04 Prices'!F54-1)</f>
        <v/>
      </c>
      <c r="G54" s="25">
        <f>IF(OR($A54="",'04 Prices'!G54="",'04 Prices'!G55=""),"",'04 Prices'!G55/'04 Prices'!G54-1)</f>
        <v/>
      </c>
      <c r="H54" s="25">
        <f>IF(OR($A54="",'04 Prices'!H54="",'04 Prices'!H55=""),"",'04 Prices'!H55/'04 Prices'!H54-1)</f>
        <v/>
      </c>
    </row>
    <row r="55">
      <c r="A55" s="23">
        <f>IF('04 Prices'!A56="","",'04 Prices'!A56)</f>
        <v/>
      </c>
      <c r="B55" s="25">
        <f>IF(OR($A55="",'04 Prices'!B55="",'04 Prices'!B56=""),"",'04 Prices'!B56/'04 Prices'!B55-1)</f>
        <v/>
      </c>
      <c r="C55" s="25">
        <f>IF(OR($A55="",'04 Prices'!C55="",'04 Prices'!C56=""),"",'04 Prices'!C56/'04 Prices'!C55-1)</f>
        <v/>
      </c>
      <c r="D55" s="25">
        <f>IF(OR($A55="",'04 Prices'!D55="",'04 Prices'!D56=""),"",'04 Prices'!D56/'04 Prices'!D55-1)</f>
        <v/>
      </c>
      <c r="E55" s="25">
        <f>IF(OR($A55="",'04 Prices'!E55="",'04 Prices'!E56=""),"",'04 Prices'!E56/'04 Prices'!E55-1)</f>
        <v/>
      </c>
      <c r="F55" s="25">
        <f>IF(OR($A55="",'04 Prices'!F55="",'04 Prices'!F56=""),"",'04 Prices'!F56/'04 Prices'!F55-1)</f>
        <v/>
      </c>
      <c r="G55" s="25">
        <f>IF(OR($A55="",'04 Prices'!G55="",'04 Prices'!G56=""),"",'04 Prices'!G56/'04 Prices'!G55-1)</f>
        <v/>
      </c>
      <c r="H55" s="25">
        <f>IF(OR($A55="",'04 Prices'!H55="",'04 Prices'!H56=""),"",'04 Prices'!H56/'04 Prices'!H55-1)</f>
        <v/>
      </c>
    </row>
    <row r="56">
      <c r="A56" s="23">
        <f>IF('04 Prices'!A57="","",'04 Prices'!A57)</f>
        <v/>
      </c>
      <c r="B56" s="25">
        <f>IF(OR($A56="",'04 Prices'!B56="",'04 Prices'!B57=""),"",'04 Prices'!B57/'04 Prices'!B56-1)</f>
        <v/>
      </c>
      <c r="C56" s="25">
        <f>IF(OR($A56="",'04 Prices'!C56="",'04 Prices'!C57=""),"",'04 Prices'!C57/'04 Prices'!C56-1)</f>
        <v/>
      </c>
      <c r="D56" s="25">
        <f>IF(OR($A56="",'04 Prices'!D56="",'04 Prices'!D57=""),"",'04 Prices'!D57/'04 Prices'!D56-1)</f>
        <v/>
      </c>
      <c r="E56" s="25">
        <f>IF(OR($A56="",'04 Prices'!E56="",'04 Prices'!E57=""),"",'04 Prices'!E57/'04 Prices'!E56-1)</f>
        <v/>
      </c>
      <c r="F56" s="25">
        <f>IF(OR($A56="",'04 Prices'!F56="",'04 Prices'!F57=""),"",'04 Prices'!F57/'04 Prices'!F56-1)</f>
        <v/>
      </c>
      <c r="G56" s="25">
        <f>IF(OR($A56="",'04 Prices'!G56="",'04 Prices'!G57=""),"",'04 Prices'!G57/'04 Prices'!G56-1)</f>
        <v/>
      </c>
      <c r="H56" s="25">
        <f>IF(OR($A56="",'04 Prices'!H56="",'04 Prices'!H57=""),"",'04 Prices'!H57/'04 Prices'!H56-1)</f>
        <v/>
      </c>
    </row>
    <row r="57">
      <c r="A57" s="23">
        <f>IF('04 Prices'!A58="","",'04 Prices'!A58)</f>
        <v/>
      </c>
      <c r="B57" s="25">
        <f>IF(OR($A57="",'04 Prices'!B57="",'04 Prices'!B58=""),"",'04 Prices'!B58/'04 Prices'!B57-1)</f>
        <v/>
      </c>
      <c r="C57" s="25">
        <f>IF(OR($A57="",'04 Prices'!C57="",'04 Prices'!C58=""),"",'04 Prices'!C58/'04 Prices'!C57-1)</f>
        <v/>
      </c>
      <c r="D57" s="25">
        <f>IF(OR($A57="",'04 Prices'!D57="",'04 Prices'!D58=""),"",'04 Prices'!D58/'04 Prices'!D57-1)</f>
        <v/>
      </c>
      <c r="E57" s="25">
        <f>IF(OR($A57="",'04 Prices'!E57="",'04 Prices'!E58=""),"",'04 Prices'!E58/'04 Prices'!E57-1)</f>
        <v/>
      </c>
      <c r="F57" s="25">
        <f>IF(OR($A57="",'04 Prices'!F57="",'04 Prices'!F58=""),"",'04 Prices'!F58/'04 Prices'!F57-1)</f>
        <v/>
      </c>
      <c r="G57" s="25">
        <f>IF(OR($A57="",'04 Prices'!G57="",'04 Prices'!G58=""),"",'04 Prices'!G58/'04 Prices'!G57-1)</f>
        <v/>
      </c>
      <c r="H57" s="25">
        <f>IF(OR($A57="",'04 Prices'!H57="",'04 Prices'!H58=""),"",'04 Prices'!H58/'04 Prices'!H57-1)</f>
        <v/>
      </c>
    </row>
    <row r="58">
      <c r="A58" s="23">
        <f>IF('04 Prices'!A59="","",'04 Prices'!A59)</f>
        <v/>
      </c>
      <c r="B58" s="25">
        <f>IF(OR($A58="",'04 Prices'!B58="",'04 Prices'!B59=""),"",'04 Prices'!B59/'04 Prices'!B58-1)</f>
        <v/>
      </c>
      <c r="C58" s="25">
        <f>IF(OR($A58="",'04 Prices'!C58="",'04 Prices'!C59=""),"",'04 Prices'!C59/'04 Prices'!C58-1)</f>
        <v/>
      </c>
      <c r="D58" s="25">
        <f>IF(OR($A58="",'04 Prices'!D58="",'04 Prices'!D59=""),"",'04 Prices'!D59/'04 Prices'!D58-1)</f>
        <v/>
      </c>
      <c r="E58" s="25">
        <f>IF(OR($A58="",'04 Prices'!E58="",'04 Prices'!E59=""),"",'04 Prices'!E59/'04 Prices'!E58-1)</f>
        <v/>
      </c>
      <c r="F58" s="25">
        <f>IF(OR($A58="",'04 Prices'!F58="",'04 Prices'!F59=""),"",'04 Prices'!F59/'04 Prices'!F58-1)</f>
        <v/>
      </c>
      <c r="G58" s="25">
        <f>IF(OR($A58="",'04 Prices'!G58="",'04 Prices'!G59=""),"",'04 Prices'!G59/'04 Prices'!G58-1)</f>
        <v/>
      </c>
      <c r="H58" s="25">
        <f>IF(OR($A58="",'04 Prices'!H58="",'04 Prices'!H59=""),"",'04 Prices'!H59/'04 Prices'!H58-1)</f>
        <v/>
      </c>
    </row>
    <row r="59">
      <c r="A59" s="23">
        <f>IF('04 Prices'!A60="","",'04 Prices'!A60)</f>
        <v/>
      </c>
      <c r="B59" s="25">
        <f>IF(OR($A59="",'04 Prices'!B59="",'04 Prices'!B60=""),"",'04 Prices'!B60/'04 Prices'!B59-1)</f>
        <v/>
      </c>
      <c r="C59" s="25">
        <f>IF(OR($A59="",'04 Prices'!C59="",'04 Prices'!C60=""),"",'04 Prices'!C60/'04 Prices'!C59-1)</f>
        <v/>
      </c>
      <c r="D59" s="25">
        <f>IF(OR($A59="",'04 Prices'!D59="",'04 Prices'!D60=""),"",'04 Prices'!D60/'04 Prices'!D59-1)</f>
        <v/>
      </c>
      <c r="E59" s="25">
        <f>IF(OR($A59="",'04 Prices'!E59="",'04 Prices'!E60=""),"",'04 Prices'!E60/'04 Prices'!E59-1)</f>
        <v/>
      </c>
      <c r="F59" s="25">
        <f>IF(OR($A59="",'04 Prices'!F59="",'04 Prices'!F60=""),"",'04 Prices'!F60/'04 Prices'!F59-1)</f>
        <v/>
      </c>
      <c r="G59" s="25">
        <f>IF(OR($A59="",'04 Prices'!G59="",'04 Prices'!G60=""),"",'04 Prices'!G60/'04 Prices'!G59-1)</f>
        <v/>
      </c>
      <c r="H59" s="25">
        <f>IF(OR($A59="",'04 Prices'!H59="",'04 Prices'!H60=""),"",'04 Prices'!H60/'04 Prices'!H59-1)</f>
        <v/>
      </c>
    </row>
    <row r="60">
      <c r="A60" s="23">
        <f>IF('04 Prices'!A61="","",'04 Prices'!A61)</f>
        <v/>
      </c>
      <c r="B60" s="25">
        <f>IF(OR($A60="",'04 Prices'!B60="",'04 Prices'!B61=""),"",'04 Prices'!B61/'04 Prices'!B60-1)</f>
        <v/>
      </c>
      <c r="C60" s="25">
        <f>IF(OR($A60="",'04 Prices'!C60="",'04 Prices'!C61=""),"",'04 Prices'!C61/'04 Prices'!C60-1)</f>
        <v/>
      </c>
      <c r="D60" s="25">
        <f>IF(OR($A60="",'04 Prices'!D60="",'04 Prices'!D61=""),"",'04 Prices'!D61/'04 Prices'!D60-1)</f>
        <v/>
      </c>
      <c r="E60" s="25">
        <f>IF(OR($A60="",'04 Prices'!E60="",'04 Prices'!E61=""),"",'04 Prices'!E61/'04 Prices'!E60-1)</f>
        <v/>
      </c>
      <c r="F60" s="25">
        <f>IF(OR($A60="",'04 Prices'!F60="",'04 Prices'!F61=""),"",'04 Prices'!F61/'04 Prices'!F60-1)</f>
        <v/>
      </c>
      <c r="G60" s="25">
        <f>IF(OR($A60="",'04 Prices'!G60="",'04 Prices'!G61=""),"",'04 Prices'!G61/'04 Prices'!G60-1)</f>
        <v/>
      </c>
      <c r="H60" s="25">
        <f>IF(OR($A60="",'04 Prices'!H60="",'04 Prices'!H61=""),"",'04 Prices'!H61/'04 Prices'!H60-1)</f>
        <v/>
      </c>
    </row>
    <row r="61">
      <c r="A61" s="23">
        <f>IF('04 Prices'!A62="","",'04 Prices'!A62)</f>
        <v/>
      </c>
      <c r="B61" s="25">
        <f>IF(OR($A61="",'04 Prices'!B61="",'04 Prices'!B62=""),"",'04 Prices'!B62/'04 Prices'!B61-1)</f>
        <v/>
      </c>
      <c r="C61" s="25">
        <f>IF(OR($A61="",'04 Prices'!C61="",'04 Prices'!C62=""),"",'04 Prices'!C62/'04 Prices'!C61-1)</f>
        <v/>
      </c>
      <c r="D61" s="25">
        <f>IF(OR($A61="",'04 Prices'!D61="",'04 Prices'!D62=""),"",'04 Prices'!D62/'04 Prices'!D61-1)</f>
        <v/>
      </c>
      <c r="E61" s="25">
        <f>IF(OR($A61="",'04 Prices'!E61="",'04 Prices'!E62=""),"",'04 Prices'!E62/'04 Prices'!E61-1)</f>
        <v/>
      </c>
      <c r="F61" s="25">
        <f>IF(OR($A61="",'04 Prices'!F61="",'04 Prices'!F62=""),"",'04 Prices'!F62/'04 Prices'!F61-1)</f>
        <v/>
      </c>
      <c r="G61" s="25">
        <f>IF(OR($A61="",'04 Prices'!G61="",'04 Prices'!G62=""),"",'04 Prices'!G62/'04 Prices'!G61-1)</f>
        <v/>
      </c>
      <c r="H61" s="25">
        <f>IF(OR($A61="",'04 Prices'!H61="",'04 Prices'!H62=""),"",'04 Prices'!H62/'04 Prices'!H61-1)</f>
        <v/>
      </c>
    </row>
    <row r="62">
      <c r="A62" s="23">
        <f>IF('04 Prices'!A63="","",'04 Prices'!A63)</f>
        <v/>
      </c>
      <c r="B62" s="25">
        <f>IF(OR($A62="",'04 Prices'!B62="",'04 Prices'!B63=""),"",'04 Prices'!B63/'04 Prices'!B62-1)</f>
        <v/>
      </c>
      <c r="C62" s="25">
        <f>IF(OR($A62="",'04 Prices'!C62="",'04 Prices'!C63=""),"",'04 Prices'!C63/'04 Prices'!C62-1)</f>
        <v/>
      </c>
      <c r="D62" s="25">
        <f>IF(OR($A62="",'04 Prices'!D62="",'04 Prices'!D63=""),"",'04 Prices'!D63/'04 Prices'!D62-1)</f>
        <v/>
      </c>
      <c r="E62" s="25">
        <f>IF(OR($A62="",'04 Prices'!E62="",'04 Prices'!E63=""),"",'04 Prices'!E63/'04 Prices'!E62-1)</f>
        <v/>
      </c>
      <c r="F62" s="25">
        <f>IF(OR($A62="",'04 Prices'!F62="",'04 Prices'!F63=""),"",'04 Prices'!F63/'04 Prices'!F62-1)</f>
        <v/>
      </c>
      <c r="G62" s="25">
        <f>IF(OR($A62="",'04 Prices'!G62="",'04 Prices'!G63=""),"",'04 Prices'!G63/'04 Prices'!G62-1)</f>
        <v/>
      </c>
      <c r="H62" s="25">
        <f>IF(OR($A62="",'04 Prices'!H62="",'04 Prices'!H63=""),"",'04 Prices'!H63/'04 Prices'!H62-1)</f>
        <v/>
      </c>
    </row>
    <row r="63">
      <c r="A63" s="23">
        <f>IF('04 Prices'!A64="","",'04 Prices'!A64)</f>
        <v/>
      </c>
      <c r="B63" s="25">
        <f>IF(OR($A63="",'04 Prices'!B63="",'04 Prices'!B64=""),"",'04 Prices'!B64/'04 Prices'!B63-1)</f>
        <v/>
      </c>
      <c r="C63" s="25">
        <f>IF(OR($A63="",'04 Prices'!C63="",'04 Prices'!C64=""),"",'04 Prices'!C64/'04 Prices'!C63-1)</f>
        <v/>
      </c>
      <c r="D63" s="25">
        <f>IF(OR($A63="",'04 Prices'!D63="",'04 Prices'!D64=""),"",'04 Prices'!D64/'04 Prices'!D63-1)</f>
        <v/>
      </c>
      <c r="E63" s="25">
        <f>IF(OR($A63="",'04 Prices'!E63="",'04 Prices'!E64=""),"",'04 Prices'!E64/'04 Prices'!E63-1)</f>
        <v/>
      </c>
      <c r="F63" s="25">
        <f>IF(OR($A63="",'04 Prices'!F63="",'04 Prices'!F64=""),"",'04 Prices'!F64/'04 Prices'!F63-1)</f>
        <v/>
      </c>
      <c r="G63" s="25">
        <f>IF(OR($A63="",'04 Prices'!G63="",'04 Prices'!G64=""),"",'04 Prices'!G64/'04 Prices'!G63-1)</f>
        <v/>
      </c>
      <c r="H63" s="25">
        <f>IF(OR($A63="",'04 Prices'!H63="",'04 Prices'!H64=""),"",'04 Prices'!H64/'04 Prices'!H63-1)</f>
        <v/>
      </c>
    </row>
    <row r="64">
      <c r="A64" s="23">
        <f>IF('04 Prices'!A65="","",'04 Prices'!A65)</f>
        <v/>
      </c>
      <c r="B64" s="25">
        <f>IF(OR($A64="",'04 Prices'!B64="",'04 Prices'!B65=""),"",'04 Prices'!B65/'04 Prices'!B64-1)</f>
        <v/>
      </c>
      <c r="C64" s="25">
        <f>IF(OR($A64="",'04 Prices'!C64="",'04 Prices'!C65=""),"",'04 Prices'!C65/'04 Prices'!C64-1)</f>
        <v/>
      </c>
      <c r="D64" s="25">
        <f>IF(OR($A64="",'04 Prices'!D64="",'04 Prices'!D65=""),"",'04 Prices'!D65/'04 Prices'!D64-1)</f>
        <v/>
      </c>
      <c r="E64" s="25">
        <f>IF(OR($A64="",'04 Prices'!E64="",'04 Prices'!E65=""),"",'04 Prices'!E65/'04 Prices'!E64-1)</f>
        <v/>
      </c>
      <c r="F64" s="25">
        <f>IF(OR($A64="",'04 Prices'!F64="",'04 Prices'!F65=""),"",'04 Prices'!F65/'04 Prices'!F64-1)</f>
        <v/>
      </c>
      <c r="G64" s="25">
        <f>IF(OR($A64="",'04 Prices'!G64="",'04 Prices'!G65=""),"",'04 Prices'!G65/'04 Prices'!G64-1)</f>
        <v/>
      </c>
      <c r="H64" s="25">
        <f>IF(OR($A64="",'04 Prices'!H64="",'04 Prices'!H65=""),"",'04 Prices'!H65/'04 Prices'!H64-1)</f>
        <v/>
      </c>
    </row>
    <row r="65">
      <c r="A65" s="23">
        <f>IF('04 Prices'!A66="","",'04 Prices'!A66)</f>
        <v/>
      </c>
      <c r="B65" s="25">
        <f>IF(OR($A65="",'04 Prices'!B65="",'04 Prices'!B66=""),"",'04 Prices'!B66/'04 Prices'!B65-1)</f>
        <v/>
      </c>
      <c r="C65" s="25">
        <f>IF(OR($A65="",'04 Prices'!C65="",'04 Prices'!C66=""),"",'04 Prices'!C66/'04 Prices'!C65-1)</f>
        <v/>
      </c>
      <c r="D65" s="25">
        <f>IF(OR($A65="",'04 Prices'!D65="",'04 Prices'!D66=""),"",'04 Prices'!D66/'04 Prices'!D65-1)</f>
        <v/>
      </c>
      <c r="E65" s="25">
        <f>IF(OR($A65="",'04 Prices'!E65="",'04 Prices'!E66=""),"",'04 Prices'!E66/'04 Prices'!E65-1)</f>
        <v/>
      </c>
      <c r="F65" s="25">
        <f>IF(OR($A65="",'04 Prices'!F65="",'04 Prices'!F66=""),"",'04 Prices'!F66/'04 Prices'!F65-1)</f>
        <v/>
      </c>
      <c r="G65" s="25">
        <f>IF(OR($A65="",'04 Prices'!G65="",'04 Prices'!G66=""),"",'04 Prices'!G66/'04 Prices'!G65-1)</f>
        <v/>
      </c>
      <c r="H65" s="25">
        <f>IF(OR($A65="",'04 Prices'!H65="",'04 Prices'!H66=""),"",'04 Prices'!H66/'04 Prices'!H65-1)</f>
        <v/>
      </c>
    </row>
    <row r="66">
      <c r="A66" s="23">
        <f>IF('04 Prices'!A67="","",'04 Prices'!A67)</f>
        <v/>
      </c>
      <c r="B66" s="25">
        <f>IF(OR($A66="",'04 Prices'!B66="",'04 Prices'!B67=""),"",'04 Prices'!B67/'04 Prices'!B66-1)</f>
        <v/>
      </c>
      <c r="C66" s="25">
        <f>IF(OR($A66="",'04 Prices'!C66="",'04 Prices'!C67=""),"",'04 Prices'!C67/'04 Prices'!C66-1)</f>
        <v/>
      </c>
      <c r="D66" s="25">
        <f>IF(OR($A66="",'04 Prices'!D66="",'04 Prices'!D67=""),"",'04 Prices'!D67/'04 Prices'!D66-1)</f>
        <v/>
      </c>
      <c r="E66" s="25">
        <f>IF(OR($A66="",'04 Prices'!E66="",'04 Prices'!E67=""),"",'04 Prices'!E67/'04 Prices'!E66-1)</f>
        <v/>
      </c>
      <c r="F66" s="25">
        <f>IF(OR($A66="",'04 Prices'!F66="",'04 Prices'!F67=""),"",'04 Prices'!F67/'04 Prices'!F66-1)</f>
        <v/>
      </c>
      <c r="G66" s="25">
        <f>IF(OR($A66="",'04 Prices'!G66="",'04 Prices'!G67=""),"",'04 Prices'!G67/'04 Prices'!G66-1)</f>
        <v/>
      </c>
      <c r="H66" s="25">
        <f>IF(OR($A66="",'04 Prices'!H66="",'04 Prices'!H67=""),"",'04 Prices'!H67/'04 Prices'!H66-1)</f>
        <v/>
      </c>
    </row>
    <row r="67">
      <c r="A67" s="23">
        <f>IF('04 Prices'!A68="","",'04 Prices'!A68)</f>
        <v/>
      </c>
      <c r="B67" s="25">
        <f>IF(OR($A67="",'04 Prices'!B67="",'04 Prices'!B68=""),"",'04 Prices'!B68/'04 Prices'!B67-1)</f>
        <v/>
      </c>
      <c r="C67" s="25">
        <f>IF(OR($A67="",'04 Prices'!C67="",'04 Prices'!C68=""),"",'04 Prices'!C68/'04 Prices'!C67-1)</f>
        <v/>
      </c>
      <c r="D67" s="25">
        <f>IF(OR($A67="",'04 Prices'!D67="",'04 Prices'!D68=""),"",'04 Prices'!D68/'04 Prices'!D67-1)</f>
        <v/>
      </c>
      <c r="E67" s="25">
        <f>IF(OR($A67="",'04 Prices'!E67="",'04 Prices'!E68=""),"",'04 Prices'!E68/'04 Prices'!E67-1)</f>
        <v/>
      </c>
      <c r="F67" s="25">
        <f>IF(OR($A67="",'04 Prices'!F67="",'04 Prices'!F68=""),"",'04 Prices'!F68/'04 Prices'!F67-1)</f>
        <v/>
      </c>
      <c r="G67" s="25">
        <f>IF(OR($A67="",'04 Prices'!G67="",'04 Prices'!G68=""),"",'04 Prices'!G68/'04 Prices'!G67-1)</f>
        <v/>
      </c>
      <c r="H67" s="25">
        <f>IF(OR($A67="",'04 Prices'!H67="",'04 Prices'!H68=""),"",'04 Prices'!H68/'04 Prices'!H67-1)</f>
        <v/>
      </c>
    </row>
    <row r="68">
      <c r="A68" s="23">
        <f>IF('04 Prices'!A69="","",'04 Prices'!A69)</f>
        <v/>
      </c>
      <c r="B68" s="25">
        <f>IF(OR($A68="",'04 Prices'!B68="",'04 Prices'!B69=""),"",'04 Prices'!B69/'04 Prices'!B68-1)</f>
        <v/>
      </c>
      <c r="C68" s="25">
        <f>IF(OR($A68="",'04 Prices'!C68="",'04 Prices'!C69=""),"",'04 Prices'!C69/'04 Prices'!C68-1)</f>
        <v/>
      </c>
      <c r="D68" s="25">
        <f>IF(OR($A68="",'04 Prices'!D68="",'04 Prices'!D69=""),"",'04 Prices'!D69/'04 Prices'!D68-1)</f>
        <v/>
      </c>
      <c r="E68" s="25">
        <f>IF(OR($A68="",'04 Prices'!E68="",'04 Prices'!E69=""),"",'04 Prices'!E69/'04 Prices'!E68-1)</f>
        <v/>
      </c>
      <c r="F68" s="25">
        <f>IF(OR($A68="",'04 Prices'!F68="",'04 Prices'!F69=""),"",'04 Prices'!F69/'04 Prices'!F68-1)</f>
        <v/>
      </c>
      <c r="G68" s="25">
        <f>IF(OR($A68="",'04 Prices'!G68="",'04 Prices'!G69=""),"",'04 Prices'!G69/'04 Prices'!G68-1)</f>
        <v/>
      </c>
      <c r="H68" s="25">
        <f>IF(OR($A68="",'04 Prices'!H68="",'04 Prices'!H69=""),"",'04 Prices'!H69/'04 Prices'!H68-1)</f>
        <v/>
      </c>
    </row>
    <row r="69">
      <c r="A69" s="23">
        <f>IF('04 Prices'!A70="","",'04 Prices'!A70)</f>
        <v/>
      </c>
      <c r="B69" s="25">
        <f>IF(OR($A69="",'04 Prices'!B69="",'04 Prices'!B70=""),"",'04 Prices'!B70/'04 Prices'!B69-1)</f>
        <v/>
      </c>
      <c r="C69" s="25">
        <f>IF(OR($A69="",'04 Prices'!C69="",'04 Prices'!C70=""),"",'04 Prices'!C70/'04 Prices'!C69-1)</f>
        <v/>
      </c>
      <c r="D69" s="25">
        <f>IF(OR($A69="",'04 Prices'!D69="",'04 Prices'!D70=""),"",'04 Prices'!D70/'04 Prices'!D69-1)</f>
        <v/>
      </c>
      <c r="E69" s="25">
        <f>IF(OR($A69="",'04 Prices'!E69="",'04 Prices'!E70=""),"",'04 Prices'!E70/'04 Prices'!E69-1)</f>
        <v/>
      </c>
      <c r="F69" s="25">
        <f>IF(OR($A69="",'04 Prices'!F69="",'04 Prices'!F70=""),"",'04 Prices'!F70/'04 Prices'!F69-1)</f>
        <v/>
      </c>
      <c r="G69" s="25">
        <f>IF(OR($A69="",'04 Prices'!G69="",'04 Prices'!G70=""),"",'04 Prices'!G70/'04 Prices'!G69-1)</f>
        <v/>
      </c>
      <c r="H69" s="25">
        <f>IF(OR($A69="",'04 Prices'!H69="",'04 Prices'!H70=""),"",'04 Prices'!H70/'04 Prices'!H69-1)</f>
        <v/>
      </c>
    </row>
    <row r="70">
      <c r="A70" s="23">
        <f>IF('04 Prices'!A71="","",'04 Prices'!A71)</f>
        <v/>
      </c>
      <c r="B70" s="25">
        <f>IF(OR($A70="",'04 Prices'!B70="",'04 Prices'!B71=""),"",'04 Prices'!B71/'04 Prices'!B70-1)</f>
        <v/>
      </c>
      <c r="C70" s="25">
        <f>IF(OR($A70="",'04 Prices'!C70="",'04 Prices'!C71=""),"",'04 Prices'!C71/'04 Prices'!C70-1)</f>
        <v/>
      </c>
      <c r="D70" s="25">
        <f>IF(OR($A70="",'04 Prices'!D70="",'04 Prices'!D71=""),"",'04 Prices'!D71/'04 Prices'!D70-1)</f>
        <v/>
      </c>
      <c r="E70" s="25">
        <f>IF(OR($A70="",'04 Prices'!E70="",'04 Prices'!E71=""),"",'04 Prices'!E71/'04 Prices'!E70-1)</f>
        <v/>
      </c>
      <c r="F70" s="25">
        <f>IF(OR($A70="",'04 Prices'!F70="",'04 Prices'!F71=""),"",'04 Prices'!F71/'04 Prices'!F70-1)</f>
        <v/>
      </c>
      <c r="G70" s="25">
        <f>IF(OR($A70="",'04 Prices'!G70="",'04 Prices'!G71=""),"",'04 Prices'!G71/'04 Prices'!G70-1)</f>
        <v/>
      </c>
      <c r="H70" s="25">
        <f>IF(OR($A70="",'04 Prices'!H70="",'04 Prices'!H71=""),"",'04 Prices'!H71/'04 Prices'!H70-1)</f>
        <v/>
      </c>
    </row>
    <row r="71">
      <c r="A71" s="23">
        <f>IF('04 Prices'!A72="","",'04 Prices'!A72)</f>
        <v/>
      </c>
      <c r="B71" s="25">
        <f>IF(OR($A71="",'04 Prices'!B71="",'04 Prices'!B72=""),"",'04 Prices'!B72/'04 Prices'!B71-1)</f>
        <v/>
      </c>
      <c r="C71" s="25">
        <f>IF(OR($A71="",'04 Prices'!C71="",'04 Prices'!C72=""),"",'04 Prices'!C72/'04 Prices'!C71-1)</f>
        <v/>
      </c>
      <c r="D71" s="25">
        <f>IF(OR($A71="",'04 Prices'!D71="",'04 Prices'!D72=""),"",'04 Prices'!D72/'04 Prices'!D71-1)</f>
        <v/>
      </c>
      <c r="E71" s="25">
        <f>IF(OR($A71="",'04 Prices'!E71="",'04 Prices'!E72=""),"",'04 Prices'!E72/'04 Prices'!E71-1)</f>
        <v/>
      </c>
      <c r="F71" s="25">
        <f>IF(OR($A71="",'04 Prices'!F71="",'04 Prices'!F72=""),"",'04 Prices'!F72/'04 Prices'!F71-1)</f>
        <v/>
      </c>
      <c r="G71" s="25">
        <f>IF(OR($A71="",'04 Prices'!G71="",'04 Prices'!G72=""),"",'04 Prices'!G72/'04 Prices'!G71-1)</f>
        <v/>
      </c>
      <c r="H71" s="25">
        <f>IF(OR($A71="",'04 Prices'!H71="",'04 Prices'!H72=""),"",'04 Prices'!H72/'04 Prices'!H71-1)</f>
        <v/>
      </c>
    </row>
    <row r="72">
      <c r="A72" s="23">
        <f>IF('04 Prices'!A73="","",'04 Prices'!A73)</f>
        <v/>
      </c>
      <c r="B72" s="25">
        <f>IF(OR($A72="",'04 Prices'!B72="",'04 Prices'!B73=""),"",'04 Prices'!B73/'04 Prices'!B72-1)</f>
        <v/>
      </c>
      <c r="C72" s="25">
        <f>IF(OR($A72="",'04 Prices'!C72="",'04 Prices'!C73=""),"",'04 Prices'!C73/'04 Prices'!C72-1)</f>
        <v/>
      </c>
      <c r="D72" s="25">
        <f>IF(OR($A72="",'04 Prices'!D72="",'04 Prices'!D73=""),"",'04 Prices'!D73/'04 Prices'!D72-1)</f>
        <v/>
      </c>
      <c r="E72" s="25">
        <f>IF(OR($A72="",'04 Prices'!E72="",'04 Prices'!E73=""),"",'04 Prices'!E73/'04 Prices'!E72-1)</f>
        <v/>
      </c>
      <c r="F72" s="25">
        <f>IF(OR($A72="",'04 Prices'!F72="",'04 Prices'!F73=""),"",'04 Prices'!F73/'04 Prices'!F72-1)</f>
        <v/>
      </c>
      <c r="G72" s="25">
        <f>IF(OR($A72="",'04 Prices'!G72="",'04 Prices'!G73=""),"",'04 Prices'!G73/'04 Prices'!G72-1)</f>
        <v/>
      </c>
      <c r="H72" s="25">
        <f>IF(OR($A72="",'04 Prices'!H72="",'04 Prices'!H73=""),"",'04 Prices'!H73/'04 Prices'!H72-1)</f>
        <v/>
      </c>
    </row>
    <row r="73">
      <c r="A73" s="23">
        <f>IF('04 Prices'!A74="","",'04 Prices'!A74)</f>
        <v/>
      </c>
      <c r="B73" s="25">
        <f>IF(OR($A73="",'04 Prices'!B73="",'04 Prices'!B74=""),"",'04 Prices'!B74/'04 Prices'!B73-1)</f>
        <v/>
      </c>
      <c r="C73" s="25">
        <f>IF(OR($A73="",'04 Prices'!C73="",'04 Prices'!C74=""),"",'04 Prices'!C74/'04 Prices'!C73-1)</f>
        <v/>
      </c>
      <c r="D73" s="25">
        <f>IF(OR($A73="",'04 Prices'!D73="",'04 Prices'!D74=""),"",'04 Prices'!D74/'04 Prices'!D73-1)</f>
        <v/>
      </c>
      <c r="E73" s="25">
        <f>IF(OR($A73="",'04 Prices'!E73="",'04 Prices'!E74=""),"",'04 Prices'!E74/'04 Prices'!E73-1)</f>
        <v/>
      </c>
      <c r="F73" s="25">
        <f>IF(OR($A73="",'04 Prices'!F73="",'04 Prices'!F74=""),"",'04 Prices'!F74/'04 Prices'!F73-1)</f>
        <v/>
      </c>
      <c r="G73" s="25">
        <f>IF(OR($A73="",'04 Prices'!G73="",'04 Prices'!G74=""),"",'04 Prices'!G74/'04 Prices'!G73-1)</f>
        <v/>
      </c>
      <c r="H73" s="25">
        <f>IF(OR($A73="",'04 Prices'!H73="",'04 Prices'!H74=""),"",'04 Prices'!H74/'04 Prices'!H73-1)</f>
        <v/>
      </c>
    </row>
    <row r="74">
      <c r="A74" s="23">
        <f>IF('04 Prices'!A75="","",'04 Prices'!A75)</f>
        <v/>
      </c>
      <c r="B74" s="25">
        <f>IF(OR($A74="",'04 Prices'!B74="",'04 Prices'!B75=""),"",'04 Prices'!B75/'04 Prices'!B74-1)</f>
        <v/>
      </c>
      <c r="C74" s="25">
        <f>IF(OR($A74="",'04 Prices'!C74="",'04 Prices'!C75=""),"",'04 Prices'!C75/'04 Prices'!C74-1)</f>
        <v/>
      </c>
      <c r="D74" s="25">
        <f>IF(OR($A74="",'04 Prices'!D74="",'04 Prices'!D75=""),"",'04 Prices'!D75/'04 Prices'!D74-1)</f>
        <v/>
      </c>
      <c r="E74" s="25">
        <f>IF(OR($A74="",'04 Prices'!E74="",'04 Prices'!E75=""),"",'04 Prices'!E75/'04 Prices'!E74-1)</f>
        <v/>
      </c>
      <c r="F74" s="25">
        <f>IF(OR($A74="",'04 Prices'!F74="",'04 Prices'!F75=""),"",'04 Prices'!F75/'04 Prices'!F74-1)</f>
        <v/>
      </c>
      <c r="G74" s="25">
        <f>IF(OR($A74="",'04 Prices'!G74="",'04 Prices'!G75=""),"",'04 Prices'!G75/'04 Prices'!G74-1)</f>
        <v/>
      </c>
      <c r="H74" s="25">
        <f>IF(OR($A74="",'04 Prices'!H74="",'04 Prices'!H75=""),"",'04 Prices'!H75/'04 Prices'!H74-1)</f>
        <v/>
      </c>
    </row>
    <row r="75">
      <c r="A75" s="23">
        <f>IF('04 Prices'!A76="","",'04 Prices'!A76)</f>
        <v/>
      </c>
      <c r="B75" s="25">
        <f>IF(OR($A75="",'04 Prices'!B75="",'04 Prices'!B76=""),"",'04 Prices'!B76/'04 Prices'!B75-1)</f>
        <v/>
      </c>
      <c r="C75" s="25">
        <f>IF(OR($A75="",'04 Prices'!C75="",'04 Prices'!C76=""),"",'04 Prices'!C76/'04 Prices'!C75-1)</f>
        <v/>
      </c>
      <c r="D75" s="25">
        <f>IF(OR($A75="",'04 Prices'!D75="",'04 Prices'!D76=""),"",'04 Prices'!D76/'04 Prices'!D75-1)</f>
        <v/>
      </c>
      <c r="E75" s="25">
        <f>IF(OR($A75="",'04 Prices'!E75="",'04 Prices'!E76=""),"",'04 Prices'!E76/'04 Prices'!E75-1)</f>
        <v/>
      </c>
      <c r="F75" s="25">
        <f>IF(OR($A75="",'04 Prices'!F75="",'04 Prices'!F76=""),"",'04 Prices'!F76/'04 Prices'!F75-1)</f>
        <v/>
      </c>
      <c r="G75" s="25">
        <f>IF(OR($A75="",'04 Prices'!G75="",'04 Prices'!G76=""),"",'04 Prices'!G76/'04 Prices'!G75-1)</f>
        <v/>
      </c>
      <c r="H75" s="25">
        <f>IF(OR($A75="",'04 Prices'!H75="",'04 Prices'!H76=""),"",'04 Prices'!H76/'04 Prices'!H75-1)</f>
        <v/>
      </c>
    </row>
    <row r="76">
      <c r="A76" s="23">
        <f>IF('04 Prices'!A77="","",'04 Prices'!A77)</f>
        <v/>
      </c>
      <c r="B76" s="25">
        <f>IF(OR($A76="",'04 Prices'!B76="",'04 Prices'!B77=""),"",'04 Prices'!B77/'04 Prices'!B76-1)</f>
        <v/>
      </c>
      <c r="C76" s="25">
        <f>IF(OR($A76="",'04 Prices'!C76="",'04 Prices'!C77=""),"",'04 Prices'!C77/'04 Prices'!C76-1)</f>
        <v/>
      </c>
      <c r="D76" s="25">
        <f>IF(OR($A76="",'04 Prices'!D76="",'04 Prices'!D77=""),"",'04 Prices'!D77/'04 Prices'!D76-1)</f>
        <v/>
      </c>
      <c r="E76" s="25">
        <f>IF(OR($A76="",'04 Prices'!E76="",'04 Prices'!E77=""),"",'04 Prices'!E77/'04 Prices'!E76-1)</f>
        <v/>
      </c>
      <c r="F76" s="25">
        <f>IF(OR($A76="",'04 Prices'!F76="",'04 Prices'!F77=""),"",'04 Prices'!F77/'04 Prices'!F76-1)</f>
        <v/>
      </c>
      <c r="G76" s="25">
        <f>IF(OR($A76="",'04 Prices'!G76="",'04 Prices'!G77=""),"",'04 Prices'!G77/'04 Prices'!G76-1)</f>
        <v/>
      </c>
      <c r="H76" s="25">
        <f>IF(OR($A76="",'04 Prices'!H76="",'04 Prices'!H77=""),"",'04 Prices'!H77/'04 Prices'!H76-1)</f>
        <v/>
      </c>
    </row>
    <row r="77">
      <c r="A77" s="23">
        <f>IF('04 Prices'!A78="","",'04 Prices'!A78)</f>
        <v/>
      </c>
      <c r="B77" s="25">
        <f>IF(OR($A77="",'04 Prices'!B77="",'04 Prices'!B78=""),"",'04 Prices'!B78/'04 Prices'!B77-1)</f>
        <v/>
      </c>
      <c r="C77" s="25">
        <f>IF(OR($A77="",'04 Prices'!C77="",'04 Prices'!C78=""),"",'04 Prices'!C78/'04 Prices'!C77-1)</f>
        <v/>
      </c>
      <c r="D77" s="25">
        <f>IF(OR($A77="",'04 Prices'!D77="",'04 Prices'!D78=""),"",'04 Prices'!D78/'04 Prices'!D77-1)</f>
        <v/>
      </c>
      <c r="E77" s="25">
        <f>IF(OR($A77="",'04 Prices'!E77="",'04 Prices'!E78=""),"",'04 Prices'!E78/'04 Prices'!E77-1)</f>
        <v/>
      </c>
      <c r="F77" s="25">
        <f>IF(OR($A77="",'04 Prices'!F77="",'04 Prices'!F78=""),"",'04 Prices'!F78/'04 Prices'!F77-1)</f>
        <v/>
      </c>
      <c r="G77" s="25">
        <f>IF(OR($A77="",'04 Prices'!G77="",'04 Prices'!G78=""),"",'04 Prices'!G78/'04 Prices'!G77-1)</f>
        <v/>
      </c>
      <c r="H77" s="25">
        <f>IF(OR($A77="",'04 Prices'!H77="",'04 Prices'!H78=""),"",'04 Prices'!H78/'04 Prices'!H77-1)</f>
        <v/>
      </c>
    </row>
    <row r="78">
      <c r="A78" s="23">
        <f>IF('04 Prices'!A79="","",'04 Prices'!A79)</f>
        <v/>
      </c>
      <c r="B78" s="25">
        <f>IF(OR($A78="",'04 Prices'!B78="",'04 Prices'!B79=""),"",'04 Prices'!B79/'04 Prices'!B78-1)</f>
        <v/>
      </c>
      <c r="C78" s="25">
        <f>IF(OR($A78="",'04 Prices'!C78="",'04 Prices'!C79=""),"",'04 Prices'!C79/'04 Prices'!C78-1)</f>
        <v/>
      </c>
      <c r="D78" s="25">
        <f>IF(OR($A78="",'04 Prices'!D78="",'04 Prices'!D79=""),"",'04 Prices'!D79/'04 Prices'!D78-1)</f>
        <v/>
      </c>
      <c r="E78" s="25">
        <f>IF(OR($A78="",'04 Prices'!E78="",'04 Prices'!E79=""),"",'04 Prices'!E79/'04 Prices'!E78-1)</f>
        <v/>
      </c>
      <c r="F78" s="25">
        <f>IF(OR($A78="",'04 Prices'!F78="",'04 Prices'!F79=""),"",'04 Prices'!F79/'04 Prices'!F78-1)</f>
        <v/>
      </c>
      <c r="G78" s="25">
        <f>IF(OR($A78="",'04 Prices'!G78="",'04 Prices'!G79=""),"",'04 Prices'!G79/'04 Prices'!G78-1)</f>
        <v/>
      </c>
      <c r="H78" s="25">
        <f>IF(OR($A78="",'04 Prices'!H78="",'04 Prices'!H79=""),"",'04 Prices'!H79/'04 Prices'!H78-1)</f>
        <v/>
      </c>
    </row>
    <row r="79">
      <c r="A79" s="23">
        <f>IF('04 Prices'!A80="","",'04 Prices'!A80)</f>
        <v/>
      </c>
      <c r="B79" s="25">
        <f>IF(OR($A79="",'04 Prices'!B79="",'04 Prices'!B80=""),"",'04 Prices'!B80/'04 Prices'!B79-1)</f>
        <v/>
      </c>
      <c r="C79" s="25">
        <f>IF(OR($A79="",'04 Prices'!C79="",'04 Prices'!C80=""),"",'04 Prices'!C80/'04 Prices'!C79-1)</f>
        <v/>
      </c>
      <c r="D79" s="25">
        <f>IF(OR($A79="",'04 Prices'!D79="",'04 Prices'!D80=""),"",'04 Prices'!D80/'04 Prices'!D79-1)</f>
        <v/>
      </c>
      <c r="E79" s="25">
        <f>IF(OR($A79="",'04 Prices'!E79="",'04 Prices'!E80=""),"",'04 Prices'!E80/'04 Prices'!E79-1)</f>
        <v/>
      </c>
      <c r="F79" s="25">
        <f>IF(OR($A79="",'04 Prices'!F79="",'04 Prices'!F80=""),"",'04 Prices'!F80/'04 Prices'!F79-1)</f>
        <v/>
      </c>
      <c r="G79" s="25">
        <f>IF(OR($A79="",'04 Prices'!G79="",'04 Prices'!G80=""),"",'04 Prices'!G80/'04 Prices'!G79-1)</f>
        <v/>
      </c>
      <c r="H79" s="25">
        <f>IF(OR($A79="",'04 Prices'!H79="",'04 Prices'!H80=""),"",'04 Prices'!H80/'04 Prices'!H79-1)</f>
        <v/>
      </c>
    </row>
    <row r="80">
      <c r="A80" s="23">
        <f>IF('04 Prices'!A81="","",'04 Prices'!A81)</f>
        <v/>
      </c>
      <c r="B80" s="25">
        <f>IF(OR($A80="",'04 Prices'!B80="",'04 Prices'!B81=""),"",'04 Prices'!B81/'04 Prices'!B80-1)</f>
        <v/>
      </c>
      <c r="C80" s="25">
        <f>IF(OR($A80="",'04 Prices'!C80="",'04 Prices'!C81=""),"",'04 Prices'!C81/'04 Prices'!C80-1)</f>
        <v/>
      </c>
      <c r="D80" s="25">
        <f>IF(OR($A80="",'04 Prices'!D80="",'04 Prices'!D81=""),"",'04 Prices'!D81/'04 Prices'!D80-1)</f>
        <v/>
      </c>
      <c r="E80" s="25">
        <f>IF(OR($A80="",'04 Prices'!E80="",'04 Prices'!E81=""),"",'04 Prices'!E81/'04 Prices'!E80-1)</f>
        <v/>
      </c>
      <c r="F80" s="25">
        <f>IF(OR($A80="",'04 Prices'!F80="",'04 Prices'!F81=""),"",'04 Prices'!F81/'04 Prices'!F80-1)</f>
        <v/>
      </c>
      <c r="G80" s="25">
        <f>IF(OR($A80="",'04 Prices'!G80="",'04 Prices'!G81=""),"",'04 Prices'!G81/'04 Prices'!G80-1)</f>
        <v/>
      </c>
      <c r="H80" s="25">
        <f>IF(OR($A80="",'04 Prices'!H80="",'04 Prices'!H81=""),"",'04 Prices'!H81/'04 Prices'!H80-1)</f>
        <v/>
      </c>
    </row>
    <row r="81">
      <c r="A81" s="23">
        <f>IF('04 Prices'!A82="","",'04 Prices'!A82)</f>
        <v/>
      </c>
      <c r="B81" s="25">
        <f>IF(OR($A81="",'04 Prices'!B81="",'04 Prices'!B82=""),"",'04 Prices'!B82/'04 Prices'!B81-1)</f>
        <v/>
      </c>
      <c r="C81" s="25">
        <f>IF(OR($A81="",'04 Prices'!C81="",'04 Prices'!C82=""),"",'04 Prices'!C82/'04 Prices'!C81-1)</f>
        <v/>
      </c>
      <c r="D81" s="25">
        <f>IF(OR($A81="",'04 Prices'!D81="",'04 Prices'!D82=""),"",'04 Prices'!D82/'04 Prices'!D81-1)</f>
        <v/>
      </c>
      <c r="E81" s="25">
        <f>IF(OR($A81="",'04 Prices'!E81="",'04 Prices'!E82=""),"",'04 Prices'!E82/'04 Prices'!E81-1)</f>
        <v/>
      </c>
      <c r="F81" s="25">
        <f>IF(OR($A81="",'04 Prices'!F81="",'04 Prices'!F82=""),"",'04 Prices'!F82/'04 Prices'!F81-1)</f>
        <v/>
      </c>
      <c r="G81" s="25">
        <f>IF(OR($A81="",'04 Prices'!G81="",'04 Prices'!G82=""),"",'04 Prices'!G82/'04 Prices'!G81-1)</f>
        <v/>
      </c>
      <c r="H81" s="25">
        <f>IF(OR($A81="",'04 Prices'!H81="",'04 Prices'!H82=""),"",'04 Prices'!H82/'04 Prices'!H81-1)</f>
        <v/>
      </c>
    </row>
    <row r="82">
      <c r="A82" s="23">
        <f>IF('04 Prices'!A83="","",'04 Prices'!A83)</f>
        <v/>
      </c>
      <c r="B82" s="25">
        <f>IF(OR($A82="",'04 Prices'!B82="",'04 Prices'!B83=""),"",'04 Prices'!B83/'04 Prices'!B82-1)</f>
        <v/>
      </c>
      <c r="C82" s="25">
        <f>IF(OR($A82="",'04 Prices'!C82="",'04 Prices'!C83=""),"",'04 Prices'!C83/'04 Prices'!C82-1)</f>
        <v/>
      </c>
      <c r="D82" s="25">
        <f>IF(OR($A82="",'04 Prices'!D82="",'04 Prices'!D83=""),"",'04 Prices'!D83/'04 Prices'!D82-1)</f>
        <v/>
      </c>
      <c r="E82" s="25">
        <f>IF(OR($A82="",'04 Prices'!E82="",'04 Prices'!E83=""),"",'04 Prices'!E83/'04 Prices'!E82-1)</f>
        <v/>
      </c>
      <c r="F82" s="25">
        <f>IF(OR($A82="",'04 Prices'!F82="",'04 Prices'!F83=""),"",'04 Prices'!F83/'04 Prices'!F82-1)</f>
        <v/>
      </c>
      <c r="G82" s="25">
        <f>IF(OR($A82="",'04 Prices'!G82="",'04 Prices'!G83=""),"",'04 Prices'!G83/'04 Prices'!G82-1)</f>
        <v/>
      </c>
      <c r="H82" s="25">
        <f>IF(OR($A82="",'04 Prices'!H82="",'04 Prices'!H83=""),"",'04 Prices'!H83/'04 Prices'!H82-1)</f>
        <v/>
      </c>
    </row>
    <row r="83">
      <c r="A83" s="23">
        <f>IF('04 Prices'!A84="","",'04 Prices'!A84)</f>
        <v/>
      </c>
      <c r="B83" s="25">
        <f>IF(OR($A83="",'04 Prices'!B83="",'04 Prices'!B84=""),"",'04 Prices'!B84/'04 Prices'!B83-1)</f>
        <v/>
      </c>
      <c r="C83" s="25">
        <f>IF(OR($A83="",'04 Prices'!C83="",'04 Prices'!C84=""),"",'04 Prices'!C84/'04 Prices'!C83-1)</f>
        <v/>
      </c>
      <c r="D83" s="25">
        <f>IF(OR($A83="",'04 Prices'!D83="",'04 Prices'!D84=""),"",'04 Prices'!D84/'04 Prices'!D83-1)</f>
        <v/>
      </c>
      <c r="E83" s="25">
        <f>IF(OR($A83="",'04 Prices'!E83="",'04 Prices'!E84=""),"",'04 Prices'!E84/'04 Prices'!E83-1)</f>
        <v/>
      </c>
      <c r="F83" s="25">
        <f>IF(OR($A83="",'04 Prices'!F83="",'04 Prices'!F84=""),"",'04 Prices'!F84/'04 Prices'!F83-1)</f>
        <v/>
      </c>
      <c r="G83" s="25">
        <f>IF(OR($A83="",'04 Prices'!G83="",'04 Prices'!G84=""),"",'04 Prices'!G84/'04 Prices'!G83-1)</f>
        <v/>
      </c>
      <c r="H83" s="25">
        <f>IF(OR($A83="",'04 Prices'!H83="",'04 Prices'!H84=""),"",'04 Prices'!H84/'04 Prices'!H83-1)</f>
        <v/>
      </c>
    </row>
    <row r="84">
      <c r="A84" s="23">
        <f>IF('04 Prices'!A85="","",'04 Prices'!A85)</f>
        <v/>
      </c>
      <c r="B84" s="25">
        <f>IF(OR($A84="",'04 Prices'!B84="",'04 Prices'!B85=""),"",'04 Prices'!B85/'04 Prices'!B84-1)</f>
        <v/>
      </c>
      <c r="C84" s="25">
        <f>IF(OR($A84="",'04 Prices'!C84="",'04 Prices'!C85=""),"",'04 Prices'!C85/'04 Prices'!C84-1)</f>
        <v/>
      </c>
      <c r="D84" s="25">
        <f>IF(OR($A84="",'04 Prices'!D84="",'04 Prices'!D85=""),"",'04 Prices'!D85/'04 Prices'!D84-1)</f>
        <v/>
      </c>
      <c r="E84" s="25">
        <f>IF(OR($A84="",'04 Prices'!E84="",'04 Prices'!E85=""),"",'04 Prices'!E85/'04 Prices'!E84-1)</f>
        <v/>
      </c>
      <c r="F84" s="25">
        <f>IF(OR($A84="",'04 Prices'!F84="",'04 Prices'!F85=""),"",'04 Prices'!F85/'04 Prices'!F84-1)</f>
        <v/>
      </c>
      <c r="G84" s="25">
        <f>IF(OR($A84="",'04 Prices'!G84="",'04 Prices'!G85=""),"",'04 Prices'!G85/'04 Prices'!G84-1)</f>
        <v/>
      </c>
      <c r="H84" s="25">
        <f>IF(OR($A84="",'04 Prices'!H84="",'04 Prices'!H85=""),"",'04 Prices'!H85/'04 Prices'!H84-1)</f>
        <v/>
      </c>
    </row>
    <row r="85">
      <c r="A85" s="23">
        <f>IF('04 Prices'!A86="","",'04 Prices'!A86)</f>
        <v/>
      </c>
      <c r="B85" s="25">
        <f>IF(OR($A85="",'04 Prices'!B85="",'04 Prices'!B86=""),"",'04 Prices'!B86/'04 Prices'!B85-1)</f>
        <v/>
      </c>
      <c r="C85" s="25">
        <f>IF(OR($A85="",'04 Prices'!C85="",'04 Prices'!C86=""),"",'04 Prices'!C86/'04 Prices'!C85-1)</f>
        <v/>
      </c>
      <c r="D85" s="25">
        <f>IF(OR($A85="",'04 Prices'!D85="",'04 Prices'!D86=""),"",'04 Prices'!D86/'04 Prices'!D85-1)</f>
        <v/>
      </c>
      <c r="E85" s="25">
        <f>IF(OR($A85="",'04 Prices'!E85="",'04 Prices'!E86=""),"",'04 Prices'!E86/'04 Prices'!E85-1)</f>
        <v/>
      </c>
      <c r="F85" s="25">
        <f>IF(OR($A85="",'04 Prices'!F85="",'04 Prices'!F86=""),"",'04 Prices'!F86/'04 Prices'!F85-1)</f>
        <v/>
      </c>
      <c r="G85" s="25">
        <f>IF(OR($A85="",'04 Prices'!G85="",'04 Prices'!G86=""),"",'04 Prices'!G86/'04 Prices'!G85-1)</f>
        <v/>
      </c>
      <c r="H85" s="25">
        <f>IF(OR($A85="",'04 Prices'!H85="",'04 Prices'!H86=""),"",'04 Prices'!H86/'04 Prices'!H85-1)</f>
        <v/>
      </c>
    </row>
    <row r="86">
      <c r="A86" s="23">
        <f>IF('04 Prices'!A87="","",'04 Prices'!A87)</f>
        <v/>
      </c>
      <c r="B86" s="25">
        <f>IF(OR($A86="",'04 Prices'!B86="",'04 Prices'!B87=""),"",'04 Prices'!B87/'04 Prices'!B86-1)</f>
        <v/>
      </c>
      <c r="C86" s="25">
        <f>IF(OR($A86="",'04 Prices'!C86="",'04 Prices'!C87=""),"",'04 Prices'!C87/'04 Prices'!C86-1)</f>
        <v/>
      </c>
      <c r="D86" s="25">
        <f>IF(OR($A86="",'04 Prices'!D86="",'04 Prices'!D87=""),"",'04 Prices'!D87/'04 Prices'!D86-1)</f>
        <v/>
      </c>
      <c r="E86" s="25">
        <f>IF(OR($A86="",'04 Prices'!E86="",'04 Prices'!E87=""),"",'04 Prices'!E87/'04 Prices'!E86-1)</f>
        <v/>
      </c>
      <c r="F86" s="25">
        <f>IF(OR($A86="",'04 Prices'!F86="",'04 Prices'!F87=""),"",'04 Prices'!F87/'04 Prices'!F86-1)</f>
        <v/>
      </c>
      <c r="G86" s="25">
        <f>IF(OR($A86="",'04 Prices'!G86="",'04 Prices'!G87=""),"",'04 Prices'!G87/'04 Prices'!G86-1)</f>
        <v/>
      </c>
      <c r="H86" s="25">
        <f>IF(OR($A86="",'04 Prices'!H86="",'04 Prices'!H87=""),"",'04 Prices'!H87/'04 Prices'!H86-1)</f>
        <v/>
      </c>
    </row>
    <row r="87">
      <c r="A87" s="23">
        <f>IF('04 Prices'!A88="","",'04 Prices'!A88)</f>
        <v/>
      </c>
      <c r="B87" s="25">
        <f>IF(OR($A87="",'04 Prices'!B87="",'04 Prices'!B88=""),"",'04 Prices'!B88/'04 Prices'!B87-1)</f>
        <v/>
      </c>
      <c r="C87" s="25">
        <f>IF(OR($A87="",'04 Prices'!C87="",'04 Prices'!C88=""),"",'04 Prices'!C88/'04 Prices'!C87-1)</f>
        <v/>
      </c>
      <c r="D87" s="25">
        <f>IF(OR($A87="",'04 Prices'!D87="",'04 Prices'!D88=""),"",'04 Prices'!D88/'04 Prices'!D87-1)</f>
        <v/>
      </c>
      <c r="E87" s="25">
        <f>IF(OR($A87="",'04 Prices'!E87="",'04 Prices'!E88=""),"",'04 Prices'!E88/'04 Prices'!E87-1)</f>
        <v/>
      </c>
      <c r="F87" s="25">
        <f>IF(OR($A87="",'04 Prices'!F87="",'04 Prices'!F88=""),"",'04 Prices'!F88/'04 Prices'!F87-1)</f>
        <v/>
      </c>
      <c r="G87" s="25">
        <f>IF(OR($A87="",'04 Prices'!G87="",'04 Prices'!G88=""),"",'04 Prices'!G88/'04 Prices'!G87-1)</f>
        <v/>
      </c>
      <c r="H87" s="25">
        <f>IF(OR($A87="",'04 Prices'!H87="",'04 Prices'!H88=""),"",'04 Prices'!H88/'04 Prices'!H87-1)</f>
        <v/>
      </c>
    </row>
    <row r="88">
      <c r="A88" s="23">
        <f>IF('04 Prices'!A89="","",'04 Prices'!A89)</f>
        <v/>
      </c>
      <c r="B88" s="25">
        <f>IF(OR($A88="",'04 Prices'!B88="",'04 Prices'!B89=""),"",'04 Prices'!B89/'04 Prices'!B88-1)</f>
        <v/>
      </c>
      <c r="C88" s="25">
        <f>IF(OR($A88="",'04 Prices'!C88="",'04 Prices'!C89=""),"",'04 Prices'!C89/'04 Prices'!C88-1)</f>
        <v/>
      </c>
      <c r="D88" s="25">
        <f>IF(OR($A88="",'04 Prices'!D88="",'04 Prices'!D89=""),"",'04 Prices'!D89/'04 Prices'!D88-1)</f>
        <v/>
      </c>
      <c r="E88" s="25">
        <f>IF(OR($A88="",'04 Prices'!E88="",'04 Prices'!E89=""),"",'04 Prices'!E89/'04 Prices'!E88-1)</f>
        <v/>
      </c>
      <c r="F88" s="25">
        <f>IF(OR($A88="",'04 Prices'!F88="",'04 Prices'!F89=""),"",'04 Prices'!F89/'04 Prices'!F88-1)</f>
        <v/>
      </c>
      <c r="G88" s="25">
        <f>IF(OR($A88="",'04 Prices'!G88="",'04 Prices'!G89=""),"",'04 Prices'!G89/'04 Prices'!G88-1)</f>
        <v/>
      </c>
      <c r="H88" s="25">
        <f>IF(OR($A88="",'04 Prices'!H88="",'04 Prices'!H89=""),"",'04 Prices'!H89/'04 Prices'!H88-1)</f>
        <v/>
      </c>
    </row>
    <row r="89">
      <c r="A89" s="23">
        <f>IF('04 Prices'!A90="","",'04 Prices'!A90)</f>
        <v/>
      </c>
      <c r="B89" s="25">
        <f>IF(OR($A89="",'04 Prices'!B89="",'04 Prices'!B90=""),"",'04 Prices'!B90/'04 Prices'!B89-1)</f>
        <v/>
      </c>
      <c r="C89" s="25">
        <f>IF(OR($A89="",'04 Prices'!C89="",'04 Prices'!C90=""),"",'04 Prices'!C90/'04 Prices'!C89-1)</f>
        <v/>
      </c>
      <c r="D89" s="25">
        <f>IF(OR($A89="",'04 Prices'!D89="",'04 Prices'!D90=""),"",'04 Prices'!D90/'04 Prices'!D89-1)</f>
        <v/>
      </c>
      <c r="E89" s="25">
        <f>IF(OR($A89="",'04 Prices'!E89="",'04 Prices'!E90=""),"",'04 Prices'!E90/'04 Prices'!E89-1)</f>
        <v/>
      </c>
      <c r="F89" s="25">
        <f>IF(OR($A89="",'04 Prices'!F89="",'04 Prices'!F90=""),"",'04 Prices'!F90/'04 Prices'!F89-1)</f>
        <v/>
      </c>
      <c r="G89" s="25">
        <f>IF(OR($A89="",'04 Prices'!G89="",'04 Prices'!G90=""),"",'04 Prices'!G90/'04 Prices'!G89-1)</f>
        <v/>
      </c>
      <c r="H89" s="25">
        <f>IF(OR($A89="",'04 Prices'!H89="",'04 Prices'!H90=""),"",'04 Prices'!H90/'04 Prices'!H89-1)</f>
        <v/>
      </c>
    </row>
    <row r="90">
      <c r="A90" s="23">
        <f>IF('04 Prices'!A91="","",'04 Prices'!A91)</f>
        <v/>
      </c>
      <c r="B90" s="25">
        <f>IF(OR($A90="",'04 Prices'!B90="",'04 Prices'!B91=""),"",'04 Prices'!B91/'04 Prices'!B90-1)</f>
        <v/>
      </c>
      <c r="C90" s="25">
        <f>IF(OR($A90="",'04 Prices'!C90="",'04 Prices'!C91=""),"",'04 Prices'!C91/'04 Prices'!C90-1)</f>
        <v/>
      </c>
      <c r="D90" s="25">
        <f>IF(OR($A90="",'04 Prices'!D90="",'04 Prices'!D91=""),"",'04 Prices'!D91/'04 Prices'!D90-1)</f>
        <v/>
      </c>
      <c r="E90" s="25">
        <f>IF(OR($A90="",'04 Prices'!E90="",'04 Prices'!E91=""),"",'04 Prices'!E91/'04 Prices'!E90-1)</f>
        <v/>
      </c>
      <c r="F90" s="25">
        <f>IF(OR($A90="",'04 Prices'!F90="",'04 Prices'!F91=""),"",'04 Prices'!F91/'04 Prices'!F90-1)</f>
        <v/>
      </c>
      <c r="G90" s="25">
        <f>IF(OR($A90="",'04 Prices'!G90="",'04 Prices'!G91=""),"",'04 Prices'!G91/'04 Prices'!G90-1)</f>
        <v/>
      </c>
      <c r="H90" s="25">
        <f>IF(OR($A90="",'04 Prices'!H90="",'04 Prices'!H91=""),"",'04 Prices'!H91/'04 Prices'!H90-1)</f>
        <v/>
      </c>
    </row>
    <row r="91">
      <c r="A91" s="23">
        <f>IF('04 Prices'!A92="","",'04 Prices'!A92)</f>
        <v/>
      </c>
      <c r="B91" s="25">
        <f>IF(OR($A91="",'04 Prices'!B91="",'04 Prices'!B92=""),"",'04 Prices'!B92/'04 Prices'!B91-1)</f>
        <v/>
      </c>
      <c r="C91" s="25">
        <f>IF(OR($A91="",'04 Prices'!C91="",'04 Prices'!C92=""),"",'04 Prices'!C92/'04 Prices'!C91-1)</f>
        <v/>
      </c>
      <c r="D91" s="25">
        <f>IF(OR($A91="",'04 Prices'!D91="",'04 Prices'!D92=""),"",'04 Prices'!D92/'04 Prices'!D91-1)</f>
        <v/>
      </c>
      <c r="E91" s="25">
        <f>IF(OR($A91="",'04 Prices'!E91="",'04 Prices'!E92=""),"",'04 Prices'!E92/'04 Prices'!E91-1)</f>
        <v/>
      </c>
      <c r="F91" s="25">
        <f>IF(OR($A91="",'04 Prices'!F91="",'04 Prices'!F92=""),"",'04 Prices'!F92/'04 Prices'!F91-1)</f>
        <v/>
      </c>
      <c r="G91" s="25">
        <f>IF(OR($A91="",'04 Prices'!G91="",'04 Prices'!G92=""),"",'04 Prices'!G92/'04 Prices'!G91-1)</f>
        <v/>
      </c>
      <c r="H91" s="25">
        <f>IF(OR($A91="",'04 Prices'!H91="",'04 Prices'!H92=""),"",'04 Prices'!H92/'04 Prices'!H91-1)</f>
        <v/>
      </c>
    </row>
    <row r="92">
      <c r="A92" s="23">
        <f>IF('04 Prices'!A93="","",'04 Prices'!A93)</f>
        <v/>
      </c>
      <c r="B92" s="25">
        <f>IF(OR($A92="",'04 Prices'!B92="",'04 Prices'!B93=""),"",'04 Prices'!B93/'04 Prices'!B92-1)</f>
        <v/>
      </c>
      <c r="C92" s="25">
        <f>IF(OR($A92="",'04 Prices'!C92="",'04 Prices'!C93=""),"",'04 Prices'!C93/'04 Prices'!C92-1)</f>
        <v/>
      </c>
      <c r="D92" s="25">
        <f>IF(OR($A92="",'04 Prices'!D92="",'04 Prices'!D93=""),"",'04 Prices'!D93/'04 Prices'!D92-1)</f>
        <v/>
      </c>
      <c r="E92" s="25">
        <f>IF(OR($A92="",'04 Prices'!E92="",'04 Prices'!E93=""),"",'04 Prices'!E93/'04 Prices'!E92-1)</f>
        <v/>
      </c>
      <c r="F92" s="25">
        <f>IF(OR($A92="",'04 Prices'!F92="",'04 Prices'!F93=""),"",'04 Prices'!F93/'04 Prices'!F92-1)</f>
        <v/>
      </c>
      <c r="G92" s="25">
        <f>IF(OR($A92="",'04 Prices'!G92="",'04 Prices'!G93=""),"",'04 Prices'!G93/'04 Prices'!G92-1)</f>
        <v/>
      </c>
      <c r="H92" s="25">
        <f>IF(OR($A92="",'04 Prices'!H92="",'04 Prices'!H93=""),"",'04 Prices'!H93/'04 Prices'!H92-1)</f>
        <v/>
      </c>
    </row>
    <row r="93">
      <c r="A93" s="23">
        <f>IF('04 Prices'!A94="","",'04 Prices'!A94)</f>
        <v/>
      </c>
      <c r="B93" s="25">
        <f>IF(OR($A93="",'04 Prices'!B93="",'04 Prices'!B94=""),"",'04 Prices'!B94/'04 Prices'!B93-1)</f>
        <v/>
      </c>
      <c r="C93" s="25">
        <f>IF(OR($A93="",'04 Prices'!C93="",'04 Prices'!C94=""),"",'04 Prices'!C94/'04 Prices'!C93-1)</f>
        <v/>
      </c>
      <c r="D93" s="25">
        <f>IF(OR($A93="",'04 Prices'!D93="",'04 Prices'!D94=""),"",'04 Prices'!D94/'04 Prices'!D93-1)</f>
        <v/>
      </c>
      <c r="E93" s="25">
        <f>IF(OR($A93="",'04 Prices'!E93="",'04 Prices'!E94=""),"",'04 Prices'!E94/'04 Prices'!E93-1)</f>
        <v/>
      </c>
      <c r="F93" s="25">
        <f>IF(OR($A93="",'04 Prices'!F93="",'04 Prices'!F94=""),"",'04 Prices'!F94/'04 Prices'!F93-1)</f>
        <v/>
      </c>
      <c r="G93" s="25">
        <f>IF(OR($A93="",'04 Prices'!G93="",'04 Prices'!G94=""),"",'04 Prices'!G94/'04 Prices'!G93-1)</f>
        <v/>
      </c>
      <c r="H93" s="25">
        <f>IF(OR($A93="",'04 Prices'!H93="",'04 Prices'!H94=""),"",'04 Prices'!H94/'04 Prices'!H93-1)</f>
        <v/>
      </c>
    </row>
    <row r="94">
      <c r="A94" s="23">
        <f>IF('04 Prices'!A95="","",'04 Prices'!A95)</f>
        <v/>
      </c>
      <c r="B94" s="25">
        <f>IF(OR($A94="",'04 Prices'!B94="",'04 Prices'!B95=""),"",'04 Prices'!B95/'04 Prices'!B94-1)</f>
        <v/>
      </c>
      <c r="C94" s="25">
        <f>IF(OR($A94="",'04 Prices'!C94="",'04 Prices'!C95=""),"",'04 Prices'!C95/'04 Prices'!C94-1)</f>
        <v/>
      </c>
      <c r="D94" s="25">
        <f>IF(OR($A94="",'04 Prices'!D94="",'04 Prices'!D95=""),"",'04 Prices'!D95/'04 Prices'!D94-1)</f>
        <v/>
      </c>
      <c r="E94" s="25">
        <f>IF(OR($A94="",'04 Prices'!E94="",'04 Prices'!E95=""),"",'04 Prices'!E95/'04 Prices'!E94-1)</f>
        <v/>
      </c>
      <c r="F94" s="25">
        <f>IF(OR($A94="",'04 Prices'!F94="",'04 Prices'!F95=""),"",'04 Prices'!F95/'04 Prices'!F94-1)</f>
        <v/>
      </c>
      <c r="G94" s="25">
        <f>IF(OR($A94="",'04 Prices'!G94="",'04 Prices'!G95=""),"",'04 Prices'!G95/'04 Prices'!G94-1)</f>
        <v/>
      </c>
      <c r="H94" s="25">
        <f>IF(OR($A94="",'04 Prices'!H94="",'04 Prices'!H95=""),"",'04 Prices'!H95/'04 Prices'!H94-1)</f>
        <v/>
      </c>
    </row>
    <row r="95">
      <c r="A95" s="23">
        <f>IF('04 Prices'!A96="","",'04 Prices'!A96)</f>
        <v/>
      </c>
      <c r="B95" s="25">
        <f>IF(OR($A95="",'04 Prices'!B95="",'04 Prices'!B96=""),"",'04 Prices'!B96/'04 Prices'!B95-1)</f>
        <v/>
      </c>
      <c r="C95" s="25">
        <f>IF(OR($A95="",'04 Prices'!C95="",'04 Prices'!C96=""),"",'04 Prices'!C96/'04 Prices'!C95-1)</f>
        <v/>
      </c>
      <c r="D95" s="25">
        <f>IF(OR($A95="",'04 Prices'!D95="",'04 Prices'!D96=""),"",'04 Prices'!D96/'04 Prices'!D95-1)</f>
        <v/>
      </c>
      <c r="E95" s="25">
        <f>IF(OR($A95="",'04 Prices'!E95="",'04 Prices'!E96=""),"",'04 Prices'!E96/'04 Prices'!E95-1)</f>
        <v/>
      </c>
      <c r="F95" s="25">
        <f>IF(OR($A95="",'04 Prices'!F95="",'04 Prices'!F96=""),"",'04 Prices'!F96/'04 Prices'!F95-1)</f>
        <v/>
      </c>
      <c r="G95" s="25">
        <f>IF(OR($A95="",'04 Prices'!G95="",'04 Prices'!G96=""),"",'04 Prices'!G96/'04 Prices'!G95-1)</f>
        <v/>
      </c>
      <c r="H95" s="25">
        <f>IF(OR($A95="",'04 Prices'!H95="",'04 Prices'!H96=""),"",'04 Prices'!H96/'04 Prices'!H95-1)</f>
        <v/>
      </c>
    </row>
    <row r="96">
      <c r="A96" s="23">
        <f>IF('04 Prices'!A97="","",'04 Prices'!A97)</f>
        <v/>
      </c>
      <c r="B96" s="25">
        <f>IF(OR($A96="",'04 Prices'!B96="",'04 Prices'!B97=""),"",'04 Prices'!B97/'04 Prices'!B96-1)</f>
        <v/>
      </c>
      <c r="C96" s="25">
        <f>IF(OR($A96="",'04 Prices'!C96="",'04 Prices'!C97=""),"",'04 Prices'!C97/'04 Prices'!C96-1)</f>
        <v/>
      </c>
      <c r="D96" s="25">
        <f>IF(OR($A96="",'04 Prices'!D96="",'04 Prices'!D97=""),"",'04 Prices'!D97/'04 Prices'!D96-1)</f>
        <v/>
      </c>
      <c r="E96" s="25">
        <f>IF(OR($A96="",'04 Prices'!E96="",'04 Prices'!E97=""),"",'04 Prices'!E97/'04 Prices'!E96-1)</f>
        <v/>
      </c>
      <c r="F96" s="25">
        <f>IF(OR($A96="",'04 Prices'!F96="",'04 Prices'!F97=""),"",'04 Prices'!F97/'04 Prices'!F96-1)</f>
        <v/>
      </c>
      <c r="G96" s="25">
        <f>IF(OR($A96="",'04 Prices'!G96="",'04 Prices'!G97=""),"",'04 Prices'!G97/'04 Prices'!G96-1)</f>
        <v/>
      </c>
      <c r="H96" s="25">
        <f>IF(OR($A96="",'04 Prices'!H96="",'04 Prices'!H97=""),"",'04 Prices'!H97/'04 Prices'!H96-1)</f>
        <v/>
      </c>
    </row>
    <row r="97">
      <c r="A97" s="23">
        <f>IF('04 Prices'!A98="","",'04 Prices'!A98)</f>
        <v/>
      </c>
      <c r="B97" s="25">
        <f>IF(OR($A97="",'04 Prices'!B97="",'04 Prices'!B98=""),"",'04 Prices'!B98/'04 Prices'!B97-1)</f>
        <v/>
      </c>
      <c r="C97" s="25">
        <f>IF(OR($A97="",'04 Prices'!C97="",'04 Prices'!C98=""),"",'04 Prices'!C98/'04 Prices'!C97-1)</f>
        <v/>
      </c>
      <c r="D97" s="25">
        <f>IF(OR($A97="",'04 Prices'!D97="",'04 Prices'!D98=""),"",'04 Prices'!D98/'04 Prices'!D97-1)</f>
        <v/>
      </c>
      <c r="E97" s="25">
        <f>IF(OR($A97="",'04 Prices'!E97="",'04 Prices'!E98=""),"",'04 Prices'!E98/'04 Prices'!E97-1)</f>
        <v/>
      </c>
      <c r="F97" s="25">
        <f>IF(OR($A97="",'04 Prices'!F97="",'04 Prices'!F98=""),"",'04 Prices'!F98/'04 Prices'!F97-1)</f>
        <v/>
      </c>
      <c r="G97" s="25">
        <f>IF(OR($A97="",'04 Prices'!G97="",'04 Prices'!G98=""),"",'04 Prices'!G98/'04 Prices'!G97-1)</f>
        <v/>
      </c>
      <c r="H97" s="25">
        <f>IF(OR($A97="",'04 Prices'!H97="",'04 Prices'!H98=""),"",'04 Prices'!H98/'04 Prices'!H97-1)</f>
        <v/>
      </c>
    </row>
    <row r="98">
      <c r="A98" s="23">
        <f>IF('04 Prices'!A99="","",'04 Prices'!A99)</f>
        <v/>
      </c>
      <c r="B98" s="25">
        <f>IF(OR($A98="",'04 Prices'!B98="",'04 Prices'!B99=""),"",'04 Prices'!B99/'04 Prices'!B98-1)</f>
        <v/>
      </c>
      <c r="C98" s="25">
        <f>IF(OR($A98="",'04 Prices'!C98="",'04 Prices'!C99=""),"",'04 Prices'!C99/'04 Prices'!C98-1)</f>
        <v/>
      </c>
      <c r="D98" s="25">
        <f>IF(OR($A98="",'04 Prices'!D98="",'04 Prices'!D99=""),"",'04 Prices'!D99/'04 Prices'!D98-1)</f>
        <v/>
      </c>
      <c r="E98" s="25">
        <f>IF(OR($A98="",'04 Prices'!E98="",'04 Prices'!E99=""),"",'04 Prices'!E99/'04 Prices'!E98-1)</f>
        <v/>
      </c>
      <c r="F98" s="25">
        <f>IF(OR($A98="",'04 Prices'!F98="",'04 Prices'!F99=""),"",'04 Prices'!F99/'04 Prices'!F98-1)</f>
        <v/>
      </c>
      <c r="G98" s="25">
        <f>IF(OR($A98="",'04 Prices'!G98="",'04 Prices'!G99=""),"",'04 Prices'!G99/'04 Prices'!G98-1)</f>
        <v/>
      </c>
      <c r="H98" s="25">
        <f>IF(OR($A98="",'04 Prices'!H98="",'04 Prices'!H99=""),"",'04 Prices'!H99/'04 Prices'!H98-1)</f>
        <v/>
      </c>
    </row>
    <row r="99">
      <c r="A99" s="23">
        <f>IF('04 Prices'!A100="","",'04 Prices'!A100)</f>
        <v/>
      </c>
      <c r="B99" s="25">
        <f>IF(OR($A99="",'04 Prices'!B99="",'04 Prices'!B100=""),"",'04 Prices'!B100/'04 Prices'!B99-1)</f>
        <v/>
      </c>
      <c r="C99" s="25">
        <f>IF(OR($A99="",'04 Prices'!C99="",'04 Prices'!C100=""),"",'04 Prices'!C100/'04 Prices'!C99-1)</f>
        <v/>
      </c>
      <c r="D99" s="25">
        <f>IF(OR($A99="",'04 Prices'!D99="",'04 Prices'!D100=""),"",'04 Prices'!D100/'04 Prices'!D99-1)</f>
        <v/>
      </c>
      <c r="E99" s="25">
        <f>IF(OR($A99="",'04 Prices'!E99="",'04 Prices'!E100=""),"",'04 Prices'!E100/'04 Prices'!E99-1)</f>
        <v/>
      </c>
      <c r="F99" s="25">
        <f>IF(OR($A99="",'04 Prices'!F99="",'04 Prices'!F100=""),"",'04 Prices'!F100/'04 Prices'!F99-1)</f>
        <v/>
      </c>
      <c r="G99" s="25">
        <f>IF(OR($A99="",'04 Prices'!G99="",'04 Prices'!G100=""),"",'04 Prices'!G100/'04 Prices'!G99-1)</f>
        <v/>
      </c>
      <c r="H99" s="25">
        <f>IF(OR($A99="",'04 Prices'!H99="",'04 Prices'!H100=""),"",'04 Prices'!H100/'04 Prices'!H99-1)</f>
        <v/>
      </c>
    </row>
    <row r="100">
      <c r="A100" s="23">
        <f>IF('04 Prices'!A101="","",'04 Prices'!A101)</f>
        <v/>
      </c>
      <c r="B100" s="25">
        <f>IF(OR($A100="",'04 Prices'!B100="",'04 Prices'!B101=""),"",'04 Prices'!B101/'04 Prices'!B100-1)</f>
        <v/>
      </c>
      <c r="C100" s="25">
        <f>IF(OR($A100="",'04 Prices'!C100="",'04 Prices'!C101=""),"",'04 Prices'!C101/'04 Prices'!C100-1)</f>
        <v/>
      </c>
      <c r="D100" s="25">
        <f>IF(OR($A100="",'04 Prices'!D100="",'04 Prices'!D101=""),"",'04 Prices'!D101/'04 Prices'!D100-1)</f>
        <v/>
      </c>
      <c r="E100" s="25">
        <f>IF(OR($A100="",'04 Prices'!E100="",'04 Prices'!E101=""),"",'04 Prices'!E101/'04 Prices'!E100-1)</f>
        <v/>
      </c>
      <c r="F100" s="25">
        <f>IF(OR($A100="",'04 Prices'!F100="",'04 Prices'!F101=""),"",'04 Prices'!F101/'04 Prices'!F100-1)</f>
        <v/>
      </c>
      <c r="G100" s="25">
        <f>IF(OR($A100="",'04 Prices'!G100="",'04 Prices'!G101=""),"",'04 Prices'!G101/'04 Prices'!G100-1)</f>
        <v/>
      </c>
      <c r="H100" s="25">
        <f>IF(OR($A100="",'04 Prices'!H100="",'04 Prices'!H101=""),"",'04 Prices'!H101/'04 Prices'!H100-1)</f>
        <v/>
      </c>
    </row>
    <row r="101">
      <c r="A101" s="23">
        <f>IF('04 Prices'!A102="","",'04 Prices'!A102)</f>
        <v/>
      </c>
      <c r="B101" s="25">
        <f>IF(OR($A101="",'04 Prices'!B101="",'04 Prices'!B102=""),"",'04 Prices'!B102/'04 Prices'!B101-1)</f>
        <v/>
      </c>
      <c r="C101" s="25">
        <f>IF(OR($A101="",'04 Prices'!C101="",'04 Prices'!C102=""),"",'04 Prices'!C102/'04 Prices'!C101-1)</f>
        <v/>
      </c>
      <c r="D101" s="25">
        <f>IF(OR($A101="",'04 Prices'!D101="",'04 Prices'!D102=""),"",'04 Prices'!D102/'04 Prices'!D101-1)</f>
        <v/>
      </c>
      <c r="E101" s="25">
        <f>IF(OR($A101="",'04 Prices'!E101="",'04 Prices'!E102=""),"",'04 Prices'!E102/'04 Prices'!E101-1)</f>
        <v/>
      </c>
      <c r="F101" s="25">
        <f>IF(OR($A101="",'04 Prices'!F101="",'04 Prices'!F102=""),"",'04 Prices'!F102/'04 Prices'!F101-1)</f>
        <v/>
      </c>
      <c r="G101" s="25">
        <f>IF(OR($A101="",'04 Prices'!G101="",'04 Prices'!G102=""),"",'04 Prices'!G102/'04 Prices'!G101-1)</f>
        <v/>
      </c>
      <c r="H101" s="25">
        <f>IF(OR($A101="",'04 Prices'!H101="",'04 Prices'!H102=""),"",'04 Prices'!H102/'04 Prices'!H101-1)</f>
        <v/>
      </c>
    </row>
    <row r="102">
      <c r="A102" s="23">
        <f>IF('04 Prices'!A103="","",'04 Prices'!A103)</f>
        <v/>
      </c>
      <c r="B102" s="25">
        <f>IF(OR($A102="",'04 Prices'!B102="",'04 Prices'!B103=""),"",'04 Prices'!B103/'04 Prices'!B102-1)</f>
        <v/>
      </c>
      <c r="C102" s="25">
        <f>IF(OR($A102="",'04 Prices'!C102="",'04 Prices'!C103=""),"",'04 Prices'!C103/'04 Prices'!C102-1)</f>
        <v/>
      </c>
      <c r="D102" s="25">
        <f>IF(OR($A102="",'04 Prices'!D102="",'04 Prices'!D103=""),"",'04 Prices'!D103/'04 Prices'!D102-1)</f>
        <v/>
      </c>
      <c r="E102" s="25">
        <f>IF(OR($A102="",'04 Prices'!E102="",'04 Prices'!E103=""),"",'04 Prices'!E103/'04 Prices'!E102-1)</f>
        <v/>
      </c>
      <c r="F102" s="25">
        <f>IF(OR($A102="",'04 Prices'!F102="",'04 Prices'!F103=""),"",'04 Prices'!F103/'04 Prices'!F102-1)</f>
        <v/>
      </c>
      <c r="G102" s="25">
        <f>IF(OR($A102="",'04 Prices'!G102="",'04 Prices'!G103=""),"",'04 Prices'!G103/'04 Prices'!G102-1)</f>
        <v/>
      </c>
      <c r="H102" s="25">
        <f>IF(OR($A102="",'04 Prices'!H102="",'04 Prices'!H103=""),"",'04 Prices'!H103/'04 Prices'!H102-1)</f>
        <v/>
      </c>
    </row>
    <row r="103">
      <c r="A103" s="23">
        <f>IF('04 Prices'!A104="","",'04 Prices'!A104)</f>
        <v/>
      </c>
      <c r="B103" s="25">
        <f>IF(OR($A103="",'04 Prices'!B103="",'04 Prices'!B104=""),"",'04 Prices'!B104/'04 Prices'!B103-1)</f>
        <v/>
      </c>
      <c r="C103" s="25">
        <f>IF(OR($A103="",'04 Prices'!C103="",'04 Prices'!C104=""),"",'04 Prices'!C104/'04 Prices'!C103-1)</f>
        <v/>
      </c>
      <c r="D103" s="25">
        <f>IF(OR($A103="",'04 Prices'!D103="",'04 Prices'!D104=""),"",'04 Prices'!D104/'04 Prices'!D103-1)</f>
        <v/>
      </c>
      <c r="E103" s="25">
        <f>IF(OR($A103="",'04 Prices'!E103="",'04 Prices'!E104=""),"",'04 Prices'!E104/'04 Prices'!E103-1)</f>
        <v/>
      </c>
      <c r="F103" s="25">
        <f>IF(OR($A103="",'04 Prices'!F103="",'04 Prices'!F104=""),"",'04 Prices'!F104/'04 Prices'!F103-1)</f>
        <v/>
      </c>
      <c r="G103" s="25">
        <f>IF(OR($A103="",'04 Prices'!G103="",'04 Prices'!G104=""),"",'04 Prices'!G104/'04 Prices'!G103-1)</f>
        <v/>
      </c>
      <c r="H103" s="25">
        <f>IF(OR($A103="",'04 Prices'!H103="",'04 Prices'!H104=""),"",'04 Prices'!H104/'04 Prices'!H103-1)</f>
        <v/>
      </c>
    </row>
    <row r="104">
      <c r="A104" s="23">
        <f>IF('04 Prices'!A105="","",'04 Prices'!A105)</f>
        <v/>
      </c>
      <c r="B104" s="25">
        <f>IF(OR($A104="",'04 Prices'!B104="",'04 Prices'!B105=""),"",'04 Prices'!B105/'04 Prices'!B104-1)</f>
        <v/>
      </c>
      <c r="C104" s="25">
        <f>IF(OR($A104="",'04 Prices'!C104="",'04 Prices'!C105=""),"",'04 Prices'!C105/'04 Prices'!C104-1)</f>
        <v/>
      </c>
      <c r="D104" s="25">
        <f>IF(OR($A104="",'04 Prices'!D104="",'04 Prices'!D105=""),"",'04 Prices'!D105/'04 Prices'!D104-1)</f>
        <v/>
      </c>
      <c r="E104" s="25">
        <f>IF(OR($A104="",'04 Prices'!E104="",'04 Prices'!E105=""),"",'04 Prices'!E105/'04 Prices'!E104-1)</f>
        <v/>
      </c>
      <c r="F104" s="25">
        <f>IF(OR($A104="",'04 Prices'!F104="",'04 Prices'!F105=""),"",'04 Prices'!F105/'04 Prices'!F104-1)</f>
        <v/>
      </c>
      <c r="G104" s="25">
        <f>IF(OR($A104="",'04 Prices'!G104="",'04 Prices'!G105=""),"",'04 Prices'!G105/'04 Prices'!G104-1)</f>
        <v/>
      </c>
      <c r="H104" s="25">
        <f>IF(OR($A104="",'04 Prices'!H104="",'04 Prices'!H105=""),"",'04 Prices'!H105/'04 Prices'!H104-1)</f>
        <v/>
      </c>
    </row>
    <row r="105">
      <c r="A105" s="23">
        <f>IF('04 Prices'!A106="","",'04 Prices'!A106)</f>
        <v/>
      </c>
      <c r="B105" s="25">
        <f>IF(OR($A105="",'04 Prices'!B105="",'04 Prices'!B106=""),"",'04 Prices'!B106/'04 Prices'!B105-1)</f>
        <v/>
      </c>
      <c r="C105" s="25">
        <f>IF(OR($A105="",'04 Prices'!C105="",'04 Prices'!C106=""),"",'04 Prices'!C106/'04 Prices'!C105-1)</f>
        <v/>
      </c>
      <c r="D105" s="25">
        <f>IF(OR($A105="",'04 Prices'!D105="",'04 Prices'!D106=""),"",'04 Prices'!D106/'04 Prices'!D105-1)</f>
        <v/>
      </c>
      <c r="E105" s="25">
        <f>IF(OR($A105="",'04 Prices'!E105="",'04 Prices'!E106=""),"",'04 Prices'!E106/'04 Prices'!E105-1)</f>
        <v/>
      </c>
      <c r="F105" s="25">
        <f>IF(OR($A105="",'04 Prices'!F105="",'04 Prices'!F106=""),"",'04 Prices'!F106/'04 Prices'!F105-1)</f>
        <v/>
      </c>
      <c r="G105" s="25">
        <f>IF(OR($A105="",'04 Prices'!G105="",'04 Prices'!G106=""),"",'04 Prices'!G106/'04 Prices'!G105-1)</f>
        <v/>
      </c>
      <c r="H105" s="25">
        <f>IF(OR($A105="",'04 Prices'!H105="",'04 Prices'!H106=""),"",'04 Prices'!H106/'04 Prices'!H105-1)</f>
        <v/>
      </c>
    </row>
    <row r="106">
      <c r="A106" s="23">
        <f>IF('04 Prices'!A107="","",'04 Prices'!A107)</f>
        <v/>
      </c>
      <c r="B106" s="25">
        <f>IF(OR($A106="",'04 Prices'!B106="",'04 Prices'!B107=""),"",'04 Prices'!B107/'04 Prices'!B106-1)</f>
        <v/>
      </c>
      <c r="C106" s="25">
        <f>IF(OR($A106="",'04 Prices'!C106="",'04 Prices'!C107=""),"",'04 Prices'!C107/'04 Prices'!C106-1)</f>
        <v/>
      </c>
      <c r="D106" s="25">
        <f>IF(OR($A106="",'04 Prices'!D106="",'04 Prices'!D107=""),"",'04 Prices'!D107/'04 Prices'!D106-1)</f>
        <v/>
      </c>
      <c r="E106" s="25">
        <f>IF(OR($A106="",'04 Prices'!E106="",'04 Prices'!E107=""),"",'04 Prices'!E107/'04 Prices'!E106-1)</f>
        <v/>
      </c>
      <c r="F106" s="25">
        <f>IF(OR($A106="",'04 Prices'!F106="",'04 Prices'!F107=""),"",'04 Prices'!F107/'04 Prices'!F106-1)</f>
        <v/>
      </c>
      <c r="G106" s="25">
        <f>IF(OR($A106="",'04 Prices'!G106="",'04 Prices'!G107=""),"",'04 Prices'!G107/'04 Prices'!G106-1)</f>
        <v/>
      </c>
      <c r="H106" s="25">
        <f>IF(OR($A106="",'04 Prices'!H106="",'04 Prices'!H107=""),"",'04 Prices'!H107/'04 Prices'!H106-1)</f>
        <v/>
      </c>
    </row>
    <row r="107">
      <c r="A107" s="23">
        <f>IF('04 Prices'!A108="","",'04 Prices'!A108)</f>
        <v/>
      </c>
      <c r="B107" s="25">
        <f>IF(OR($A107="",'04 Prices'!B107="",'04 Prices'!B108=""),"",'04 Prices'!B108/'04 Prices'!B107-1)</f>
        <v/>
      </c>
      <c r="C107" s="25">
        <f>IF(OR($A107="",'04 Prices'!C107="",'04 Prices'!C108=""),"",'04 Prices'!C108/'04 Prices'!C107-1)</f>
        <v/>
      </c>
      <c r="D107" s="25">
        <f>IF(OR($A107="",'04 Prices'!D107="",'04 Prices'!D108=""),"",'04 Prices'!D108/'04 Prices'!D107-1)</f>
        <v/>
      </c>
      <c r="E107" s="25">
        <f>IF(OR($A107="",'04 Prices'!E107="",'04 Prices'!E108=""),"",'04 Prices'!E108/'04 Prices'!E107-1)</f>
        <v/>
      </c>
      <c r="F107" s="25">
        <f>IF(OR($A107="",'04 Prices'!F107="",'04 Prices'!F108=""),"",'04 Prices'!F108/'04 Prices'!F107-1)</f>
        <v/>
      </c>
      <c r="G107" s="25">
        <f>IF(OR($A107="",'04 Prices'!G107="",'04 Prices'!G108=""),"",'04 Prices'!G108/'04 Prices'!G107-1)</f>
        <v/>
      </c>
      <c r="H107" s="25">
        <f>IF(OR($A107="",'04 Prices'!H107="",'04 Prices'!H108=""),"",'04 Prices'!H108/'04 Prices'!H107-1)</f>
        <v/>
      </c>
    </row>
    <row r="108">
      <c r="A108" s="23">
        <f>IF('04 Prices'!A109="","",'04 Prices'!A109)</f>
        <v/>
      </c>
      <c r="B108" s="25">
        <f>IF(OR($A108="",'04 Prices'!B108="",'04 Prices'!B109=""),"",'04 Prices'!B109/'04 Prices'!B108-1)</f>
        <v/>
      </c>
      <c r="C108" s="25">
        <f>IF(OR($A108="",'04 Prices'!C108="",'04 Prices'!C109=""),"",'04 Prices'!C109/'04 Prices'!C108-1)</f>
        <v/>
      </c>
      <c r="D108" s="25">
        <f>IF(OR($A108="",'04 Prices'!D108="",'04 Prices'!D109=""),"",'04 Prices'!D109/'04 Prices'!D108-1)</f>
        <v/>
      </c>
      <c r="E108" s="25">
        <f>IF(OR($A108="",'04 Prices'!E108="",'04 Prices'!E109=""),"",'04 Prices'!E109/'04 Prices'!E108-1)</f>
        <v/>
      </c>
      <c r="F108" s="25">
        <f>IF(OR($A108="",'04 Prices'!F108="",'04 Prices'!F109=""),"",'04 Prices'!F109/'04 Prices'!F108-1)</f>
        <v/>
      </c>
      <c r="G108" s="25">
        <f>IF(OR($A108="",'04 Prices'!G108="",'04 Prices'!G109=""),"",'04 Prices'!G109/'04 Prices'!G108-1)</f>
        <v/>
      </c>
      <c r="H108" s="25">
        <f>IF(OR($A108="",'04 Prices'!H108="",'04 Prices'!H109=""),"",'04 Prices'!H109/'04 Prices'!H108-1)</f>
        <v/>
      </c>
    </row>
    <row r="109">
      <c r="A109" s="23">
        <f>IF('04 Prices'!A110="","",'04 Prices'!A110)</f>
        <v/>
      </c>
      <c r="B109" s="25">
        <f>IF(OR($A109="",'04 Prices'!B109="",'04 Prices'!B110=""),"",'04 Prices'!B110/'04 Prices'!B109-1)</f>
        <v/>
      </c>
      <c r="C109" s="25">
        <f>IF(OR($A109="",'04 Prices'!C109="",'04 Prices'!C110=""),"",'04 Prices'!C110/'04 Prices'!C109-1)</f>
        <v/>
      </c>
      <c r="D109" s="25">
        <f>IF(OR($A109="",'04 Prices'!D109="",'04 Prices'!D110=""),"",'04 Prices'!D110/'04 Prices'!D109-1)</f>
        <v/>
      </c>
      <c r="E109" s="25">
        <f>IF(OR($A109="",'04 Prices'!E109="",'04 Prices'!E110=""),"",'04 Prices'!E110/'04 Prices'!E109-1)</f>
        <v/>
      </c>
      <c r="F109" s="25">
        <f>IF(OR($A109="",'04 Prices'!F109="",'04 Prices'!F110=""),"",'04 Prices'!F110/'04 Prices'!F109-1)</f>
        <v/>
      </c>
      <c r="G109" s="25">
        <f>IF(OR($A109="",'04 Prices'!G109="",'04 Prices'!G110=""),"",'04 Prices'!G110/'04 Prices'!G109-1)</f>
        <v/>
      </c>
      <c r="H109" s="25">
        <f>IF(OR($A109="",'04 Prices'!H109="",'04 Prices'!H110=""),"",'04 Prices'!H110/'04 Prices'!H109-1)</f>
        <v/>
      </c>
    </row>
    <row r="110">
      <c r="A110" s="23">
        <f>IF('04 Prices'!A111="","",'04 Prices'!A111)</f>
        <v/>
      </c>
      <c r="B110" s="25">
        <f>IF(OR($A110="",'04 Prices'!B110="",'04 Prices'!B111=""),"",'04 Prices'!B111/'04 Prices'!B110-1)</f>
        <v/>
      </c>
      <c r="C110" s="25">
        <f>IF(OR($A110="",'04 Prices'!C110="",'04 Prices'!C111=""),"",'04 Prices'!C111/'04 Prices'!C110-1)</f>
        <v/>
      </c>
      <c r="D110" s="25">
        <f>IF(OR($A110="",'04 Prices'!D110="",'04 Prices'!D111=""),"",'04 Prices'!D111/'04 Prices'!D110-1)</f>
        <v/>
      </c>
      <c r="E110" s="25">
        <f>IF(OR($A110="",'04 Prices'!E110="",'04 Prices'!E111=""),"",'04 Prices'!E111/'04 Prices'!E110-1)</f>
        <v/>
      </c>
      <c r="F110" s="25">
        <f>IF(OR($A110="",'04 Prices'!F110="",'04 Prices'!F111=""),"",'04 Prices'!F111/'04 Prices'!F110-1)</f>
        <v/>
      </c>
      <c r="G110" s="25">
        <f>IF(OR($A110="",'04 Prices'!G110="",'04 Prices'!G111=""),"",'04 Prices'!G111/'04 Prices'!G110-1)</f>
        <v/>
      </c>
      <c r="H110" s="25">
        <f>IF(OR($A110="",'04 Prices'!H110="",'04 Prices'!H111=""),"",'04 Prices'!H111/'04 Prices'!H110-1)</f>
        <v/>
      </c>
    </row>
    <row r="111">
      <c r="A111" s="23">
        <f>IF('04 Prices'!A112="","",'04 Prices'!A112)</f>
        <v/>
      </c>
      <c r="B111" s="25">
        <f>IF(OR($A111="",'04 Prices'!B111="",'04 Prices'!B112=""),"",'04 Prices'!B112/'04 Prices'!B111-1)</f>
        <v/>
      </c>
      <c r="C111" s="25">
        <f>IF(OR($A111="",'04 Prices'!C111="",'04 Prices'!C112=""),"",'04 Prices'!C112/'04 Prices'!C111-1)</f>
        <v/>
      </c>
      <c r="D111" s="25">
        <f>IF(OR($A111="",'04 Prices'!D111="",'04 Prices'!D112=""),"",'04 Prices'!D112/'04 Prices'!D111-1)</f>
        <v/>
      </c>
      <c r="E111" s="25">
        <f>IF(OR($A111="",'04 Prices'!E111="",'04 Prices'!E112=""),"",'04 Prices'!E112/'04 Prices'!E111-1)</f>
        <v/>
      </c>
      <c r="F111" s="25">
        <f>IF(OR($A111="",'04 Prices'!F111="",'04 Prices'!F112=""),"",'04 Prices'!F112/'04 Prices'!F111-1)</f>
        <v/>
      </c>
      <c r="G111" s="25">
        <f>IF(OR($A111="",'04 Prices'!G111="",'04 Prices'!G112=""),"",'04 Prices'!G112/'04 Prices'!G111-1)</f>
        <v/>
      </c>
      <c r="H111" s="25">
        <f>IF(OR($A111="",'04 Prices'!H111="",'04 Prices'!H112=""),"",'04 Prices'!H112/'04 Prices'!H111-1)</f>
        <v/>
      </c>
    </row>
    <row r="112">
      <c r="A112" s="23">
        <f>IF('04 Prices'!A113="","",'04 Prices'!A113)</f>
        <v/>
      </c>
      <c r="B112" s="25">
        <f>IF(OR($A112="",'04 Prices'!B112="",'04 Prices'!B113=""),"",'04 Prices'!B113/'04 Prices'!B112-1)</f>
        <v/>
      </c>
      <c r="C112" s="25">
        <f>IF(OR($A112="",'04 Prices'!C112="",'04 Prices'!C113=""),"",'04 Prices'!C113/'04 Prices'!C112-1)</f>
        <v/>
      </c>
      <c r="D112" s="25">
        <f>IF(OR($A112="",'04 Prices'!D112="",'04 Prices'!D113=""),"",'04 Prices'!D113/'04 Prices'!D112-1)</f>
        <v/>
      </c>
      <c r="E112" s="25">
        <f>IF(OR($A112="",'04 Prices'!E112="",'04 Prices'!E113=""),"",'04 Prices'!E113/'04 Prices'!E112-1)</f>
        <v/>
      </c>
      <c r="F112" s="25">
        <f>IF(OR($A112="",'04 Prices'!F112="",'04 Prices'!F113=""),"",'04 Prices'!F113/'04 Prices'!F112-1)</f>
        <v/>
      </c>
      <c r="G112" s="25">
        <f>IF(OR($A112="",'04 Prices'!G112="",'04 Prices'!G113=""),"",'04 Prices'!G113/'04 Prices'!G112-1)</f>
        <v/>
      </c>
      <c r="H112" s="25">
        <f>IF(OR($A112="",'04 Prices'!H112="",'04 Prices'!H113=""),"",'04 Prices'!H113/'04 Prices'!H112-1)</f>
        <v/>
      </c>
    </row>
    <row r="113">
      <c r="A113" s="23">
        <f>IF('04 Prices'!A114="","",'04 Prices'!A114)</f>
        <v/>
      </c>
      <c r="B113" s="25">
        <f>IF(OR($A113="",'04 Prices'!B113="",'04 Prices'!B114=""),"",'04 Prices'!B114/'04 Prices'!B113-1)</f>
        <v/>
      </c>
      <c r="C113" s="25">
        <f>IF(OR($A113="",'04 Prices'!C113="",'04 Prices'!C114=""),"",'04 Prices'!C114/'04 Prices'!C113-1)</f>
        <v/>
      </c>
      <c r="D113" s="25">
        <f>IF(OR($A113="",'04 Prices'!D113="",'04 Prices'!D114=""),"",'04 Prices'!D114/'04 Prices'!D113-1)</f>
        <v/>
      </c>
      <c r="E113" s="25">
        <f>IF(OR($A113="",'04 Prices'!E113="",'04 Prices'!E114=""),"",'04 Prices'!E114/'04 Prices'!E113-1)</f>
        <v/>
      </c>
      <c r="F113" s="25">
        <f>IF(OR($A113="",'04 Prices'!F113="",'04 Prices'!F114=""),"",'04 Prices'!F114/'04 Prices'!F113-1)</f>
        <v/>
      </c>
      <c r="G113" s="25">
        <f>IF(OR($A113="",'04 Prices'!G113="",'04 Prices'!G114=""),"",'04 Prices'!G114/'04 Prices'!G113-1)</f>
        <v/>
      </c>
      <c r="H113" s="25">
        <f>IF(OR($A113="",'04 Prices'!H113="",'04 Prices'!H114=""),"",'04 Prices'!H114/'04 Prices'!H113-1)</f>
        <v/>
      </c>
    </row>
    <row r="114">
      <c r="A114" s="23">
        <f>IF('04 Prices'!A115="","",'04 Prices'!A115)</f>
        <v/>
      </c>
      <c r="B114" s="25">
        <f>IF(OR($A114="",'04 Prices'!B114="",'04 Prices'!B115=""),"",'04 Prices'!B115/'04 Prices'!B114-1)</f>
        <v/>
      </c>
      <c r="C114" s="25">
        <f>IF(OR($A114="",'04 Prices'!C114="",'04 Prices'!C115=""),"",'04 Prices'!C115/'04 Prices'!C114-1)</f>
        <v/>
      </c>
      <c r="D114" s="25">
        <f>IF(OR($A114="",'04 Prices'!D114="",'04 Prices'!D115=""),"",'04 Prices'!D115/'04 Prices'!D114-1)</f>
        <v/>
      </c>
      <c r="E114" s="25">
        <f>IF(OR($A114="",'04 Prices'!E114="",'04 Prices'!E115=""),"",'04 Prices'!E115/'04 Prices'!E114-1)</f>
        <v/>
      </c>
      <c r="F114" s="25">
        <f>IF(OR($A114="",'04 Prices'!F114="",'04 Prices'!F115=""),"",'04 Prices'!F115/'04 Prices'!F114-1)</f>
        <v/>
      </c>
      <c r="G114" s="25">
        <f>IF(OR($A114="",'04 Prices'!G114="",'04 Prices'!G115=""),"",'04 Prices'!G115/'04 Prices'!G114-1)</f>
        <v/>
      </c>
      <c r="H114" s="25">
        <f>IF(OR($A114="",'04 Prices'!H114="",'04 Prices'!H115=""),"",'04 Prices'!H115/'04 Prices'!H114-1)</f>
        <v/>
      </c>
    </row>
    <row r="115">
      <c r="A115" s="23">
        <f>IF('04 Prices'!A116="","",'04 Prices'!A116)</f>
        <v/>
      </c>
      <c r="B115" s="25">
        <f>IF(OR($A115="",'04 Prices'!B115="",'04 Prices'!B116=""),"",'04 Prices'!B116/'04 Prices'!B115-1)</f>
        <v/>
      </c>
      <c r="C115" s="25">
        <f>IF(OR($A115="",'04 Prices'!C115="",'04 Prices'!C116=""),"",'04 Prices'!C116/'04 Prices'!C115-1)</f>
        <v/>
      </c>
      <c r="D115" s="25">
        <f>IF(OR($A115="",'04 Prices'!D115="",'04 Prices'!D116=""),"",'04 Prices'!D116/'04 Prices'!D115-1)</f>
        <v/>
      </c>
      <c r="E115" s="25">
        <f>IF(OR($A115="",'04 Prices'!E115="",'04 Prices'!E116=""),"",'04 Prices'!E116/'04 Prices'!E115-1)</f>
        <v/>
      </c>
      <c r="F115" s="25">
        <f>IF(OR($A115="",'04 Prices'!F115="",'04 Prices'!F116=""),"",'04 Prices'!F116/'04 Prices'!F115-1)</f>
        <v/>
      </c>
      <c r="G115" s="25">
        <f>IF(OR($A115="",'04 Prices'!G115="",'04 Prices'!G116=""),"",'04 Prices'!G116/'04 Prices'!G115-1)</f>
        <v/>
      </c>
      <c r="H115" s="25">
        <f>IF(OR($A115="",'04 Prices'!H115="",'04 Prices'!H116=""),"",'04 Prices'!H116/'04 Prices'!H115-1)</f>
        <v/>
      </c>
    </row>
    <row r="116">
      <c r="A116" s="23">
        <f>IF('04 Prices'!A117="","",'04 Prices'!A117)</f>
        <v/>
      </c>
      <c r="B116" s="25">
        <f>IF(OR($A116="",'04 Prices'!B116="",'04 Prices'!B117=""),"",'04 Prices'!B117/'04 Prices'!B116-1)</f>
        <v/>
      </c>
      <c r="C116" s="25">
        <f>IF(OR($A116="",'04 Prices'!C116="",'04 Prices'!C117=""),"",'04 Prices'!C117/'04 Prices'!C116-1)</f>
        <v/>
      </c>
      <c r="D116" s="25">
        <f>IF(OR($A116="",'04 Prices'!D116="",'04 Prices'!D117=""),"",'04 Prices'!D117/'04 Prices'!D116-1)</f>
        <v/>
      </c>
      <c r="E116" s="25">
        <f>IF(OR($A116="",'04 Prices'!E116="",'04 Prices'!E117=""),"",'04 Prices'!E117/'04 Prices'!E116-1)</f>
        <v/>
      </c>
      <c r="F116" s="25">
        <f>IF(OR($A116="",'04 Prices'!F116="",'04 Prices'!F117=""),"",'04 Prices'!F117/'04 Prices'!F116-1)</f>
        <v/>
      </c>
      <c r="G116" s="25">
        <f>IF(OR($A116="",'04 Prices'!G116="",'04 Prices'!G117=""),"",'04 Prices'!G117/'04 Prices'!G116-1)</f>
        <v/>
      </c>
      <c r="H116" s="25">
        <f>IF(OR($A116="",'04 Prices'!H116="",'04 Prices'!H117=""),"",'04 Prices'!H117/'04 Prices'!H116-1)</f>
        <v/>
      </c>
    </row>
    <row r="117">
      <c r="A117" s="23">
        <f>IF('04 Prices'!A118="","",'04 Prices'!A118)</f>
        <v/>
      </c>
      <c r="B117" s="25">
        <f>IF(OR($A117="",'04 Prices'!B117="",'04 Prices'!B118=""),"",'04 Prices'!B118/'04 Prices'!B117-1)</f>
        <v/>
      </c>
      <c r="C117" s="25">
        <f>IF(OR($A117="",'04 Prices'!C117="",'04 Prices'!C118=""),"",'04 Prices'!C118/'04 Prices'!C117-1)</f>
        <v/>
      </c>
      <c r="D117" s="25">
        <f>IF(OR($A117="",'04 Prices'!D117="",'04 Prices'!D118=""),"",'04 Prices'!D118/'04 Prices'!D117-1)</f>
        <v/>
      </c>
      <c r="E117" s="25">
        <f>IF(OR($A117="",'04 Prices'!E117="",'04 Prices'!E118=""),"",'04 Prices'!E118/'04 Prices'!E117-1)</f>
        <v/>
      </c>
      <c r="F117" s="25">
        <f>IF(OR($A117="",'04 Prices'!F117="",'04 Prices'!F118=""),"",'04 Prices'!F118/'04 Prices'!F117-1)</f>
        <v/>
      </c>
      <c r="G117" s="25">
        <f>IF(OR($A117="",'04 Prices'!G117="",'04 Prices'!G118=""),"",'04 Prices'!G118/'04 Prices'!G117-1)</f>
        <v/>
      </c>
      <c r="H117" s="25">
        <f>IF(OR($A117="",'04 Prices'!H117="",'04 Prices'!H118=""),"",'04 Prices'!H118/'04 Prices'!H117-1)</f>
        <v/>
      </c>
    </row>
    <row r="118">
      <c r="A118" s="23">
        <f>IF('04 Prices'!A119="","",'04 Prices'!A119)</f>
        <v/>
      </c>
      <c r="B118" s="25">
        <f>IF(OR($A118="",'04 Prices'!B118="",'04 Prices'!B119=""),"",'04 Prices'!B119/'04 Prices'!B118-1)</f>
        <v/>
      </c>
      <c r="C118" s="25">
        <f>IF(OR($A118="",'04 Prices'!C118="",'04 Prices'!C119=""),"",'04 Prices'!C119/'04 Prices'!C118-1)</f>
        <v/>
      </c>
      <c r="D118" s="25">
        <f>IF(OR($A118="",'04 Prices'!D118="",'04 Prices'!D119=""),"",'04 Prices'!D119/'04 Prices'!D118-1)</f>
        <v/>
      </c>
      <c r="E118" s="25">
        <f>IF(OR($A118="",'04 Prices'!E118="",'04 Prices'!E119=""),"",'04 Prices'!E119/'04 Prices'!E118-1)</f>
        <v/>
      </c>
      <c r="F118" s="25">
        <f>IF(OR($A118="",'04 Prices'!F118="",'04 Prices'!F119=""),"",'04 Prices'!F119/'04 Prices'!F118-1)</f>
        <v/>
      </c>
      <c r="G118" s="25">
        <f>IF(OR($A118="",'04 Prices'!G118="",'04 Prices'!G119=""),"",'04 Prices'!G119/'04 Prices'!G118-1)</f>
        <v/>
      </c>
      <c r="H118" s="25">
        <f>IF(OR($A118="",'04 Prices'!H118="",'04 Prices'!H119=""),"",'04 Prices'!H119/'04 Prices'!H118-1)</f>
        <v/>
      </c>
    </row>
    <row r="119">
      <c r="A119" s="23">
        <f>IF('04 Prices'!A120="","",'04 Prices'!A120)</f>
        <v/>
      </c>
      <c r="B119" s="25">
        <f>IF(OR($A119="",'04 Prices'!B119="",'04 Prices'!B120=""),"",'04 Prices'!B120/'04 Prices'!B119-1)</f>
        <v/>
      </c>
      <c r="C119" s="25">
        <f>IF(OR($A119="",'04 Prices'!C119="",'04 Prices'!C120=""),"",'04 Prices'!C120/'04 Prices'!C119-1)</f>
        <v/>
      </c>
      <c r="D119" s="25">
        <f>IF(OR($A119="",'04 Prices'!D119="",'04 Prices'!D120=""),"",'04 Prices'!D120/'04 Prices'!D119-1)</f>
        <v/>
      </c>
      <c r="E119" s="25">
        <f>IF(OR($A119="",'04 Prices'!E119="",'04 Prices'!E120=""),"",'04 Prices'!E120/'04 Prices'!E119-1)</f>
        <v/>
      </c>
      <c r="F119" s="25">
        <f>IF(OR($A119="",'04 Prices'!F119="",'04 Prices'!F120=""),"",'04 Prices'!F120/'04 Prices'!F119-1)</f>
        <v/>
      </c>
      <c r="G119" s="25">
        <f>IF(OR($A119="",'04 Prices'!G119="",'04 Prices'!G120=""),"",'04 Prices'!G120/'04 Prices'!G119-1)</f>
        <v/>
      </c>
      <c r="H119" s="25">
        <f>IF(OR($A119="",'04 Prices'!H119="",'04 Prices'!H120=""),"",'04 Prices'!H120/'04 Prices'!H119-1)</f>
        <v/>
      </c>
    </row>
    <row r="120">
      <c r="A120" s="23">
        <f>IF('04 Prices'!A121="","",'04 Prices'!A121)</f>
        <v/>
      </c>
      <c r="B120" s="25">
        <f>IF(OR($A120="",'04 Prices'!B120="",'04 Prices'!B121=""),"",'04 Prices'!B121/'04 Prices'!B120-1)</f>
        <v/>
      </c>
      <c r="C120" s="25">
        <f>IF(OR($A120="",'04 Prices'!C120="",'04 Prices'!C121=""),"",'04 Prices'!C121/'04 Prices'!C120-1)</f>
        <v/>
      </c>
      <c r="D120" s="25">
        <f>IF(OR($A120="",'04 Prices'!D120="",'04 Prices'!D121=""),"",'04 Prices'!D121/'04 Prices'!D120-1)</f>
        <v/>
      </c>
      <c r="E120" s="25">
        <f>IF(OR($A120="",'04 Prices'!E120="",'04 Prices'!E121=""),"",'04 Prices'!E121/'04 Prices'!E120-1)</f>
        <v/>
      </c>
      <c r="F120" s="25">
        <f>IF(OR($A120="",'04 Prices'!F120="",'04 Prices'!F121=""),"",'04 Prices'!F121/'04 Prices'!F120-1)</f>
        <v/>
      </c>
      <c r="G120" s="25">
        <f>IF(OR($A120="",'04 Prices'!G120="",'04 Prices'!G121=""),"",'04 Prices'!G121/'04 Prices'!G120-1)</f>
        <v/>
      </c>
      <c r="H120" s="25">
        <f>IF(OR($A120="",'04 Prices'!H120="",'04 Prices'!H121=""),"",'04 Prices'!H121/'04 Prices'!H120-1)</f>
        <v/>
      </c>
    </row>
    <row r="121">
      <c r="A121" s="23">
        <f>IF('04 Prices'!A122="","",'04 Prices'!A122)</f>
        <v/>
      </c>
      <c r="B121" s="25">
        <f>IF(OR($A121="",'04 Prices'!B121="",'04 Prices'!B122=""),"",'04 Prices'!B122/'04 Prices'!B121-1)</f>
        <v/>
      </c>
      <c r="C121" s="25">
        <f>IF(OR($A121="",'04 Prices'!C121="",'04 Prices'!C122=""),"",'04 Prices'!C122/'04 Prices'!C121-1)</f>
        <v/>
      </c>
      <c r="D121" s="25">
        <f>IF(OR($A121="",'04 Prices'!D121="",'04 Prices'!D122=""),"",'04 Prices'!D122/'04 Prices'!D121-1)</f>
        <v/>
      </c>
      <c r="E121" s="25">
        <f>IF(OR($A121="",'04 Prices'!E121="",'04 Prices'!E122=""),"",'04 Prices'!E122/'04 Prices'!E121-1)</f>
        <v/>
      </c>
      <c r="F121" s="25">
        <f>IF(OR($A121="",'04 Prices'!F121="",'04 Prices'!F122=""),"",'04 Prices'!F122/'04 Prices'!F121-1)</f>
        <v/>
      </c>
      <c r="G121" s="25">
        <f>IF(OR($A121="",'04 Prices'!G121="",'04 Prices'!G122=""),"",'04 Prices'!G122/'04 Prices'!G121-1)</f>
        <v/>
      </c>
      <c r="H121" s="25">
        <f>IF(OR($A121="",'04 Prices'!H121="",'04 Prices'!H122=""),"",'04 Prices'!H122/'04 Prices'!H121-1)</f>
        <v/>
      </c>
    </row>
    <row r="122">
      <c r="A122" s="23">
        <f>IF('04 Prices'!A123="","",'04 Prices'!A123)</f>
        <v/>
      </c>
      <c r="B122" s="25">
        <f>IF(OR($A122="",'04 Prices'!B122="",'04 Prices'!B123=""),"",'04 Prices'!B123/'04 Prices'!B122-1)</f>
        <v/>
      </c>
      <c r="C122" s="25">
        <f>IF(OR($A122="",'04 Prices'!C122="",'04 Prices'!C123=""),"",'04 Prices'!C123/'04 Prices'!C122-1)</f>
        <v/>
      </c>
      <c r="D122" s="25">
        <f>IF(OR($A122="",'04 Prices'!D122="",'04 Prices'!D123=""),"",'04 Prices'!D123/'04 Prices'!D122-1)</f>
        <v/>
      </c>
      <c r="E122" s="25">
        <f>IF(OR($A122="",'04 Prices'!E122="",'04 Prices'!E123=""),"",'04 Prices'!E123/'04 Prices'!E122-1)</f>
        <v/>
      </c>
      <c r="F122" s="25">
        <f>IF(OR($A122="",'04 Prices'!F122="",'04 Prices'!F123=""),"",'04 Prices'!F123/'04 Prices'!F122-1)</f>
        <v/>
      </c>
      <c r="G122" s="25">
        <f>IF(OR($A122="",'04 Prices'!G122="",'04 Prices'!G123=""),"",'04 Prices'!G123/'04 Prices'!G122-1)</f>
        <v/>
      </c>
      <c r="H122" s="25">
        <f>IF(OR($A122="",'04 Prices'!H122="",'04 Prices'!H123=""),"",'04 Prices'!H123/'04 Prices'!H122-1)</f>
        <v/>
      </c>
    </row>
    <row r="123">
      <c r="A123" s="23">
        <f>IF('04 Prices'!A124="","",'04 Prices'!A124)</f>
        <v/>
      </c>
      <c r="B123" s="25">
        <f>IF(OR($A123="",'04 Prices'!B123="",'04 Prices'!B124=""),"",'04 Prices'!B124/'04 Prices'!B123-1)</f>
        <v/>
      </c>
      <c r="C123" s="25">
        <f>IF(OR($A123="",'04 Prices'!C123="",'04 Prices'!C124=""),"",'04 Prices'!C124/'04 Prices'!C123-1)</f>
        <v/>
      </c>
      <c r="D123" s="25">
        <f>IF(OR($A123="",'04 Prices'!D123="",'04 Prices'!D124=""),"",'04 Prices'!D124/'04 Prices'!D123-1)</f>
        <v/>
      </c>
      <c r="E123" s="25">
        <f>IF(OR($A123="",'04 Prices'!E123="",'04 Prices'!E124=""),"",'04 Prices'!E124/'04 Prices'!E123-1)</f>
        <v/>
      </c>
      <c r="F123" s="25">
        <f>IF(OR($A123="",'04 Prices'!F123="",'04 Prices'!F124=""),"",'04 Prices'!F124/'04 Prices'!F123-1)</f>
        <v/>
      </c>
      <c r="G123" s="25">
        <f>IF(OR($A123="",'04 Prices'!G123="",'04 Prices'!G124=""),"",'04 Prices'!G124/'04 Prices'!G123-1)</f>
        <v/>
      </c>
      <c r="H123" s="25">
        <f>IF(OR($A123="",'04 Prices'!H123="",'04 Prices'!H124=""),"",'04 Prices'!H124/'04 Prices'!H123-1)</f>
        <v/>
      </c>
    </row>
    <row r="124">
      <c r="A124" s="23">
        <f>IF('04 Prices'!A125="","",'04 Prices'!A125)</f>
        <v/>
      </c>
      <c r="B124" s="25">
        <f>IF(OR($A124="",'04 Prices'!B124="",'04 Prices'!B125=""),"",'04 Prices'!B125/'04 Prices'!B124-1)</f>
        <v/>
      </c>
      <c r="C124" s="25">
        <f>IF(OR($A124="",'04 Prices'!C124="",'04 Prices'!C125=""),"",'04 Prices'!C125/'04 Prices'!C124-1)</f>
        <v/>
      </c>
      <c r="D124" s="25">
        <f>IF(OR($A124="",'04 Prices'!D124="",'04 Prices'!D125=""),"",'04 Prices'!D125/'04 Prices'!D124-1)</f>
        <v/>
      </c>
      <c r="E124" s="25">
        <f>IF(OR($A124="",'04 Prices'!E124="",'04 Prices'!E125=""),"",'04 Prices'!E125/'04 Prices'!E124-1)</f>
        <v/>
      </c>
      <c r="F124" s="25">
        <f>IF(OR($A124="",'04 Prices'!F124="",'04 Prices'!F125=""),"",'04 Prices'!F125/'04 Prices'!F124-1)</f>
        <v/>
      </c>
      <c r="G124" s="25">
        <f>IF(OR($A124="",'04 Prices'!G124="",'04 Prices'!G125=""),"",'04 Prices'!G125/'04 Prices'!G124-1)</f>
        <v/>
      </c>
      <c r="H124" s="25">
        <f>IF(OR($A124="",'04 Prices'!H124="",'04 Prices'!H125=""),"",'04 Prices'!H125/'04 Prices'!H124-1)</f>
        <v/>
      </c>
    </row>
    <row r="125">
      <c r="A125" s="23">
        <f>IF('04 Prices'!A126="","",'04 Prices'!A126)</f>
        <v/>
      </c>
      <c r="B125" s="25">
        <f>IF(OR($A125="",'04 Prices'!B125="",'04 Prices'!B126=""),"",'04 Prices'!B126/'04 Prices'!B125-1)</f>
        <v/>
      </c>
      <c r="C125" s="25">
        <f>IF(OR($A125="",'04 Prices'!C125="",'04 Prices'!C126=""),"",'04 Prices'!C126/'04 Prices'!C125-1)</f>
        <v/>
      </c>
      <c r="D125" s="25">
        <f>IF(OR($A125="",'04 Prices'!D125="",'04 Prices'!D126=""),"",'04 Prices'!D126/'04 Prices'!D125-1)</f>
        <v/>
      </c>
      <c r="E125" s="25">
        <f>IF(OR($A125="",'04 Prices'!E125="",'04 Prices'!E126=""),"",'04 Prices'!E126/'04 Prices'!E125-1)</f>
        <v/>
      </c>
      <c r="F125" s="25">
        <f>IF(OR($A125="",'04 Prices'!F125="",'04 Prices'!F126=""),"",'04 Prices'!F126/'04 Prices'!F125-1)</f>
        <v/>
      </c>
      <c r="G125" s="25">
        <f>IF(OR($A125="",'04 Prices'!G125="",'04 Prices'!G126=""),"",'04 Prices'!G126/'04 Prices'!G125-1)</f>
        <v/>
      </c>
      <c r="H125" s="25">
        <f>IF(OR($A125="",'04 Prices'!H125="",'04 Prices'!H126=""),"",'04 Prices'!H126/'04 Prices'!H125-1)</f>
        <v/>
      </c>
    </row>
    <row r="126">
      <c r="A126" s="23">
        <f>IF('04 Prices'!A127="","",'04 Prices'!A127)</f>
        <v/>
      </c>
      <c r="B126" s="25">
        <f>IF(OR($A126="",'04 Prices'!B126="",'04 Prices'!B127=""),"",'04 Prices'!B127/'04 Prices'!B126-1)</f>
        <v/>
      </c>
      <c r="C126" s="25">
        <f>IF(OR($A126="",'04 Prices'!C126="",'04 Prices'!C127=""),"",'04 Prices'!C127/'04 Prices'!C126-1)</f>
        <v/>
      </c>
      <c r="D126" s="25">
        <f>IF(OR($A126="",'04 Prices'!D126="",'04 Prices'!D127=""),"",'04 Prices'!D127/'04 Prices'!D126-1)</f>
        <v/>
      </c>
      <c r="E126" s="25">
        <f>IF(OR($A126="",'04 Prices'!E126="",'04 Prices'!E127=""),"",'04 Prices'!E127/'04 Prices'!E126-1)</f>
        <v/>
      </c>
      <c r="F126" s="25">
        <f>IF(OR($A126="",'04 Prices'!F126="",'04 Prices'!F127=""),"",'04 Prices'!F127/'04 Prices'!F126-1)</f>
        <v/>
      </c>
      <c r="G126" s="25">
        <f>IF(OR($A126="",'04 Prices'!G126="",'04 Prices'!G127=""),"",'04 Prices'!G127/'04 Prices'!G126-1)</f>
        <v/>
      </c>
      <c r="H126" s="25">
        <f>IF(OR($A126="",'04 Prices'!H126="",'04 Prices'!H127=""),"",'04 Prices'!H127/'04 Prices'!H126-1)</f>
        <v/>
      </c>
    </row>
    <row r="127">
      <c r="A127" s="23">
        <f>IF('04 Prices'!A128="","",'04 Prices'!A128)</f>
        <v/>
      </c>
      <c r="B127" s="25">
        <f>IF(OR($A127="",'04 Prices'!B127="",'04 Prices'!B128=""),"",'04 Prices'!B128/'04 Prices'!B127-1)</f>
        <v/>
      </c>
      <c r="C127" s="25">
        <f>IF(OR($A127="",'04 Prices'!C127="",'04 Prices'!C128=""),"",'04 Prices'!C128/'04 Prices'!C127-1)</f>
        <v/>
      </c>
      <c r="D127" s="25">
        <f>IF(OR($A127="",'04 Prices'!D127="",'04 Prices'!D128=""),"",'04 Prices'!D128/'04 Prices'!D127-1)</f>
        <v/>
      </c>
      <c r="E127" s="25">
        <f>IF(OR($A127="",'04 Prices'!E127="",'04 Prices'!E128=""),"",'04 Prices'!E128/'04 Prices'!E127-1)</f>
        <v/>
      </c>
      <c r="F127" s="25">
        <f>IF(OR($A127="",'04 Prices'!F127="",'04 Prices'!F128=""),"",'04 Prices'!F128/'04 Prices'!F127-1)</f>
        <v/>
      </c>
      <c r="G127" s="25">
        <f>IF(OR($A127="",'04 Prices'!G127="",'04 Prices'!G128=""),"",'04 Prices'!G128/'04 Prices'!G127-1)</f>
        <v/>
      </c>
      <c r="H127" s="25">
        <f>IF(OR($A127="",'04 Prices'!H127="",'04 Prices'!H128=""),"",'04 Prices'!H128/'04 Prices'!H127-1)</f>
        <v/>
      </c>
    </row>
    <row r="128">
      <c r="A128" s="23">
        <f>IF('04 Prices'!A129="","",'04 Prices'!A129)</f>
        <v/>
      </c>
      <c r="B128" s="25">
        <f>IF(OR($A128="",'04 Prices'!B128="",'04 Prices'!B129=""),"",'04 Prices'!B129/'04 Prices'!B128-1)</f>
        <v/>
      </c>
      <c r="C128" s="25">
        <f>IF(OR($A128="",'04 Prices'!C128="",'04 Prices'!C129=""),"",'04 Prices'!C129/'04 Prices'!C128-1)</f>
        <v/>
      </c>
      <c r="D128" s="25">
        <f>IF(OR($A128="",'04 Prices'!D128="",'04 Prices'!D129=""),"",'04 Prices'!D129/'04 Prices'!D128-1)</f>
        <v/>
      </c>
      <c r="E128" s="25">
        <f>IF(OR($A128="",'04 Prices'!E128="",'04 Prices'!E129=""),"",'04 Prices'!E129/'04 Prices'!E128-1)</f>
        <v/>
      </c>
      <c r="F128" s="25">
        <f>IF(OR($A128="",'04 Prices'!F128="",'04 Prices'!F129=""),"",'04 Prices'!F129/'04 Prices'!F128-1)</f>
        <v/>
      </c>
      <c r="G128" s="25">
        <f>IF(OR($A128="",'04 Prices'!G128="",'04 Prices'!G129=""),"",'04 Prices'!G129/'04 Prices'!G128-1)</f>
        <v/>
      </c>
      <c r="H128" s="25">
        <f>IF(OR($A128="",'04 Prices'!H128="",'04 Prices'!H129=""),"",'04 Prices'!H129/'04 Prices'!H128-1)</f>
        <v/>
      </c>
    </row>
    <row r="129">
      <c r="A129" s="23">
        <f>IF('04 Prices'!A130="","",'04 Prices'!A130)</f>
        <v/>
      </c>
      <c r="B129" s="25">
        <f>IF(OR($A129="",'04 Prices'!B129="",'04 Prices'!B130=""),"",'04 Prices'!B130/'04 Prices'!B129-1)</f>
        <v/>
      </c>
      <c r="C129" s="25">
        <f>IF(OR($A129="",'04 Prices'!C129="",'04 Prices'!C130=""),"",'04 Prices'!C130/'04 Prices'!C129-1)</f>
        <v/>
      </c>
      <c r="D129" s="25">
        <f>IF(OR($A129="",'04 Prices'!D129="",'04 Prices'!D130=""),"",'04 Prices'!D130/'04 Prices'!D129-1)</f>
        <v/>
      </c>
      <c r="E129" s="25">
        <f>IF(OR($A129="",'04 Prices'!E129="",'04 Prices'!E130=""),"",'04 Prices'!E130/'04 Prices'!E129-1)</f>
        <v/>
      </c>
      <c r="F129" s="25">
        <f>IF(OR($A129="",'04 Prices'!F129="",'04 Prices'!F130=""),"",'04 Prices'!F130/'04 Prices'!F129-1)</f>
        <v/>
      </c>
      <c r="G129" s="25">
        <f>IF(OR($A129="",'04 Prices'!G129="",'04 Prices'!G130=""),"",'04 Prices'!G130/'04 Prices'!G129-1)</f>
        <v/>
      </c>
      <c r="H129" s="25">
        <f>IF(OR($A129="",'04 Prices'!H129="",'04 Prices'!H130=""),"",'04 Prices'!H130/'04 Prices'!H129-1)</f>
        <v/>
      </c>
    </row>
    <row r="130">
      <c r="A130" s="23">
        <f>IF('04 Prices'!A131="","",'04 Prices'!A131)</f>
        <v/>
      </c>
      <c r="B130" s="25">
        <f>IF(OR($A130="",'04 Prices'!B130="",'04 Prices'!B131=""),"",'04 Prices'!B131/'04 Prices'!B130-1)</f>
        <v/>
      </c>
      <c r="C130" s="25">
        <f>IF(OR($A130="",'04 Prices'!C130="",'04 Prices'!C131=""),"",'04 Prices'!C131/'04 Prices'!C130-1)</f>
        <v/>
      </c>
      <c r="D130" s="25">
        <f>IF(OR($A130="",'04 Prices'!D130="",'04 Prices'!D131=""),"",'04 Prices'!D131/'04 Prices'!D130-1)</f>
        <v/>
      </c>
      <c r="E130" s="25">
        <f>IF(OR($A130="",'04 Prices'!E130="",'04 Prices'!E131=""),"",'04 Prices'!E131/'04 Prices'!E130-1)</f>
        <v/>
      </c>
      <c r="F130" s="25">
        <f>IF(OR($A130="",'04 Prices'!F130="",'04 Prices'!F131=""),"",'04 Prices'!F131/'04 Prices'!F130-1)</f>
        <v/>
      </c>
      <c r="G130" s="25">
        <f>IF(OR($A130="",'04 Prices'!G130="",'04 Prices'!G131=""),"",'04 Prices'!G131/'04 Prices'!G130-1)</f>
        <v/>
      </c>
      <c r="H130" s="25">
        <f>IF(OR($A130="",'04 Prices'!H130="",'04 Prices'!H131=""),"",'04 Prices'!H131/'04 Prices'!H130-1)</f>
        <v/>
      </c>
    </row>
    <row r="131">
      <c r="A131" s="23">
        <f>IF('04 Prices'!A132="","",'04 Prices'!A132)</f>
        <v/>
      </c>
      <c r="B131" s="25">
        <f>IF(OR($A131="",'04 Prices'!B131="",'04 Prices'!B132=""),"",'04 Prices'!B132/'04 Prices'!B131-1)</f>
        <v/>
      </c>
      <c r="C131" s="25">
        <f>IF(OR($A131="",'04 Prices'!C131="",'04 Prices'!C132=""),"",'04 Prices'!C132/'04 Prices'!C131-1)</f>
        <v/>
      </c>
      <c r="D131" s="25">
        <f>IF(OR($A131="",'04 Prices'!D131="",'04 Prices'!D132=""),"",'04 Prices'!D132/'04 Prices'!D131-1)</f>
        <v/>
      </c>
      <c r="E131" s="25">
        <f>IF(OR($A131="",'04 Prices'!E131="",'04 Prices'!E132=""),"",'04 Prices'!E132/'04 Prices'!E131-1)</f>
        <v/>
      </c>
      <c r="F131" s="25">
        <f>IF(OR($A131="",'04 Prices'!F131="",'04 Prices'!F132=""),"",'04 Prices'!F132/'04 Prices'!F131-1)</f>
        <v/>
      </c>
      <c r="G131" s="25">
        <f>IF(OR($A131="",'04 Prices'!G131="",'04 Prices'!G132=""),"",'04 Prices'!G132/'04 Prices'!G131-1)</f>
        <v/>
      </c>
      <c r="H131" s="25">
        <f>IF(OR($A131="",'04 Prices'!H131="",'04 Prices'!H132=""),"",'04 Prices'!H132/'04 Prices'!H131-1)</f>
        <v/>
      </c>
    </row>
    <row r="132">
      <c r="A132" s="23">
        <f>IF('04 Prices'!A133="","",'04 Prices'!A133)</f>
        <v/>
      </c>
      <c r="B132" s="25">
        <f>IF(OR($A132="",'04 Prices'!B132="",'04 Prices'!B133=""),"",'04 Prices'!B133/'04 Prices'!B132-1)</f>
        <v/>
      </c>
      <c r="C132" s="25">
        <f>IF(OR($A132="",'04 Prices'!C132="",'04 Prices'!C133=""),"",'04 Prices'!C133/'04 Prices'!C132-1)</f>
        <v/>
      </c>
      <c r="D132" s="25">
        <f>IF(OR($A132="",'04 Prices'!D132="",'04 Prices'!D133=""),"",'04 Prices'!D133/'04 Prices'!D132-1)</f>
        <v/>
      </c>
      <c r="E132" s="25">
        <f>IF(OR($A132="",'04 Prices'!E132="",'04 Prices'!E133=""),"",'04 Prices'!E133/'04 Prices'!E132-1)</f>
        <v/>
      </c>
      <c r="F132" s="25">
        <f>IF(OR($A132="",'04 Prices'!F132="",'04 Prices'!F133=""),"",'04 Prices'!F133/'04 Prices'!F132-1)</f>
        <v/>
      </c>
      <c r="G132" s="25">
        <f>IF(OR($A132="",'04 Prices'!G132="",'04 Prices'!G133=""),"",'04 Prices'!G133/'04 Prices'!G132-1)</f>
        <v/>
      </c>
      <c r="H132" s="25">
        <f>IF(OR($A132="",'04 Prices'!H132="",'04 Prices'!H133=""),"",'04 Prices'!H133/'04 Prices'!H132-1)</f>
        <v/>
      </c>
    </row>
    <row r="133">
      <c r="A133" s="23">
        <f>IF('04 Prices'!A134="","",'04 Prices'!A134)</f>
        <v/>
      </c>
      <c r="B133" s="25">
        <f>IF(OR($A133="",'04 Prices'!B133="",'04 Prices'!B134=""),"",'04 Prices'!B134/'04 Prices'!B133-1)</f>
        <v/>
      </c>
      <c r="C133" s="25">
        <f>IF(OR($A133="",'04 Prices'!C133="",'04 Prices'!C134=""),"",'04 Prices'!C134/'04 Prices'!C133-1)</f>
        <v/>
      </c>
      <c r="D133" s="25">
        <f>IF(OR($A133="",'04 Prices'!D133="",'04 Prices'!D134=""),"",'04 Prices'!D134/'04 Prices'!D133-1)</f>
        <v/>
      </c>
      <c r="E133" s="25">
        <f>IF(OR($A133="",'04 Prices'!E133="",'04 Prices'!E134=""),"",'04 Prices'!E134/'04 Prices'!E133-1)</f>
        <v/>
      </c>
      <c r="F133" s="25">
        <f>IF(OR($A133="",'04 Prices'!F133="",'04 Prices'!F134=""),"",'04 Prices'!F134/'04 Prices'!F133-1)</f>
        <v/>
      </c>
      <c r="G133" s="25">
        <f>IF(OR($A133="",'04 Prices'!G133="",'04 Prices'!G134=""),"",'04 Prices'!G134/'04 Prices'!G133-1)</f>
        <v/>
      </c>
      <c r="H133" s="25">
        <f>IF(OR($A133="",'04 Prices'!H133="",'04 Prices'!H134=""),"",'04 Prices'!H134/'04 Prices'!H133-1)</f>
        <v/>
      </c>
    </row>
    <row r="134">
      <c r="A134" s="23">
        <f>IF('04 Prices'!A135="","",'04 Prices'!A135)</f>
        <v/>
      </c>
      <c r="B134" s="25">
        <f>IF(OR($A134="",'04 Prices'!B134="",'04 Prices'!B135=""),"",'04 Prices'!B135/'04 Prices'!B134-1)</f>
        <v/>
      </c>
      <c r="C134" s="25">
        <f>IF(OR($A134="",'04 Prices'!C134="",'04 Prices'!C135=""),"",'04 Prices'!C135/'04 Prices'!C134-1)</f>
        <v/>
      </c>
      <c r="D134" s="25">
        <f>IF(OR($A134="",'04 Prices'!D134="",'04 Prices'!D135=""),"",'04 Prices'!D135/'04 Prices'!D134-1)</f>
        <v/>
      </c>
      <c r="E134" s="25">
        <f>IF(OR($A134="",'04 Prices'!E134="",'04 Prices'!E135=""),"",'04 Prices'!E135/'04 Prices'!E134-1)</f>
        <v/>
      </c>
      <c r="F134" s="25">
        <f>IF(OR($A134="",'04 Prices'!F134="",'04 Prices'!F135=""),"",'04 Prices'!F135/'04 Prices'!F134-1)</f>
        <v/>
      </c>
      <c r="G134" s="25">
        <f>IF(OR($A134="",'04 Prices'!G134="",'04 Prices'!G135=""),"",'04 Prices'!G135/'04 Prices'!G134-1)</f>
        <v/>
      </c>
      <c r="H134" s="25">
        <f>IF(OR($A134="",'04 Prices'!H134="",'04 Prices'!H135=""),"",'04 Prices'!H135/'04 Prices'!H134-1)</f>
        <v/>
      </c>
    </row>
    <row r="135">
      <c r="A135" s="23">
        <f>IF('04 Prices'!A136="","",'04 Prices'!A136)</f>
        <v/>
      </c>
      <c r="B135" s="25">
        <f>IF(OR($A135="",'04 Prices'!B135="",'04 Prices'!B136=""),"",'04 Prices'!B136/'04 Prices'!B135-1)</f>
        <v/>
      </c>
      <c r="C135" s="25">
        <f>IF(OR($A135="",'04 Prices'!C135="",'04 Prices'!C136=""),"",'04 Prices'!C136/'04 Prices'!C135-1)</f>
        <v/>
      </c>
      <c r="D135" s="25">
        <f>IF(OR($A135="",'04 Prices'!D135="",'04 Prices'!D136=""),"",'04 Prices'!D136/'04 Prices'!D135-1)</f>
        <v/>
      </c>
      <c r="E135" s="25">
        <f>IF(OR($A135="",'04 Prices'!E135="",'04 Prices'!E136=""),"",'04 Prices'!E136/'04 Prices'!E135-1)</f>
        <v/>
      </c>
      <c r="F135" s="25">
        <f>IF(OR($A135="",'04 Prices'!F135="",'04 Prices'!F136=""),"",'04 Prices'!F136/'04 Prices'!F135-1)</f>
        <v/>
      </c>
      <c r="G135" s="25">
        <f>IF(OR($A135="",'04 Prices'!G135="",'04 Prices'!G136=""),"",'04 Prices'!G136/'04 Prices'!G135-1)</f>
        <v/>
      </c>
      <c r="H135" s="25">
        <f>IF(OR($A135="",'04 Prices'!H135="",'04 Prices'!H136=""),"",'04 Prices'!H136/'04 Prices'!H135-1)</f>
        <v/>
      </c>
    </row>
    <row r="136">
      <c r="A136" s="23">
        <f>IF('04 Prices'!A137="","",'04 Prices'!A137)</f>
        <v/>
      </c>
      <c r="B136" s="25">
        <f>IF(OR($A136="",'04 Prices'!B136="",'04 Prices'!B137=""),"",'04 Prices'!B137/'04 Prices'!B136-1)</f>
        <v/>
      </c>
      <c r="C136" s="25">
        <f>IF(OR($A136="",'04 Prices'!C136="",'04 Prices'!C137=""),"",'04 Prices'!C137/'04 Prices'!C136-1)</f>
        <v/>
      </c>
      <c r="D136" s="25">
        <f>IF(OR($A136="",'04 Prices'!D136="",'04 Prices'!D137=""),"",'04 Prices'!D137/'04 Prices'!D136-1)</f>
        <v/>
      </c>
      <c r="E136" s="25">
        <f>IF(OR($A136="",'04 Prices'!E136="",'04 Prices'!E137=""),"",'04 Prices'!E137/'04 Prices'!E136-1)</f>
        <v/>
      </c>
      <c r="F136" s="25">
        <f>IF(OR($A136="",'04 Prices'!F136="",'04 Prices'!F137=""),"",'04 Prices'!F137/'04 Prices'!F136-1)</f>
        <v/>
      </c>
      <c r="G136" s="25">
        <f>IF(OR($A136="",'04 Prices'!G136="",'04 Prices'!G137=""),"",'04 Prices'!G137/'04 Prices'!G136-1)</f>
        <v/>
      </c>
      <c r="H136" s="25">
        <f>IF(OR($A136="",'04 Prices'!H136="",'04 Prices'!H137=""),"",'04 Prices'!H137/'04 Prices'!H136-1)</f>
        <v/>
      </c>
    </row>
    <row r="137">
      <c r="A137" s="23">
        <f>IF('04 Prices'!A138="","",'04 Prices'!A138)</f>
        <v/>
      </c>
      <c r="B137" s="25">
        <f>IF(OR($A137="",'04 Prices'!B137="",'04 Prices'!B138=""),"",'04 Prices'!B138/'04 Prices'!B137-1)</f>
        <v/>
      </c>
      <c r="C137" s="25">
        <f>IF(OR($A137="",'04 Prices'!C137="",'04 Prices'!C138=""),"",'04 Prices'!C138/'04 Prices'!C137-1)</f>
        <v/>
      </c>
      <c r="D137" s="25">
        <f>IF(OR($A137="",'04 Prices'!D137="",'04 Prices'!D138=""),"",'04 Prices'!D138/'04 Prices'!D137-1)</f>
        <v/>
      </c>
      <c r="E137" s="25">
        <f>IF(OR($A137="",'04 Prices'!E137="",'04 Prices'!E138=""),"",'04 Prices'!E138/'04 Prices'!E137-1)</f>
        <v/>
      </c>
      <c r="F137" s="25">
        <f>IF(OR($A137="",'04 Prices'!F137="",'04 Prices'!F138=""),"",'04 Prices'!F138/'04 Prices'!F137-1)</f>
        <v/>
      </c>
      <c r="G137" s="25">
        <f>IF(OR($A137="",'04 Prices'!G137="",'04 Prices'!G138=""),"",'04 Prices'!G138/'04 Prices'!G137-1)</f>
        <v/>
      </c>
      <c r="H137" s="25">
        <f>IF(OR($A137="",'04 Prices'!H137="",'04 Prices'!H138=""),"",'04 Prices'!H138/'04 Prices'!H137-1)</f>
        <v/>
      </c>
    </row>
    <row r="138">
      <c r="A138" s="23">
        <f>IF('04 Prices'!A139="","",'04 Prices'!A139)</f>
        <v/>
      </c>
      <c r="B138" s="25">
        <f>IF(OR($A138="",'04 Prices'!B138="",'04 Prices'!B139=""),"",'04 Prices'!B139/'04 Prices'!B138-1)</f>
        <v/>
      </c>
      <c r="C138" s="25">
        <f>IF(OR($A138="",'04 Prices'!C138="",'04 Prices'!C139=""),"",'04 Prices'!C139/'04 Prices'!C138-1)</f>
        <v/>
      </c>
      <c r="D138" s="25">
        <f>IF(OR($A138="",'04 Prices'!D138="",'04 Prices'!D139=""),"",'04 Prices'!D139/'04 Prices'!D138-1)</f>
        <v/>
      </c>
      <c r="E138" s="25">
        <f>IF(OR($A138="",'04 Prices'!E138="",'04 Prices'!E139=""),"",'04 Prices'!E139/'04 Prices'!E138-1)</f>
        <v/>
      </c>
      <c r="F138" s="25">
        <f>IF(OR($A138="",'04 Prices'!F138="",'04 Prices'!F139=""),"",'04 Prices'!F139/'04 Prices'!F138-1)</f>
        <v/>
      </c>
      <c r="G138" s="25">
        <f>IF(OR($A138="",'04 Prices'!G138="",'04 Prices'!G139=""),"",'04 Prices'!G139/'04 Prices'!G138-1)</f>
        <v/>
      </c>
      <c r="H138" s="25">
        <f>IF(OR($A138="",'04 Prices'!H138="",'04 Prices'!H139=""),"",'04 Prices'!H139/'04 Prices'!H138-1)</f>
        <v/>
      </c>
    </row>
    <row r="139">
      <c r="A139" s="23">
        <f>IF('04 Prices'!A140="","",'04 Prices'!A140)</f>
        <v/>
      </c>
      <c r="B139" s="25">
        <f>IF(OR($A139="",'04 Prices'!B139="",'04 Prices'!B140=""),"",'04 Prices'!B140/'04 Prices'!B139-1)</f>
        <v/>
      </c>
      <c r="C139" s="25">
        <f>IF(OR($A139="",'04 Prices'!C139="",'04 Prices'!C140=""),"",'04 Prices'!C140/'04 Prices'!C139-1)</f>
        <v/>
      </c>
      <c r="D139" s="25">
        <f>IF(OR($A139="",'04 Prices'!D139="",'04 Prices'!D140=""),"",'04 Prices'!D140/'04 Prices'!D139-1)</f>
        <v/>
      </c>
      <c r="E139" s="25">
        <f>IF(OR($A139="",'04 Prices'!E139="",'04 Prices'!E140=""),"",'04 Prices'!E140/'04 Prices'!E139-1)</f>
        <v/>
      </c>
      <c r="F139" s="25">
        <f>IF(OR($A139="",'04 Prices'!F139="",'04 Prices'!F140=""),"",'04 Prices'!F140/'04 Prices'!F139-1)</f>
        <v/>
      </c>
      <c r="G139" s="25">
        <f>IF(OR($A139="",'04 Prices'!G139="",'04 Prices'!G140=""),"",'04 Prices'!G140/'04 Prices'!G139-1)</f>
        <v/>
      </c>
      <c r="H139" s="25">
        <f>IF(OR($A139="",'04 Prices'!H139="",'04 Prices'!H140=""),"",'04 Prices'!H140/'04 Prices'!H139-1)</f>
        <v/>
      </c>
    </row>
    <row r="140">
      <c r="A140" s="23">
        <f>IF('04 Prices'!A141="","",'04 Prices'!A141)</f>
        <v/>
      </c>
      <c r="B140" s="25">
        <f>IF(OR($A140="",'04 Prices'!B140="",'04 Prices'!B141=""),"",'04 Prices'!B141/'04 Prices'!B140-1)</f>
        <v/>
      </c>
      <c r="C140" s="25">
        <f>IF(OR($A140="",'04 Prices'!C140="",'04 Prices'!C141=""),"",'04 Prices'!C141/'04 Prices'!C140-1)</f>
        <v/>
      </c>
      <c r="D140" s="25">
        <f>IF(OR($A140="",'04 Prices'!D140="",'04 Prices'!D141=""),"",'04 Prices'!D141/'04 Prices'!D140-1)</f>
        <v/>
      </c>
      <c r="E140" s="25">
        <f>IF(OR($A140="",'04 Prices'!E140="",'04 Prices'!E141=""),"",'04 Prices'!E141/'04 Prices'!E140-1)</f>
        <v/>
      </c>
      <c r="F140" s="25">
        <f>IF(OR($A140="",'04 Prices'!F140="",'04 Prices'!F141=""),"",'04 Prices'!F141/'04 Prices'!F140-1)</f>
        <v/>
      </c>
      <c r="G140" s="25">
        <f>IF(OR($A140="",'04 Prices'!G140="",'04 Prices'!G141=""),"",'04 Prices'!G141/'04 Prices'!G140-1)</f>
        <v/>
      </c>
      <c r="H140" s="25">
        <f>IF(OR($A140="",'04 Prices'!H140="",'04 Prices'!H141=""),"",'04 Prices'!H141/'04 Prices'!H140-1)</f>
        <v/>
      </c>
    </row>
    <row r="141">
      <c r="A141" s="23">
        <f>IF('04 Prices'!A142="","",'04 Prices'!A142)</f>
        <v/>
      </c>
      <c r="B141" s="25">
        <f>IF(OR($A141="",'04 Prices'!B141="",'04 Prices'!B142=""),"",'04 Prices'!B142/'04 Prices'!B141-1)</f>
        <v/>
      </c>
      <c r="C141" s="25">
        <f>IF(OR($A141="",'04 Prices'!C141="",'04 Prices'!C142=""),"",'04 Prices'!C142/'04 Prices'!C141-1)</f>
        <v/>
      </c>
      <c r="D141" s="25">
        <f>IF(OR($A141="",'04 Prices'!D141="",'04 Prices'!D142=""),"",'04 Prices'!D142/'04 Prices'!D141-1)</f>
        <v/>
      </c>
      <c r="E141" s="25">
        <f>IF(OR($A141="",'04 Prices'!E141="",'04 Prices'!E142=""),"",'04 Prices'!E142/'04 Prices'!E141-1)</f>
        <v/>
      </c>
      <c r="F141" s="25">
        <f>IF(OR($A141="",'04 Prices'!F141="",'04 Prices'!F142=""),"",'04 Prices'!F142/'04 Prices'!F141-1)</f>
        <v/>
      </c>
      <c r="G141" s="25">
        <f>IF(OR($A141="",'04 Prices'!G141="",'04 Prices'!G142=""),"",'04 Prices'!G142/'04 Prices'!G141-1)</f>
        <v/>
      </c>
      <c r="H141" s="25">
        <f>IF(OR($A141="",'04 Prices'!H141="",'04 Prices'!H142=""),"",'04 Prices'!H142/'04 Prices'!H141-1)</f>
        <v/>
      </c>
    </row>
    <row r="142">
      <c r="A142" s="23">
        <f>IF('04 Prices'!A143="","",'04 Prices'!A143)</f>
        <v/>
      </c>
      <c r="B142" s="25">
        <f>IF(OR($A142="",'04 Prices'!B142="",'04 Prices'!B143=""),"",'04 Prices'!B143/'04 Prices'!B142-1)</f>
        <v/>
      </c>
      <c r="C142" s="25">
        <f>IF(OR($A142="",'04 Prices'!C142="",'04 Prices'!C143=""),"",'04 Prices'!C143/'04 Prices'!C142-1)</f>
        <v/>
      </c>
      <c r="D142" s="25">
        <f>IF(OR($A142="",'04 Prices'!D142="",'04 Prices'!D143=""),"",'04 Prices'!D143/'04 Prices'!D142-1)</f>
        <v/>
      </c>
      <c r="E142" s="25">
        <f>IF(OR($A142="",'04 Prices'!E142="",'04 Prices'!E143=""),"",'04 Prices'!E143/'04 Prices'!E142-1)</f>
        <v/>
      </c>
      <c r="F142" s="25">
        <f>IF(OR($A142="",'04 Prices'!F142="",'04 Prices'!F143=""),"",'04 Prices'!F143/'04 Prices'!F142-1)</f>
        <v/>
      </c>
      <c r="G142" s="25">
        <f>IF(OR($A142="",'04 Prices'!G142="",'04 Prices'!G143=""),"",'04 Prices'!G143/'04 Prices'!G142-1)</f>
        <v/>
      </c>
      <c r="H142" s="25">
        <f>IF(OR($A142="",'04 Prices'!H142="",'04 Prices'!H143=""),"",'04 Prices'!H143/'04 Prices'!H142-1)</f>
        <v/>
      </c>
    </row>
    <row r="143">
      <c r="A143" s="23">
        <f>IF('04 Prices'!A144="","",'04 Prices'!A144)</f>
        <v/>
      </c>
      <c r="B143" s="25">
        <f>IF(OR($A143="",'04 Prices'!B143="",'04 Prices'!B144=""),"",'04 Prices'!B144/'04 Prices'!B143-1)</f>
        <v/>
      </c>
      <c r="C143" s="25">
        <f>IF(OR($A143="",'04 Prices'!C143="",'04 Prices'!C144=""),"",'04 Prices'!C144/'04 Prices'!C143-1)</f>
        <v/>
      </c>
      <c r="D143" s="25">
        <f>IF(OR($A143="",'04 Prices'!D143="",'04 Prices'!D144=""),"",'04 Prices'!D144/'04 Prices'!D143-1)</f>
        <v/>
      </c>
      <c r="E143" s="25">
        <f>IF(OR($A143="",'04 Prices'!E143="",'04 Prices'!E144=""),"",'04 Prices'!E144/'04 Prices'!E143-1)</f>
        <v/>
      </c>
      <c r="F143" s="25">
        <f>IF(OR($A143="",'04 Prices'!F143="",'04 Prices'!F144=""),"",'04 Prices'!F144/'04 Prices'!F143-1)</f>
        <v/>
      </c>
      <c r="G143" s="25">
        <f>IF(OR($A143="",'04 Prices'!G143="",'04 Prices'!G144=""),"",'04 Prices'!G144/'04 Prices'!G143-1)</f>
        <v/>
      </c>
      <c r="H143" s="25">
        <f>IF(OR($A143="",'04 Prices'!H143="",'04 Prices'!H144=""),"",'04 Prices'!H144/'04 Prices'!H143-1)</f>
        <v/>
      </c>
    </row>
    <row r="144">
      <c r="A144" s="23">
        <f>IF('04 Prices'!A145="","",'04 Prices'!A145)</f>
        <v/>
      </c>
      <c r="B144" s="25">
        <f>IF(OR($A144="",'04 Prices'!B144="",'04 Prices'!B145=""),"",'04 Prices'!B145/'04 Prices'!B144-1)</f>
        <v/>
      </c>
      <c r="C144" s="25">
        <f>IF(OR($A144="",'04 Prices'!C144="",'04 Prices'!C145=""),"",'04 Prices'!C145/'04 Prices'!C144-1)</f>
        <v/>
      </c>
      <c r="D144" s="25">
        <f>IF(OR($A144="",'04 Prices'!D144="",'04 Prices'!D145=""),"",'04 Prices'!D145/'04 Prices'!D144-1)</f>
        <v/>
      </c>
      <c r="E144" s="25">
        <f>IF(OR($A144="",'04 Prices'!E144="",'04 Prices'!E145=""),"",'04 Prices'!E145/'04 Prices'!E144-1)</f>
        <v/>
      </c>
      <c r="F144" s="25">
        <f>IF(OR($A144="",'04 Prices'!F144="",'04 Prices'!F145=""),"",'04 Prices'!F145/'04 Prices'!F144-1)</f>
        <v/>
      </c>
      <c r="G144" s="25">
        <f>IF(OR($A144="",'04 Prices'!G144="",'04 Prices'!G145=""),"",'04 Prices'!G145/'04 Prices'!G144-1)</f>
        <v/>
      </c>
      <c r="H144" s="25">
        <f>IF(OR($A144="",'04 Prices'!H144="",'04 Prices'!H145=""),"",'04 Prices'!H145/'04 Prices'!H144-1)</f>
        <v/>
      </c>
    </row>
    <row r="145">
      <c r="A145" s="23">
        <f>IF('04 Prices'!A146="","",'04 Prices'!A146)</f>
        <v/>
      </c>
      <c r="B145" s="25">
        <f>IF(OR($A145="",'04 Prices'!B145="",'04 Prices'!B146=""),"",'04 Prices'!B146/'04 Prices'!B145-1)</f>
        <v/>
      </c>
      <c r="C145" s="25">
        <f>IF(OR($A145="",'04 Prices'!C145="",'04 Prices'!C146=""),"",'04 Prices'!C146/'04 Prices'!C145-1)</f>
        <v/>
      </c>
      <c r="D145" s="25">
        <f>IF(OR($A145="",'04 Prices'!D145="",'04 Prices'!D146=""),"",'04 Prices'!D146/'04 Prices'!D145-1)</f>
        <v/>
      </c>
      <c r="E145" s="25">
        <f>IF(OR($A145="",'04 Prices'!E145="",'04 Prices'!E146=""),"",'04 Prices'!E146/'04 Prices'!E145-1)</f>
        <v/>
      </c>
      <c r="F145" s="25">
        <f>IF(OR($A145="",'04 Prices'!F145="",'04 Prices'!F146=""),"",'04 Prices'!F146/'04 Prices'!F145-1)</f>
        <v/>
      </c>
      <c r="G145" s="25">
        <f>IF(OR($A145="",'04 Prices'!G145="",'04 Prices'!G146=""),"",'04 Prices'!G146/'04 Prices'!G145-1)</f>
        <v/>
      </c>
      <c r="H145" s="25">
        <f>IF(OR($A145="",'04 Prices'!H145="",'04 Prices'!H146=""),"",'04 Prices'!H146/'04 Prices'!H145-1)</f>
        <v/>
      </c>
    </row>
    <row r="146">
      <c r="A146" s="23">
        <f>IF('04 Prices'!A147="","",'04 Prices'!A147)</f>
        <v/>
      </c>
      <c r="B146" s="25">
        <f>IF(OR($A146="",'04 Prices'!B146="",'04 Prices'!B147=""),"",'04 Prices'!B147/'04 Prices'!B146-1)</f>
        <v/>
      </c>
      <c r="C146" s="25">
        <f>IF(OR($A146="",'04 Prices'!C146="",'04 Prices'!C147=""),"",'04 Prices'!C147/'04 Prices'!C146-1)</f>
        <v/>
      </c>
      <c r="D146" s="25">
        <f>IF(OR($A146="",'04 Prices'!D146="",'04 Prices'!D147=""),"",'04 Prices'!D147/'04 Prices'!D146-1)</f>
        <v/>
      </c>
      <c r="E146" s="25">
        <f>IF(OR($A146="",'04 Prices'!E146="",'04 Prices'!E147=""),"",'04 Prices'!E147/'04 Prices'!E146-1)</f>
        <v/>
      </c>
      <c r="F146" s="25">
        <f>IF(OR($A146="",'04 Prices'!F146="",'04 Prices'!F147=""),"",'04 Prices'!F147/'04 Prices'!F146-1)</f>
        <v/>
      </c>
      <c r="G146" s="25">
        <f>IF(OR($A146="",'04 Prices'!G146="",'04 Prices'!G147=""),"",'04 Prices'!G147/'04 Prices'!G146-1)</f>
        <v/>
      </c>
      <c r="H146" s="25">
        <f>IF(OR($A146="",'04 Prices'!H146="",'04 Prices'!H147=""),"",'04 Prices'!H147/'04 Prices'!H146-1)</f>
        <v/>
      </c>
    </row>
    <row r="147">
      <c r="A147" s="23">
        <f>IF('04 Prices'!A148="","",'04 Prices'!A148)</f>
        <v/>
      </c>
      <c r="B147" s="25">
        <f>IF(OR($A147="",'04 Prices'!B147="",'04 Prices'!B148=""),"",'04 Prices'!B148/'04 Prices'!B147-1)</f>
        <v/>
      </c>
      <c r="C147" s="25">
        <f>IF(OR($A147="",'04 Prices'!C147="",'04 Prices'!C148=""),"",'04 Prices'!C148/'04 Prices'!C147-1)</f>
        <v/>
      </c>
      <c r="D147" s="25">
        <f>IF(OR($A147="",'04 Prices'!D147="",'04 Prices'!D148=""),"",'04 Prices'!D148/'04 Prices'!D147-1)</f>
        <v/>
      </c>
      <c r="E147" s="25">
        <f>IF(OR($A147="",'04 Prices'!E147="",'04 Prices'!E148=""),"",'04 Prices'!E148/'04 Prices'!E147-1)</f>
        <v/>
      </c>
      <c r="F147" s="25">
        <f>IF(OR($A147="",'04 Prices'!F147="",'04 Prices'!F148=""),"",'04 Prices'!F148/'04 Prices'!F147-1)</f>
        <v/>
      </c>
      <c r="G147" s="25">
        <f>IF(OR($A147="",'04 Prices'!G147="",'04 Prices'!G148=""),"",'04 Prices'!G148/'04 Prices'!G147-1)</f>
        <v/>
      </c>
      <c r="H147" s="25">
        <f>IF(OR($A147="",'04 Prices'!H147="",'04 Prices'!H148=""),"",'04 Prices'!H148/'04 Prices'!H147-1)</f>
        <v/>
      </c>
    </row>
    <row r="148">
      <c r="A148" s="23">
        <f>IF('04 Prices'!A149="","",'04 Prices'!A149)</f>
        <v/>
      </c>
      <c r="B148" s="25">
        <f>IF(OR($A148="",'04 Prices'!B148="",'04 Prices'!B149=""),"",'04 Prices'!B149/'04 Prices'!B148-1)</f>
        <v/>
      </c>
      <c r="C148" s="25">
        <f>IF(OR($A148="",'04 Prices'!C148="",'04 Prices'!C149=""),"",'04 Prices'!C149/'04 Prices'!C148-1)</f>
        <v/>
      </c>
      <c r="D148" s="25">
        <f>IF(OR($A148="",'04 Prices'!D148="",'04 Prices'!D149=""),"",'04 Prices'!D149/'04 Prices'!D148-1)</f>
        <v/>
      </c>
      <c r="E148" s="25">
        <f>IF(OR($A148="",'04 Prices'!E148="",'04 Prices'!E149=""),"",'04 Prices'!E149/'04 Prices'!E148-1)</f>
        <v/>
      </c>
      <c r="F148" s="25">
        <f>IF(OR($A148="",'04 Prices'!F148="",'04 Prices'!F149=""),"",'04 Prices'!F149/'04 Prices'!F148-1)</f>
        <v/>
      </c>
      <c r="G148" s="25">
        <f>IF(OR($A148="",'04 Prices'!G148="",'04 Prices'!G149=""),"",'04 Prices'!G149/'04 Prices'!G148-1)</f>
        <v/>
      </c>
      <c r="H148" s="25">
        <f>IF(OR($A148="",'04 Prices'!H148="",'04 Prices'!H149=""),"",'04 Prices'!H149/'04 Prices'!H148-1)</f>
        <v/>
      </c>
    </row>
    <row r="149">
      <c r="A149" s="23">
        <f>IF('04 Prices'!A150="","",'04 Prices'!A150)</f>
        <v/>
      </c>
      <c r="B149" s="25">
        <f>IF(OR($A149="",'04 Prices'!B149="",'04 Prices'!B150=""),"",'04 Prices'!B150/'04 Prices'!B149-1)</f>
        <v/>
      </c>
      <c r="C149" s="25">
        <f>IF(OR($A149="",'04 Prices'!C149="",'04 Prices'!C150=""),"",'04 Prices'!C150/'04 Prices'!C149-1)</f>
        <v/>
      </c>
      <c r="D149" s="25">
        <f>IF(OR($A149="",'04 Prices'!D149="",'04 Prices'!D150=""),"",'04 Prices'!D150/'04 Prices'!D149-1)</f>
        <v/>
      </c>
      <c r="E149" s="25">
        <f>IF(OR($A149="",'04 Prices'!E149="",'04 Prices'!E150=""),"",'04 Prices'!E150/'04 Prices'!E149-1)</f>
        <v/>
      </c>
      <c r="F149" s="25">
        <f>IF(OR($A149="",'04 Prices'!F149="",'04 Prices'!F150=""),"",'04 Prices'!F150/'04 Prices'!F149-1)</f>
        <v/>
      </c>
      <c r="G149" s="25">
        <f>IF(OR($A149="",'04 Prices'!G149="",'04 Prices'!G150=""),"",'04 Prices'!G150/'04 Prices'!G149-1)</f>
        <v/>
      </c>
      <c r="H149" s="25">
        <f>IF(OR($A149="",'04 Prices'!H149="",'04 Prices'!H150=""),"",'04 Prices'!H150/'04 Prices'!H149-1)</f>
        <v/>
      </c>
    </row>
    <row r="150">
      <c r="A150" s="23">
        <f>IF('04 Prices'!A151="","",'04 Prices'!A151)</f>
        <v/>
      </c>
      <c r="B150" s="25">
        <f>IF(OR($A150="",'04 Prices'!B150="",'04 Prices'!B151=""),"",'04 Prices'!B151/'04 Prices'!B150-1)</f>
        <v/>
      </c>
      <c r="C150" s="25">
        <f>IF(OR($A150="",'04 Prices'!C150="",'04 Prices'!C151=""),"",'04 Prices'!C151/'04 Prices'!C150-1)</f>
        <v/>
      </c>
      <c r="D150" s="25">
        <f>IF(OR($A150="",'04 Prices'!D150="",'04 Prices'!D151=""),"",'04 Prices'!D151/'04 Prices'!D150-1)</f>
        <v/>
      </c>
      <c r="E150" s="25">
        <f>IF(OR($A150="",'04 Prices'!E150="",'04 Prices'!E151=""),"",'04 Prices'!E151/'04 Prices'!E150-1)</f>
        <v/>
      </c>
      <c r="F150" s="25">
        <f>IF(OR($A150="",'04 Prices'!F150="",'04 Prices'!F151=""),"",'04 Prices'!F151/'04 Prices'!F150-1)</f>
        <v/>
      </c>
      <c r="G150" s="25">
        <f>IF(OR($A150="",'04 Prices'!G150="",'04 Prices'!G151=""),"",'04 Prices'!G151/'04 Prices'!G150-1)</f>
        <v/>
      </c>
      <c r="H150" s="25">
        <f>IF(OR($A150="",'04 Prices'!H150="",'04 Prices'!H151=""),"",'04 Prices'!H151/'04 Prices'!H150-1)</f>
        <v/>
      </c>
    </row>
    <row r="151">
      <c r="A151" s="23">
        <f>IF('04 Prices'!A152="","",'04 Prices'!A152)</f>
        <v/>
      </c>
      <c r="B151" s="25">
        <f>IF(OR($A151="",'04 Prices'!B151="",'04 Prices'!B152=""),"",'04 Prices'!B152/'04 Prices'!B151-1)</f>
        <v/>
      </c>
      <c r="C151" s="25">
        <f>IF(OR($A151="",'04 Prices'!C151="",'04 Prices'!C152=""),"",'04 Prices'!C152/'04 Prices'!C151-1)</f>
        <v/>
      </c>
      <c r="D151" s="25">
        <f>IF(OR($A151="",'04 Prices'!D151="",'04 Prices'!D152=""),"",'04 Prices'!D152/'04 Prices'!D151-1)</f>
        <v/>
      </c>
      <c r="E151" s="25">
        <f>IF(OR($A151="",'04 Prices'!E151="",'04 Prices'!E152=""),"",'04 Prices'!E152/'04 Prices'!E151-1)</f>
        <v/>
      </c>
      <c r="F151" s="25">
        <f>IF(OR($A151="",'04 Prices'!F151="",'04 Prices'!F152=""),"",'04 Prices'!F152/'04 Prices'!F151-1)</f>
        <v/>
      </c>
      <c r="G151" s="25">
        <f>IF(OR($A151="",'04 Prices'!G151="",'04 Prices'!G152=""),"",'04 Prices'!G152/'04 Prices'!G151-1)</f>
        <v/>
      </c>
      <c r="H151" s="25">
        <f>IF(OR($A151="",'04 Prices'!H151="",'04 Prices'!H152=""),"",'04 Prices'!H152/'04 Prices'!H151-1)</f>
        <v/>
      </c>
    </row>
    <row r="152">
      <c r="A152" s="23">
        <f>IF('04 Prices'!A153="","",'04 Prices'!A153)</f>
        <v/>
      </c>
      <c r="B152" s="25">
        <f>IF(OR($A152="",'04 Prices'!B152="",'04 Prices'!B153=""),"",'04 Prices'!B153/'04 Prices'!B152-1)</f>
        <v/>
      </c>
      <c r="C152" s="25">
        <f>IF(OR($A152="",'04 Prices'!C152="",'04 Prices'!C153=""),"",'04 Prices'!C153/'04 Prices'!C152-1)</f>
        <v/>
      </c>
      <c r="D152" s="25">
        <f>IF(OR($A152="",'04 Prices'!D152="",'04 Prices'!D153=""),"",'04 Prices'!D153/'04 Prices'!D152-1)</f>
        <v/>
      </c>
      <c r="E152" s="25">
        <f>IF(OR($A152="",'04 Prices'!E152="",'04 Prices'!E153=""),"",'04 Prices'!E153/'04 Prices'!E152-1)</f>
        <v/>
      </c>
      <c r="F152" s="25">
        <f>IF(OR($A152="",'04 Prices'!F152="",'04 Prices'!F153=""),"",'04 Prices'!F153/'04 Prices'!F152-1)</f>
        <v/>
      </c>
      <c r="G152" s="25">
        <f>IF(OR($A152="",'04 Prices'!G152="",'04 Prices'!G153=""),"",'04 Prices'!G153/'04 Prices'!G152-1)</f>
        <v/>
      </c>
      <c r="H152" s="25">
        <f>IF(OR($A152="",'04 Prices'!H152="",'04 Prices'!H153=""),"",'04 Prices'!H153/'04 Prices'!H152-1)</f>
        <v/>
      </c>
    </row>
    <row r="153">
      <c r="A153" s="23">
        <f>IF('04 Prices'!A154="","",'04 Prices'!A154)</f>
        <v/>
      </c>
      <c r="B153" s="25">
        <f>IF(OR($A153="",'04 Prices'!B153="",'04 Prices'!B154=""),"",'04 Prices'!B154/'04 Prices'!B153-1)</f>
        <v/>
      </c>
      <c r="C153" s="25">
        <f>IF(OR($A153="",'04 Prices'!C153="",'04 Prices'!C154=""),"",'04 Prices'!C154/'04 Prices'!C153-1)</f>
        <v/>
      </c>
      <c r="D153" s="25">
        <f>IF(OR($A153="",'04 Prices'!D153="",'04 Prices'!D154=""),"",'04 Prices'!D154/'04 Prices'!D153-1)</f>
        <v/>
      </c>
      <c r="E153" s="25">
        <f>IF(OR($A153="",'04 Prices'!E153="",'04 Prices'!E154=""),"",'04 Prices'!E154/'04 Prices'!E153-1)</f>
        <v/>
      </c>
      <c r="F153" s="25">
        <f>IF(OR($A153="",'04 Prices'!F153="",'04 Prices'!F154=""),"",'04 Prices'!F154/'04 Prices'!F153-1)</f>
        <v/>
      </c>
      <c r="G153" s="25">
        <f>IF(OR($A153="",'04 Prices'!G153="",'04 Prices'!G154=""),"",'04 Prices'!G154/'04 Prices'!G153-1)</f>
        <v/>
      </c>
      <c r="H153" s="25">
        <f>IF(OR($A153="",'04 Prices'!H153="",'04 Prices'!H154=""),"",'04 Prices'!H154/'04 Prices'!H153-1)</f>
        <v/>
      </c>
    </row>
    <row r="154">
      <c r="A154" s="23">
        <f>IF('04 Prices'!A155="","",'04 Prices'!A155)</f>
        <v/>
      </c>
      <c r="B154" s="25">
        <f>IF(OR($A154="",'04 Prices'!B154="",'04 Prices'!B155=""),"",'04 Prices'!B155/'04 Prices'!B154-1)</f>
        <v/>
      </c>
      <c r="C154" s="25">
        <f>IF(OR($A154="",'04 Prices'!C154="",'04 Prices'!C155=""),"",'04 Prices'!C155/'04 Prices'!C154-1)</f>
        <v/>
      </c>
      <c r="D154" s="25">
        <f>IF(OR($A154="",'04 Prices'!D154="",'04 Prices'!D155=""),"",'04 Prices'!D155/'04 Prices'!D154-1)</f>
        <v/>
      </c>
      <c r="E154" s="25">
        <f>IF(OR($A154="",'04 Prices'!E154="",'04 Prices'!E155=""),"",'04 Prices'!E155/'04 Prices'!E154-1)</f>
        <v/>
      </c>
      <c r="F154" s="25">
        <f>IF(OR($A154="",'04 Prices'!F154="",'04 Prices'!F155=""),"",'04 Prices'!F155/'04 Prices'!F154-1)</f>
        <v/>
      </c>
      <c r="G154" s="25">
        <f>IF(OR($A154="",'04 Prices'!G154="",'04 Prices'!G155=""),"",'04 Prices'!G155/'04 Prices'!G154-1)</f>
        <v/>
      </c>
      <c r="H154" s="25">
        <f>IF(OR($A154="",'04 Prices'!H154="",'04 Prices'!H155=""),"",'04 Prices'!H155/'04 Prices'!H154-1)</f>
        <v/>
      </c>
    </row>
    <row r="155">
      <c r="A155" s="23">
        <f>IF('04 Prices'!A156="","",'04 Prices'!A156)</f>
        <v/>
      </c>
      <c r="B155" s="25">
        <f>IF(OR($A155="",'04 Prices'!B155="",'04 Prices'!B156=""),"",'04 Prices'!B156/'04 Prices'!B155-1)</f>
        <v/>
      </c>
      <c r="C155" s="25">
        <f>IF(OR($A155="",'04 Prices'!C155="",'04 Prices'!C156=""),"",'04 Prices'!C156/'04 Prices'!C155-1)</f>
        <v/>
      </c>
      <c r="D155" s="25">
        <f>IF(OR($A155="",'04 Prices'!D155="",'04 Prices'!D156=""),"",'04 Prices'!D156/'04 Prices'!D155-1)</f>
        <v/>
      </c>
      <c r="E155" s="25">
        <f>IF(OR($A155="",'04 Prices'!E155="",'04 Prices'!E156=""),"",'04 Prices'!E156/'04 Prices'!E155-1)</f>
        <v/>
      </c>
      <c r="F155" s="25">
        <f>IF(OR($A155="",'04 Prices'!F155="",'04 Prices'!F156=""),"",'04 Prices'!F156/'04 Prices'!F155-1)</f>
        <v/>
      </c>
      <c r="G155" s="25">
        <f>IF(OR($A155="",'04 Prices'!G155="",'04 Prices'!G156=""),"",'04 Prices'!G156/'04 Prices'!G155-1)</f>
        <v/>
      </c>
      <c r="H155" s="25">
        <f>IF(OR($A155="",'04 Prices'!H155="",'04 Prices'!H156=""),"",'04 Prices'!H156/'04 Prices'!H155-1)</f>
        <v/>
      </c>
    </row>
    <row r="156">
      <c r="A156" s="23">
        <f>IF('04 Prices'!A157="","",'04 Prices'!A157)</f>
        <v/>
      </c>
      <c r="B156" s="25">
        <f>IF(OR($A156="",'04 Prices'!B156="",'04 Prices'!B157=""),"",'04 Prices'!B157/'04 Prices'!B156-1)</f>
        <v/>
      </c>
      <c r="C156" s="25">
        <f>IF(OR($A156="",'04 Prices'!C156="",'04 Prices'!C157=""),"",'04 Prices'!C157/'04 Prices'!C156-1)</f>
        <v/>
      </c>
      <c r="D156" s="25">
        <f>IF(OR($A156="",'04 Prices'!D156="",'04 Prices'!D157=""),"",'04 Prices'!D157/'04 Prices'!D156-1)</f>
        <v/>
      </c>
      <c r="E156" s="25">
        <f>IF(OR($A156="",'04 Prices'!E156="",'04 Prices'!E157=""),"",'04 Prices'!E157/'04 Prices'!E156-1)</f>
        <v/>
      </c>
      <c r="F156" s="25">
        <f>IF(OR($A156="",'04 Prices'!F156="",'04 Prices'!F157=""),"",'04 Prices'!F157/'04 Prices'!F156-1)</f>
        <v/>
      </c>
      <c r="G156" s="25">
        <f>IF(OR($A156="",'04 Prices'!G156="",'04 Prices'!G157=""),"",'04 Prices'!G157/'04 Prices'!G156-1)</f>
        <v/>
      </c>
      <c r="H156" s="25">
        <f>IF(OR($A156="",'04 Prices'!H156="",'04 Prices'!H157=""),"",'04 Prices'!H157/'04 Prices'!H156-1)</f>
        <v/>
      </c>
    </row>
    <row r="157">
      <c r="A157" s="23">
        <f>IF('04 Prices'!A158="","",'04 Prices'!A158)</f>
        <v/>
      </c>
      <c r="B157" s="25">
        <f>IF(OR($A157="",'04 Prices'!B157="",'04 Prices'!B158=""),"",'04 Prices'!B158/'04 Prices'!B157-1)</f>
        <v/>
      </c>
      <c r="C157" s="25">
        <f>IF(OR($A157="",'04 Prices'!C157="",'04 Prices'!C158=""),"",'04 Prices'!C158/'04 Prices'!C157-1)</f>
        <v/>
      </c>
      <c r="D157" s="25">
        <f>IF(OR($A157="",'04 Prices'!D157="",'04 Prices'!D158=""),"",'04 Prices'!D158/'04 Prices'!D157-1)</f>
        <v/>
      </c>
      <c r="E157" s="25">
        <f>IF(OR($A157="",'04 Prices'!E157="",'04 Prices'!E158=""),"",'04 Prices'!E158/'04 Prices'!E157-1)</f>
        <v/>
      </c>
      <c r="F157" s="25">
        <f>IF(OR($A157="",'04 Prices'!F157="",'04 Prices'!F158=""),"",'04 Prices'!F158/'04 Prices'!F157-1)</f>
        <v/>
      </c>
      <c r="G157" s="25">
        <f>IF(OR($A157="",'04 Prices'!G157="",'04 Prices'!G158=""),"",'04 Prices'!G158/'04 Prices'!G157-1)</f>
        <v/>
      </c>
      <c r="H157" s="25">
        <f>IF(OR($A157="",'04 Prices'!H157="",'04 Prices'!H158=""),"",'04 Prices'!H158/'04 Prices'!H157-1)</f>
        <v/>
      </c>
    </row>
    <row r="158">
      <c r="A158" s="23">
        <f>IF('04 Prices'!A159="","",'04 Prices'!A159)</f>
        <v/>
      </c>
      <c r="B158" s="25">
        <f>IF(OR($A158="",'04 Prices'!B158="",'04 Prices'!B159=""),"",'04 Prices'!B159/'04 Prices'!B158-1)</f>
        <v/>
      </c>
      <c r="C158" s="25">
        <f>IF(OR($A158="",'04 Prices'!C158="",'04 Prices'!C159=""),"",'04 Prices'!C159/'04 Prices'!C158-1)</f>
        <v/>
      </c>
      <c r="D158" s="25">
        <f>IF(OR($A158="",'04 Prices'!D158="",'04 Prices'!D159=""),"",'04 Prices'!D159/'04 Prices'!D158-1)</f>
        <v/>
      </c>
      <c r="E158" s="25">
        <f>IF(OR($A158="",'04 Prices'!E158="",'04 Prices'!E159=""),"",'04 Prices'!E159/'04 Prices'!E158-1)</f>
        <v/>
      </c>
      <c r="F158" s="25">
        <f>IF(OR($A158="",'04 Prices'!F158="",'04 Prices'!F159=""),"",'04 Prices'!F159/'04 Prices'!F158-1)</f>
        <v/>
      </c>
      <c r="G158" s="25">
        <f>IF(OR($A158="",'04 Prices'!G158="",'04 Prices'!G159=""),"",'04 Prices'!G159/'04 Prices'!G158-1)</f>
        <v/>
      </c>
      <c r="H158" s="25">
        <f>IF(OR($A158="",'04 Prices'!H158="",'04 Prices'!H159=""),"",'04 Prices'!H159/'04 Prices'!H158-1)</f>
        <v/>
      </c>
    </row>
    <row r="159">
      <c r="A159" s="23">
        <f>IF('04 Prices'!A160="","",'04 Prices'!A160)</f>
        <v/>
      </c>
      <c r="B159" s="25">
        <f>IF(OR($A159="",'04 Prices'!B159="",'04 Prices'!B160=""),"",'04 Prices'!B160/'04 Prices'!B159-1)</f>
        <v/>
      </c>
      <c r="C159" s="25">
        <f>IF(OR($A159="",'04 Prices'!C159="",'04 Prices'!C160=""),"",'04 Prices'!C160/'04 Prices'!C159-1)</f>
        <v/>
      </c>
      <c r="D159" s="25">
        <f>IF(OR($A159="",'04 Prices'!D159="",'04 Prices'!D160=""),"",'04 Prices'!D160/'04 Prices'!D159-1)</f>
        <v/>
      </c>
      <c r="E159" s="25">
        <f>IF(OR($A159="",'04 Prices'!E159="",'04 Prices'!E160=""),"",'04 Prices'!E160/'04 Prices'!E159-1)</f>
        <v/>
      </c>
      <c r="F159" s="25">
        <f>IF(OR($A159="",'04 Prices'!F159="",'04 Prices'!F160=""),"",'04 Prices'!F160/'04 Prices'!F159-1)</f>
        <v/>
      </c>
      <c r="G159" s="25">
        <f>IF(OR($A159="",'04 Prices'!G159="",'04 Prices'!G160=""),"",'04 Prices'!G160/'04 Prices'!G159-1)</f>
        <v/>
      </c>
      <c r="H159" s="25">
        <f>IF(OR($A159="",'04 Prices'!H159="",'04 Prices'!H160=""),"",'04 Prices'!H160/'04 Prices'!H159-1)</f>
        <v/>
      </c>
    </row>
    <row r="160">
      <c r="A160" s="23">
        <f>IF('04 Prices'!A161="","",'04 Prices'!A161)</f>
        <v/>
      </c>
      <c r="B160" s="25">
        <f>IF(OR($A160="",'04 Prices'!B160="",'04 Prices'!B161=""),"",'04 Prices'!B161/'04 Prices'!B160-1)</f>
        <v/>
      </c>
      <c r="C160" s="25">
        <f>IF(OR($A160="",'04 Prices'!C160="",'04 Prices'!C161=""),"",'04 Prices'!C161/'04 Prices'!C160-1)</f>
        <v/>
      </c>
      <c r="D160" s="25">
        <f>IF(OR($A160="",'04 Prices'!D160="",'04 Prices'!D161=""),"",'04 Prices'!D161/'04 Prices'!D160-1)</f>
        <v/>
      </c>
      <c r="E160" s="25">
        <f>IF(OR($A160="",'04 Prices'!E160="",'04 Prices'!E161=""),"",'04 Prices'!E161/'04 Prices'!E160-1)</f>
        <v/>
      </c>
      <c r="F160" s="25">
        <f>IF(OR($A160="",'04 Prices'!F160="",'04 Prices'!F161=""),"",'04 Prices'!F161/'04 Prices'!F160-1)</f>
        <v/>
      </c>
      <c r="G160" s="25">
        <f>IF(OR($A160="",'04 Prices'!G160="",'04 Prices'!G161=""),"",'04 Prices'!G161/'04 Prices'!G160-1)</f>
        <v/>
      </c>
      <c r="H160" s="25">
        <f>IF(OR($A160="",'04 Prices'!H160="",'04 Prices'!H161=""),"",'04 Prices'!H161/'04 Prices'!H160-1)</f>
        <v/>
      </c>
    </row>
    <row r="161">
      <c r="A161" s="23">
        <f>IF('04 Prices'!A162="","",'04 Prices'!A162)</f>
        <v/>
      </c>
      <c r="B161" s="25">
        <f>IF(OR($A161="",'04 Prices'!B161="",'04 Prices'!B162=""),"",'04 Prices'!B162/'04 Prices'!B161-1)</f>
        <v/>
      </c>
      <c r="C161" s="25">
        <f>IF(OR($A161="",'04 Prices'!C161="",'04 Prices'!C162=""),"",'04 Prices'!C162/'04 Prices'!C161-1)</f>
        <v/>
      </c>
      <c r="D161" s="25">
        <f>IF(OR($A161="",'04 Prices'!D161="",'04 Prices'!D162=""),"",'04 Prices'!D162/'04 Prices'!D161-1)</f>
        <v/>
      </c>
      <c r="E161" s="25">
        <f>IF(OR($A161="",'04 Prices'!E161="",'04 Prices'!E162=""),"",'04 Prices'!E162/'04 Prices'!E161-1)</f>
        <v/>
      </c>
      <c r="F161" s="25">
        <f>IF(OR($A161="",'04 Prices'!F161="",'04 Prices'!F162=""),"",'04 Prices'!F162/'04 Prices'!F161-1)</f>
        <v/>
      </c>
      <c r="G161" s="25">
        <f>IF(OR($A161="",'04 Prices'!G161="",'04 Prices'!G162=""),"",'04 Prices'!G162/'04 Prices'!G161-1)</f>
        <v/>
      </c>
      <c r="H161" s="25">
        <f>IF(OR($A161="",'04 Prices'!H161="",'04 Prices'!H162=""),"",'04 Prices'!H162/'04 Prices'!H161-1)</f>
        <v/>
      </c>
    </row>
    <row r="162">
      <c r="A162" s="23">
        <f>IF('04 Prices'!A163="","",'04 Prices'!A163)</f>
        <v/>
      </c>
      <c r="B162" s="25">
        <f>IF(OR($A162="",'04 Prices'!B162="",'04 Prices'!B163=""),"",'04 Prices'!B163/'04 Prices'!B162-1)</f>
        <v/>
      </c>
      <c r="C162" s="25">
        <f>IF(OR($A162="",'04 Prices'!C162="",'04 Prices'!C163=""),"",'04 Prices'!C163/'04 Prices'!C162-1)</f>
        <v/>
      </c>
      <c r="D162" s="25">
        <f>IF(OR($A162="",'04 Prices'!D162="",'04 Prices'!D163=""),"",'04 Prices'!D163/'04 Prices'!D162-1)</f>
        <v/>
      </c>
      <c r="E162" s="25">
        <f>IF(OR($A162="",'04 Prices'!E162="",'04 Prices'!E163=""),"",'04 Prices'!E163/'04 Prices'!E162-1)</f>
        <v/>
      </c>
      <c r="F162" s="25">
        <f>IF(OR($A162="",'04 Prices'!F162="",'04 Prices'!F163=""),"",'04 Prices'!F163/'04 Prices'!F162-1)</f>
        <v/>
      </c>
      <c r="G162" s="25">
        <f>IF(OR($A162="",'04 Prices'!G162="",'04 Prices'!G163=""),"",'04 Prices'!G163/'04 Prices'!G162-1)</f>
        <v/>
      </c>
      <c r="H162" s="25">
        <f>IF(OR($A162="",'04 Prices'!H162="",'04 Prices'!H163=""),"",'04 Prices'!H163/'04 Prices'!H162-1)</f>
        <v/>
      </c>
    </row>
    <row r="163">
      <c r="A163" s="23">
        <f>IF('04 Prices'!A164="","",'04 Prices'!A164)</f>
        <v/>
      </c>
      <c r="B163" s="25">
        <f>IF(OR($A163="",'04 Prices'!B163="",'04 Prices'!B164=""),"",'04 Prices'!B164/'04 Prices'!B163-1)</f>
        <v/>
      </c>
      <c r="C163" s="25">
        <f>IF(OR($A163="",'04 Prices'!C163="",'04 Prices'!C164=""),"",'04 Prices'!C164/'04 Prices'!C163-1)</f>
        <v/>
      </c>
      <c r="D163" s="25">
        <f>IF(OR($A163="",'04 Prices'!D163="",'04 Prices'!D164=""),"",'04 Prices'!D164/'04 Prices'!D163-1)</f>
        <v/>
      </c>
      <c r="E163" s="25">
        <f>IF(OR($A163="",'04 Prices'!E163="",'04 Prices'!E164=""),"",'04 Prices'!E164/'04 Prices'!E163-1)</f>
        <v/>
      </c>
      <c r="F163" s="25">
        <f>IF(OR($A163="",'04 Prices'!F163="",'04 Prices'!F164=""),"",'04 Prices'!F164/'04 Prices'!F163-1)</f>
        <v/>
      </c>
      <c r="G163" s="25">
        <f>IF(OR($A163="",'04 Prices'!G163="",'04 Prices'!G164=""),"",'04 Prices'!G164/'04 Prices'!G163-1)</f>
        <v/>
      </c>
      <c r="H163" s="25">
        <f>IF(OR($A163="",'04 Prices'!H163="",'04 Prices'!H164=""),"",'04 Prices'!H164/'04 Prices'!H163-1)</f>
        <v/>
      </c>
    </row>
    <row r="164">
      <c r="A164" s="23">
        <f>IF('04 Prices'!A165="","",'04 Prices'!A165)</f>
        <v/>
      </c>
      <c r="B164" s="25">
        <f>IF(OR($A164="",'04 Prices'!B164="",'04 Prices'!B165=""),"",'04 Prices'!B165/'04 Prices'!B164-1)</f>
        <v/>
      </c>
      <c r="C164" s="25">
        <f>IF(OR($A164="",'04 Prices'!C164="",'04 Prices'!C165=""),"",'04 Prices'!C165/'04 Prices'!C164-1)</f>
        <v/>
      </c>
      <c r="D164" s="25">
        <f>IF(OR($A164="",'04 Prices'!D164="",'04 Prices'!D165=""),"",'04 Prices'!D165/'04 Prices'!D164-1)</f>
        <v/>
      </c>
      <c r="E164" s="25">
        <f>IF(OR($A164="",'04 Prices'!E164="",'04 Prices'!E165=""),"",'04 Prices'!E165/'04 Prices'!E164-1)</f>
        <v/>
      </c>
      <c r="F164" s="25">
        <f>IF(OR($A164="",'04 Prices'!F164="",'04 Prices'!F165=""),"",'04 Prices'!F165/'04 Prices'!F164-1)</f>
        <v/>
      </c>
      <c r="G164" s="25">
        <f>IF(OR($A164="",'04 Prices'!G164="",'04 Prices'!G165=""),"",'04 Prices'!G165/'04 Prices'!G164-1)</f>
        <v/>
      </c>
      <c r="H164" s="25">
        <f>IF(OR($A164="",'04 Prices'!H164="",'04 Prices'!H165=""),"",'04 Prices'!H165/'04 Prices'!H164-1)</f>
        <v/>
      </c>
    </row>
    <row r="165">
      <c r="A165" s="23">
        <f>IF('04 Prices'!A166="","",'04 Prices'!A166)</f>
        <v/>
      </c>
      <c r="B165" s="25">
        <f>IF(OR($A165="",'04 Prices'!B165="",'04 Prices'!B166=""),"",'04 Prices'!B166/'04 Prices'!B165-1)</f>
        <v/>
      </c>
      <c r="C165" s="25">
        <f>IF(OR($A165="",'04 Prices'!C165="",'04 Prices'!C166=""),"",'04 Prices'!C166/'04 Prices'!C165-1)</f>
        <v/>
      </c>
      <c r="D165" s="25">
        <f>IF(OR($A165="",'04 Prices'!D165="",'04 Prices'!D166=""),"",'04 Prices'!D166/'04 Prices'!D165-1)</f>
        <v/>
      </c>
      <c r="E165" s="25">
        <f>IF(OR($A165="",'04 Prices'!E165="",'04 Prices'!E166=""),"",'04 Prices'!E166/'04 Prices'!E165-1)</f>
        <v/>
      </c>
      <c r="F165" s="25">
        <f>IF(OR($A165="",'04 Prices'!F165="",'04 Prices'!F166=""),"",'04 Prices'!F166/'04 Prices'!F165-1)</f>
        <v/>
      </c>
      <c r="G165" s="25">
        <f>IF(OR($A165="",'04 Prices'!G165="",'04 Prices'!G166=""),"",'04 Prices'!G166/'04 Prices'!G165-1)</f>
        <v/>
      </c>
      <c r="H165" s="25">
        <f>IF(OR($A165="",'04 Prices'!H165="",'04 Prices'!H166=""),"",'04 Prices'!H166/'04 Prices'!H165-1)</f>
        <v/>
      </c>
    </row>
    <row r="166">
      <c r="A166" s="23">
        <f>IF('04 Prices'!A167="","",'04 Prices'!A167)</f>
        <v/>
      </c>
      <c r="B166" s="25">
        <f>IF(OR($A166="",'04 Prices'!B166="",'04 Prices'!B167=""),"",'04 Prices'!B167/'04 Prices'!B166-1)</f>
        <v/>
      </c>
      <c r="C166" s="25">
        <f>IF(OR($A166="",'04 Prices'!C166="",'04 Prices'!C167=""),"",'04 Prices'!C167/'04 Prices'!C166-1)</f>
        <v/>
      </c>
      <c r="D166" s="25">
        <f>IF(OR($A166="",'04 Prices'!D166="",'04 Prices'!D167=""),"",'04 Prices'!D167/'04 Prices'!D166-1)</f>
        <v/>
      </c>
      <c r="E166" s="25">
        <f>IF(OR($A166="",'04 Prices'!E166="",'04 Prices'!E167=""),"",'04 Prices'!E167/'04 Prices'!E166-1)</f>
        <v/>
      </c>
      <c r="F166" s="25">
        <f>IF(OR($A166="",'04 Prices'!F166="",'04 Prices'!F167=""),"",'04 Prices'!F167/'04 Prices'!F166-1)</f>
        <v/>
      </c>
      <c r="G166" s="25">
        <f>IF(OR($A166="",'04 Prices'!G166="",'04 Prices'!G167=""),"",'04 Prices'!G167/'04 Prices'!G166-1)</f>
        <v/>
      </c>
      <c r="H166" s="25">
        <f>IF(OR($A166="",'04 Prices'!H166="",'04 Prices'!H167=""),"",'04 Prices'!H167/'04 Prices'!H166-1)</f>
        <v/>
      </c>
    </row>
    <row r="167">
      <c r="A167" s="23">
        <f>IF('04 Prices'!A168="","",'04 Prices'!A168)</f>
        <v/>
      </c>
      <c r="B167" s="25">
        <f>IF(OR($A167="",'04 Prices'!B167="",'04 Prices'!B168=""),"",'04 Prices'!B168/'04 Prices'!B167-1)</f>
        <v/>
      </c>
      <c r="C167" s="25">
        <f>IF(OR($A167="",'04 Prices'!C167="",'04 Prices'!C168=""),"",'04 Prices'!C168/'04 Prices'!C167-1)</f>
        <v/>
      </c>
      <c r="D167" s="25">
        <f>IF(OR($A167="",'04 Prices'!D167="",'04 Prices'!D168=""),"",'04 Prices'!D168/'04 Prices'!D167-1)</f>
        <v/>
      </c>
      <c r="E167" s="25">
        <f>IF(OR($A167="",'04 Prices'!E167="",'04 Prices'!E168=""),"",'04 Prices'!E168/'04 Prices'!E167-1)</f>
        <v/>
      </c>
      <c r="F167" s="25">
        <f>IF(OR($A167="",'04 Prices'!F167="",'04 Prices'!F168=""),"",'04 Prices'!F168/'04 Prices'!F167-1)</f>
        <v/>
      </c>
      <c r="G167" s="25">
        <f>IF(OR($A167="",'04 Prices'!G167="",'04 Prices'!G168=""),"",'04 Prices'!G168/'04 Prices'!G167-1)</f>
        <v/>
      </c>
      <c r="H167" s="25">
        <f>IF(OR($A167="",'04 Prices'!H167="",'04 Prices'!H168=""),"",'04 Prices'!H168/'04 Prices'!H167-1)</f>
        <v/>
      </c>
    </row>
    <row r="168">
      <c r="A168" s="23">
        <f>IF('04 Prices'!A169="","",'04 Prices'!A169)</f>
        <v/>
      </c>
      <c r="B168" s="25">
        <f>IF(OR($A168="",'04 Prices'!B168="",'04 Prices'!B169=""),"",'04 Prices'!B169/'04 Prices'!B168-1)</f>
        <v/>
      </c>
      <c r="C168" s="25">
        <f>IF(OR($A168="",'04 Prices'!C168="",'04 Prices'!C169=""),"",'04 Prices'!C169/'04 Prices'!C168-1)</f>
        <v/>
      </c>
      <c r="D168" s="25">
        <f>IF(OR($A168="",'04 Prices'!D168="",'04 Prices'!D169=""),"",'04 Prices'!D169/'04 Prices'!D168-1)</f>
        <v/>
      </c>
      <c r="E168" s="25">
        <f>IF(OR($A168="",'04 Prices'!E168="",'04 Prices'!E169=""),"",'04 Prices'!E169/'04 Prices'!E168-1)</f>
        <v/>
      </c>
      <c r="F168" s="25">
        <f>IF(OR($A168="",'04 Prices'!F168="",'04 Prices'!F169=""),"",'04 Prices'!F169/'04 Prices'!F168-1)</f>
        <v/>
      </c>
      <c r="G168" s="25">
        <f>IF(OR($A168="",'04 Prices'!G168="",'04 Prices'!G169=""),"",'04 Prices'!G169/'04 Prices'!G168-1)</f>
        <v/>
      </c>
      <c r="H168" s="25">
        <f>IF(OR($A168="",'04 Prices'!H168="",'04 Prices'!H169=""),"",'04 Prices'!H169/'04 Prices'!H168-1)</f>
        <v/>
      </c>
    </row>
    <row r="169">
      <c r="A169" s="23">
        <f>IF('04 Prices'!A170="","",'04 Prices'!A170)</f>
        <v/>
      </c>
      <c r="B169" s="25">
        <f>IF(OR($A169="",'04 Prices'!B169="",'04 Prices'!B170=""),"",'04 Prices'!B170/'04 Prices'!B169-1)</f>
        <v/>
      </c>
      <c r="C169" s="25">
        <f>IF(OR($A169="",'04 Prices'!C169="",'04 Prices'!C170=""),"",'04 Prices'!C170/'04 Prices'!C169-1)</f>
        <v/>
      </c>
      <c r="D169" s="25">
        <f>IF(OR($A169="",'04 Prices'!D169="",'04 Prices'!D170=""),"",'04 Prices'!D170/'04 Prices'!D169-1)</f>
        <v/>
      </c>
      <c r="E169" s="25">
        <f>IF(OR($A169="",'04 Prices'!E169="",'04 Prices'!E170=""),"",'04 Prices'!E170/'04 Prices'!E169-1)</f>
        <v/>
      </c>
      <c r="F169" s="25">
        <f>IF(OR($A169="",'04 Prices'!F169="",'04 Prices'!F170=""),"",'04 Prices'!F170/'04 Prices'!F169-1)</f>
        <v/>
      </c>
      <c r="G169" s="25">
        <f>IF(OR($A169="",'04 Prices'!G169="",'04 Prices'!G170=""),"",'04 Prices'!G170/'04 Prices'!G169-1)</f>
        <v/>
      </c>
      <c r="H169" s="25">
        <f>IF(OR($A169="",'04 Prices'!H169="",'04 Prices'!H170=""),"",'04 Prices'!H170/'04 Prices'!H169-1)</f>
        <v/>
      </c>
    </row>
    <row r="170">
      <c r="A170" s="23">
        <f>IF('04 Prices'!A171="","",'04 Prices'!A171)</f>
        <v/>
      </c>
      <c r="B170" s="25">
        <f>IF(OR($A170="",'04 Prices'!B170="",'04 Prices'!B171=""),"",'04 Prices'!B171/'04 Prices'!B170-1)</f>
        <v/>
      </c>
      <c r="C170" s="25">
        <f>IF(OR($A170="",'04 Prices'!C170="",'04 Prices'!C171=""),"",'04 Prices'!C171/'04 Prices'!C170-1)</f>
        <v/>
      </c>
      <c r="D170" s="25">
        <f>IF(OR($A170="",'04 Prices'!D170="",'04 Prices'!D171=""),"",'04 Prices'!D171/'04 Prices'!D170-1)</f>
        <v/>
      </c>
      <c r="E170" s="25">
        <f>IF(OR($A170="",'04 Prices'!E170="",'04 Prices'!E171=""),"",'04 Prices'!E171/'04 Prices'!E170-1)</f>
        <v/>
      </c>
      <c r="F170" s="25">
        <f>IF(OR($A170="",'04 Prices'!F170="",'04 Prices'!F171=""),"",'04 Prices'!F171/'04 Prices'!F170-1)</f>
        <v/>
      </c>
      <c r="G170" s="25">
        <f>IF(OR($A170="",'04 Prices'!G170="",'04 Prices'!G171=""),"",'04 Prices'!G171/'04 Prices'!G170-1)</f>
        <v/>
      </c>
      <c r="H170" s="25">
        <f>IF(OR($A170="",'04 Prices'!H170="",'04 Prices'!H171=""),"",'04 Prices'!H171/'04 Prices'!H170-1)</f>
        <v/>
      </c>
    </row>
    <row r="171">
      <c r="A171" s="23">
        <f>IF('04 Prices'!A172="","",'04 Prices'!A172)</f>
        <v/>
      </c>
      <c r="B171" s="25">
        <f>IF(OR($A171="",'04 Prices'!B171="",'04 Prices'!B172=""),"",'04 Prices'!B172/'04 Prices'!B171-1)</f>
        <v/>
      </c>
      <c r="C171" s="25">
        <f>IF(OR($A171="",'04 Prices'!C171="",'04 Prices'!C172=""),"",'04 Prices'!C172/'04 Prices'!C171-1)</f>
        <v/>
      </c>
      <c r="D171" s="25">
        <f>IF(OR($A171="",'04 Prices'!D171="",'04 Prices'!D172=""),"",'04 Prices'!D172/'04 Prices'!D171-1)</f>
        <v/>
      </c>
      <c r="E171" s="25">
        <f>IF(OR($A171="",'04 Prices'!E171="",'04 Prices'!E172=""),"",'04 Prices'!E172/'04 Prices'!E171-1)</f>
        <v/>
      </c>
      <c r="F171" s="25">
        <f>IF(OR($A171="",'04 Prices'!F171="",'04 Prices'!F172=""),"",'04 Prices'!F172/'04 Prices'!F171-1)</f>
        <v/>
      </c>
      <c r="G171" s="25">
        <f>IF(OR($A171="",'04 Prices'!G171="",'04 Prices'!G172=""),"",'04 Prices'!G172/'04 Prices'!G171-1)</f>
        <v/>
      </c>
      <c r="H171" s="25">
        <f>IF(OR($A171="",'04 Prices'!H171="",'04 Prices'!H172=""),"",'04 Prices'!H172/'04 Prices'!H171-1)</f>
        <v/>
      </c>
    </row>
    <row r="172">
      <c r="A172" s="23">
        <f>IF('04 Prices'!A173="","",'04 Prices'!A173)</f>
        <v/>
      </c>
      <c r="B172" s="25">
        <f>IF(OR($A172="",'04 Prices'!B172="",'04 Prices'!B173=""),"",'04 Prices'!B173/'04 Prices'!B172-1)</f>
        <v/>
      </c>
      <c r="C172" s="25">
        <f>IF(OR($A172="",'04 Prices'!C172="",'04 Prices'!C173=""),"",'04 Prices'!C173/'04 Prices'!C172-1)</f>
        <v/>
      </c>
      <c r="D172" s="25">
        <f>IF(OR($A172="",'04 Prices'!D172="",'04 Prices'!D173=""),"",'04 Prices'!D173/'04 Prices'!D172-1)</f>
        <v/>
      </c>
      <c r="E172" s="25">
        <f>IF(OR($A172="",'04 Prices'!E172="",'04 Prices'!E173=""),"",'04 Prices'!E173/'04 Prices'!E172-1)</f>
        <v/>
      </c>
      <c r="F172" s="25">
        <f>IF(OR($A172="",'04 Prices'!F172="",'04 Prices'!F173=""),"",'04 Prices'!F173/'04 Prices'!F172-1)</f>
        <v/>
      </c>
      <c r="G172" s="25">
        <f>IF(OR($A172="",'04 Prices'!G172="",'04 Prices'!G173=""),"",'04 Prices'!G173/'04 Prices'!G172-1)</f>
        <v/>
      </c>
      <c r="H172" s="25">
        <f>IF(OR($A172="",'04 Prices'!H172="",'04 Prices'!H173=""),"",'04 Prices'!H173/'04 Prices'!H172-1)</f>
        <v/>
      </c>
    </row>
    <row r="173">
      <c r="A173" s="23">
        <f>IF('04 Prices'!A174="","",'04 Prices'!A174)</f>
        <v/>
      </c>
      <c r="B173" s="25">
        <f>IF(OR($A173="",'04 Prices'!B173="",'04 Prices'!B174=""),"",'04 Prices'!B174/'04 Prices'!B173-1)</f>
        <v/>
      </c>
      <c r="C173" s="25">
        <f>IF(OR($A173="",'04 Prices'!C173="",'04 Prices'!C174=""),"",'04 Prices'!C174/'04 Prices'!C173-1)</f>
        <v/>
      </c>
      <c r="D173" s="25">
        <f>IF(OR($A173="",'04 Prices'!D173="",'04 Prices'!D174=""),"",'04 Prices'!D174/'04 Prices'!D173-1)</f>
        <v/>
      </c>
      <c r="E173" s="25">
        <f>IF(OR($A173="",'04 Prices'!E173="",'04 Prices'!E174=""),"",'04 Prices'!E174/'04 Prices'!E173-1)</f>
        <v/>
      </c>
      <c r="F173" s="25">
        <f>IF(OR($A173="",'04 Prices'!F173="",'04 Prices'!F174=""),"",'04 Prices'!F174/'04 Prices'!F173-1)</f>
        <v/>
      </c>
      <c r="G173" s="25">
        <f>IF(OR($A173="",'04 Prices'!G173="",'04 Prices'!G174=""),"",'04 Prices'!G174/'04 Prices'!G173-1)</f>
        <v/>
      </c>
      <c r="H173" s="25">
        <f>IF(OR($A173="",'04 Prices'!H173="",'04 Prices'!H174=""),"",'04 Prices'!H174/'04 Prices'!H173-1)</f>
        <v/>
      </c>
    </row>
    <row r="174">
      <c r="A174" s="23">
        <f>IF('04 Prices'!A175="","",'04 Prices'!A175)</f>
        <v/>
      </c>
      <c r="B174" s="25">
        <f>IF(OR($A174="",'04 Prices'!B174="",'04 Prices'!B175=""),"",'04 Prices'!B175/'04 Prices'!B174-1)</f>
        <v/>
      </c>
      <c r="C174" s="25">
        <f>IF(OR($A174="",'04 Prices'!C174="",'04 Prices'!C175=""),"",'04 Prices'!C175/'04 Prices'!C174-1)</f>
        <v/>
      </c>
      <c r="D174" s="25">
        <f>IF(OR($A174="",'04 Prices'!D174="",'04 Prices'!D175=""),"",'04 Prices'!D175/'04 Prices'!D174-1)</f>
        <v/>
      </c>
      <c r="E174" s="25">
        <f>IF(OR($A174="",'04 Prices'!E174="",'04 Prices'!E175=""),"",'04 Prices'!E175/'04 Prices'!E174-1)</f>
        <v/>
      </c>
      <c r="F174" s="25">
        <f>IF(OR($A174="",'04 Prices'!F174="",'04 Prices'!F175=""),"",'04 Prices'!F175/'04 Prices'!F174-1)</f>
        <v/>
      </c>
      <c r="G174" s="25">
        <f>IF(OR($A174="",'04 Prices'!G174="",'04 Prices'!G175=""),"",'04 Prices'!G175/'04 Prices'!G174-1)</f>
        <v/>
      </c>
      <c r="H174" s="25">
        <f>IF(OR($A174="",'04 Prices'!H174="",'04 Prices'!H175=""),"",'04 Prices'!H175/'04 Prices'!H174-1)</f>
        <v/>
      </c>
    </row>
    <row r="175">
      <c r="A175" s="23">
        <f>IF('04 Prices'!A176="","",'04 Prices'!A176)</f>
        <v/>
      </c>
      <c r="B175" s="25">
        <f>IF(OR($A175="",'04 Prices'!B175="",'04 Prices'!B176=""),"",'04 Prices'!B176/'04 Prices'!B175-1)</f>
        <v/>
      </c>
      <c r="C175" s="25">
        <f>IF(OR($A175="",'04 Prices'!C175="",'04 Prices'!C176=""),"",'04 Prices'!C176/'04 Prices'!C175-1)</f>
        <v/>
      </c>
      <c r="D175" s="25">
        <f>IF(OR($A175="",'04 Prices'!D175="",'04 Prices'!D176=""),"",'04 Prices'!D176/'04 Prices'!D175-1)</f>
        <v/>
      </c>
      <c r="E175" s="25">
        <f>IF(OR($A175="",'04 Prices'!E175="",'04 Prices'!E176=""),"",'04 Prices'!E176/'04 Prices'!E175-1)</f>
        <v/>
      </c>
      <c r="F175" s="25">
        <f>IF(OR($A175="",'04 Prices'!F175="",'04 Prices'!F176=""),"",'04 Prices'!F176/'04 Prices'!F175-1)</f>
        <v/>
      </c>
      <c r="G175" s="25">
        <f>IF(OR($A175="",'04 Prices'!G175="",'04 Prices'!G176=""),"",'04 Prices'!G176/'04 Prices'!G175-1)</f>
        <v/>
      </c>
      <c r="H175" s="25">
        <f>IF(OR($A175="",'04 Prices'!H175="",'04 Prices'!H176=""),"",'04 Prices'!H176/'04 Prices'!H175-1)</f>
        <v/>
      </c>
    </row>
    <row r="176">
      <c r="A176" s="23">
        <f>IF('04 Prices'!A177="","",'04 Prices'!A177)</f>
        <v/>
      </c>
      <c r="B176" s="25">
        <f>IF(OR($A176="",'04 Prices'!B176="",'04 Prices'!B177=""),"",'04 Prices'!B177/'04 Prices'!B176-1)</f>
        <v/>
      </c>
      <c r="C176" s="25">
        <f>IF(OR($A176="",'04 Prices'!C176="",'04 Prices'!C177=""),"",'04 Prices'!C177/'04 Prices'!C176-1)</f>
        <v/>
      </c>
      <c r="D176" s="25">
        <f>IF(OR($A176="",'04 Prices'!D176="",'04 Prices'!D177=""),"",'04 Prices'!D177/'04 Prices'!D176-1)</f>
        <v/>
      </c>
      <c r="E176" s="25">
        <f>IF(OR($A176="",'04 Prices'!E176="",'04 Prices'!E177=""),"",'04 Prices'!E177/'04 Prices'!E176-1)</f>
        <v/>
      </c>
      <c r="F176" s="25">
        <f>IF(OR($A176="",'04 Prices'!F176="",'04 Prices'!F177=""),"",'04 Prices'!F177/'04 Prices'!F176-1)</f>
        <v/>
      </c>
      <c r="G176" s="25">
        <f>IF(OR($A176="",'04 Prices'!G176="",'04 Prices'!G177=""),"",'04 Prices'!G177/'04 Prices'!G176-1)</f>
        <v/>
      </c>
      <c r="H176" s="25">
        <f>IF(OR($A176="",'04 Prices'!H176="",'04 Prices'!H177=""),"",'04 Prices'!H177/'04 Prices'!H176-1)</f>
        <v/>
      </c>
    </row>
    <row r="177">
      <c r="A177" s="23">
        <f>IF('04 Prices'!A178="","",'04 Prices'!A178)</f>
        <v/>
      </c>
      <c r="B177" s="25">
        <f>IF(OR($A177="",'04 Prices'!B177="",'04 Prices'!B178=""),"",'04 Prices'!B178/'04 Prices'!B177-1)</f>
        <v/>
      </c>
      <c r="C177" s="25">
        <f>IF(OR($A177="",'04 Prices'!C177="",'04 Prices'!C178=""),"",'04 Prices'!C178/'04 Prices'!C177-1)</f>
        <v/>
      </c>
      <c r="D177" s="25">
        <f>IF(OR($A177="",'04 Prices'!D177="",'04 Prices'!D178=""),"",'04 Prices'!D178/'04 Prices'!D177-1)</f>
        <v/>
      </c>
      <c r="E177" s="25">
        <f>IF(OR($A177="",'04 Prices'!E177="",'04 Prices'!E178=""),"",'04 Prices'!E178/'04 Prices'!E177-1)</f>
        <v/>
      </c>
      <c r="F177" s="25">
        <f>IF(OR($A177="",'04 Prices'!F177="",'04 Prices'!F178=""),"",'04 Prices'!F178/'04 Prices'!F177-1)</f>
        <v/>
      </c>
      <c r="G177" s="25">
        <f>IF(OR($A177="",'04 Prices'!G177="",'04 Prices'!G178=""),"",'04 Prices'!G178/'04 Prices'!G177-1)</f>
        <v/>
      </c>
      <c r="H177" s="25">
        <f>IF(OR($A177="",'04 Prices'!H177="",'04 Prices'!H178=""),"",'04 Prices'!H178/'04 Prices'!H177-1)</f>
        <v/>
      </c>
    </row>
    <row r="178">
      <c r="A178" s="23">
        <f>IF('04 Prices'!A179="","",'04 Prices'!A179)</f>
        <v/>
      </c>
      <c r="B178" s="25">
        <f>IF(OR($A178="",'04 Prices'!B178="",'04 Prices'!B179=""),"",'04 Prices'!B179/'04 Prices'!B178-1)</f>
        <v/>
      </c>
      <c r="C178" s="25">
        <f>IF(OR($A178="",'04 Prices'!C178="",'04 Prices'!C179=""),"",'04 Prices'!C179/'04 Prices'!C178-1)</f>
        <v/>
      </c>
      <c r="D178" s="25">
        <f>IF(OR($A178="",'04 Prices'!D178="",'04 Prices'!D179=""),"",'04 Prices'!D179/'04 Prices'!D178-1)</f>
        <v/>
      </c>
      <c r="E178" s="25">
        <f>IF(OR($A178="",'04 Prices'!E178="",'04 Prices'!E179=""),"",'04 Prices'!E179/'04 Prices'!E178-1)</f>
        <v/>
      </c>
      <c r="F178" s="25">
        <f>IF(OR($A178="",'04 Prices'!F178="",'04 Prices'!F179=""),"",'04 Prices'!F179/'04 Prices'!F178-1)</f>
        <v/>
      </c>
      <c r="G178" s="25">
        <f>IF(OR($A178="",'04 Prices'!G178="",'04 Prices'!G179=""),"",'04 Prices'!G179/'04 Prices'!G178-1)</f>
        <v/>
      </c>
      <c r="H178" s="25">
        <f>IF(OR($A178="",'04 Prices'!H178="",'04 Prices'!H179=""),"",'04 Prices'!H179/'04 Prices'!H178-1)</f>
        <v/>
      </c>
    </row>
    <row r="179">
      <c r="A179" s="23">
        <f>IF('04 Prices'!A180="","",'04 Prices'!A180)</f>
        <v/>
      </c>
      <c r="B179" s="25">
        <f>IF(OR($A179="",'04 Prices'!B179="",'04 Prices'!B180=""),"",'04 Prices'!B180/'04 Prices'!B179-1)</f>
        <v/>
      </c>
      <c r="C179" s="25">
        <f>IF(OR($A179="",'04 Prices'!C179="",'04 Prices'!C180=""),"",'04 Prices'!C180/'04 Prices'!C179-1)</f>
        <v/>
      </c>
      <c r="D179" s="25">
        <f>IF(OR($A179="",'04 Prices'!D179="",'04 Prices'!D180=""),"",'04 Prices'!D180/'04 Prices'!D179-1)</f>
        <v/>
      </c>
      <c r="E179" s="25">
        <f>IF(OR($A179="",'04 Prices'!E179="",'04 Prices'!E180=""),"",'04 Prices'!E180/'04 Prices'!E179-1)</f>
        <v/>
      </c>
      <c r="F179" s="25">
        <f>IF(OR($A179="",'04 Prices'!F179="",'04 Prices'!F180=""),"",'04 Prices'!F180/'04 Prices'!F179-1)</f>
        <v/>
      </c>
      <c r="G179" s="25">
        <f>IF(OR($A179="",'04 Prices'!G179="",'04 Prices'!G180=""),"",'04 Prices'!G180/'04 Prices'!G179-1)</f>
        <v/>
      </c>
      <c r="H179" s="25">
        <f>IF(OR($A179="",'04 Prices'!H179="",'04 Prices'!H180=""),"",'04 Prices'!H180/'04 Prices'!H179-1)</f>
        <v/>
      </c>
    </row>
    <row r="180">
      <c r="A180" s="23">
        <f>IF('04 Prices'!A181="","",'04 Prices'!A181)</f>
        <v/>
      </c>
      <c r="B180" s="25">
        <f>IF(OR($A180="",'04 Prices'!B180="",'04 Prices'!B181=""),"",'04 Prices'!B181/'04 Prices'!B180-1)</f>
        <v/>
      </c>
      <c r="C180" s="25">
        <f>IF(OR($A180="",'04 Prices'!C180="",'04 Prices'!C181=""),"",'04 Prices'!C181/'04 Prices'!C180-1)</f>
        <v/>
      </c>
      <c r="D180" s="25">
        <f>IF(OR($A180="",'04 Prices'!D180="",'04 Prices'!D181=""),"",'04 Prices'!D181/'04 Prices'!D180-1)</f>
        <v/>
      </c>
      <c r="E180" s="25">
        <f>IF(OR($A180="",'04 Prices'!E180="",'04 Prices'!E181=""),"",'04 Prices'!E181/'04 Prices'!E180-1)</f>
        <v/>
      </c>
      <c r="F180" s="25">
        <f>IF(OR($A180="",'04 Prices'!F180="",'04 Prices'!F181=""),"",'04 Prices'!F181/'04 Prices'!F180-1)</f>
        <v/>
      </c>
      <c r="G180" s="25">
        <f>IF(OR($A180="",'04 Prices'!G180="",'04 Prices'!G181=""),"",'04 Prices'!G181/'04 Prices'!G180-1)</f>
        <v/>
      </c>
      <c r="H180" s="25">
        <f>IF(OR($A180="",'04 Prices'!H180="",'04 Prices'!H181=""),"",'04 Prices'!H181/'04 Prices'!H180-1)</f>
        <v/>
      </c>
    </row>
    <row r="181">
      <c r="A181" s="23">
        <f>IF('04 Prices'!A182="","",'04 Prices'!A182)</f>
        <v/>
      </c>
      <c r="B181" s="25">
        <f>IF(OR($A181="",'04 Prices'!B181="",'04 Prices'!B182=""),"",'04 Prices'!B182/'04 Prices'!B181-1)</f>
        <v/>
      </c>
      <c r="C181" s="25">
        <f>IF(OR($A181="",'04 Prices'!C181="",'04 Prices'!C182=""),"",'04 Prices'!C182/'04 Prices'!C181-1)</f>
        <v/>
      </c>
      <c r="D181" s="25">
        <f>IF(OR($A181="",'04 Prices'!D181="",'04 Prices'!D182=""),"",'04 Prices'!D182/'04 Prices'!D181-1)</f>
        <v/>
      </c>
      <c r="E181" s="25">
        <f>IF(OR($A181="",'04 Prices'!E181="",'04 Prices'!E182=""),"",'04 Prices'!E182/'04 Prices'!E181-1)</f>
        <v/>
      </c>
      <c r="F181" s="25">
        <f>IF(OR($A181="",'04 Prices'!F181="",'04 Prices'!F182=""),"",'04 Prices'!F182/'04 Prices'!F181-1)</f>
        <v/>
      </c>
      <c r="G181" s="25">
        <f>IF(OR($A181="",'04 Prices'!G181="",'04 Prices'!G182=""),"",'04 Prices'!G182/'04 Prices'!G181-1)</f>
        <v/>
      </c>
      <c r="H181" s="25">
        <f>IF(OR($A181="",'04 Prices'!H181="",'04 Prices'!H182=""),"",'04 Prices'!H182/'04 Prices'!H181-1)</f>
        <v/>
      </c>
    </row>
    <row r="182">
      <c r="A182" s="23">
        <f>IF('04 Prices'!A183="","",'04 Prices'!A183)</f>
        <v/>
      </c>
      <c r="B182" s="25">
        <f>IF(OR($A182="",'04 Prices'!B182="",'04 Prices'!B183=""),"",'04 Prices'!B183/'04 Prices'!B182-1)</f>
        <v/>
      </c>
      <c r="C182" s="25">
        <f>IF(OR($A182="",'04 Prices'!C182="",'04 Prices'!C183=""),"",'04 Prices'!C183/'04 Prices'!C182-1)</f>
        <v/>
      </c>
      <c r="D182" s="25">
        <f>IF(OR($A182="",'04 Prices'!D182="",'04 Prices'!D183=""),"",'04 Prices'!D183/'04 Prices'!D182-1)</f>
        <v/>
      </c>
      <c r="E182" s="25">
        <f>IF(OR($A182="",'04 Prices'!E182="",'04 Prices'!E183=""),"",'04 Prices'!E183/'04 Prices'!E182-1)</f>
        <v/>
      </c>
      <c r="F182" s="25">
        <f>IF(OR($A182="",'04 Prices'!F182="",'04 Prices'!F183=""),"",'04 Prices'!F183/'04 Prices'!F182-1)</f>
        <v/>
      </c>
      <c r="G182" s="25">
        <f>IF(OR($A182="",'04 Prices'!G182="",'04 Prices'!G183=""),"",'04 Prices'!G183/'04 Prices'!G182-1)</f>
        <v/>
      </c>
      <c r="H182" s="25">
        <f>IF(OR($A182="",'04 Prices'!H182="",'04 Prices'!H183=""),"",'04 Prices'!H183/'04 Prices'!H182-1)</f>
        <v/>
      </c>
    </row>
    <row r="183">
      <c r="A183" s="23">
        <f>IF('04 Prices'!A184="","",'04 Prices'!A184)</f>
        <v/>
      </c>
      <c r="B183" s="25">
        <f>IF(OR($A183="",'04 Prices'!B183="",'04 Prices'!B184=""),"",'04 Prices'!B184/'04 Prices'!B183-1)</f>
        <v/>
      </c>
      <c r="C183" s="25">
        <f>IF(OR($A183="",'04 Prices'!C183="",'04 Prices'!C184=""),"",'04 Prices'!C184/'04 Prices'!C183-1)</f>
        <v/>
      </c>
      <c r="D183" s="25">
        <f>IF(OR($A183="",'04 Prices'!D183="",'04 Prices'!D184=""),"",'04 Prices'!D184/'04 Prices'!D183-1)</f>
        <v/>
      </c>
      <c r="E183" s="25">
        <f>IF(OR($A183="",'04 Prices'!E183="",'04 Prices'!E184=""),"",'04 Prices'!E184/'04 Prices'!E183-1)</f>
        <v/>
      </c>
      <c r="F183" s="25">
        <f>IF(OR($A183="",'04 Prices'!F183="",'04 Prices'!F184=""),"",'04 Prices'!F184/'04 Prices'!F183-1)</f>
        <v/>
      </c>
      <c r="G183" s="25">
        <f>IF(OR($A183="",'04 Prices'!G183="",'04 Prices'!G184=""),"",'04 Prices'!G184/'04 Prices'!G183-1)</f>
        <v/>
      </c>
      <c r="H183" s="25">
        <f>IF(OR($A183="",'04 Prices'!H183="",'04 Prices'!H184=""),"",'04 Prices'!H184/'04 Prices'!H183-1)</f>
        <v/>
      </c>
    </row>
    <row r="184">
      <c r="A184" s="23">
        <f>IF('04 Prices'!A185="","",'04 Prices'!A185)</f>
        <v/>
      </c>
      <c r="B184" s="25">
        <f>IF(OR($A184="",'04 Prices'!B184="",'04 Prices'!B185=""),"",'04 Prices'!B185/'04 Prices'!B184-1)</f>
        <v/>
      </c>
      <c r="C184" s="25">
        <f>IF(OR($A184="",'04 Prices'!C184="",'04 Prices'!C185=""),"",'04 Prices'!C185/'04 Prices'!C184-1)</f>
        <v/>
      </c>
      <c r="D184" s="25">
        <f>IF(OR($A184="",'04 Prices'!D184="",'04 Prices'!D185=""),"",'04 Prices'!D185/'04 Prices'!D184-1)</f>
        <v/>
      </c>
      <c r="E184" s="25">
        <f>IF(OR($A184="",'04 Prices'!E184="",'04 Prices'!E185=""),"",'04 Prices'!E185/'04 Prices'!E184-1)</f>
        <v/>
      </c>
      <c r="F184" s="25">
        <f>IF(OR($A184="",'04 Prices'!F184="",'04 Prices'!F185=""),"",'04 Prices'!F185/'04 Prices'!F184-1)</f>
        <v/>
      </c>
      <c r="G184" s="25">
        <f>IF(OR($A184="",'04 Prices'!G184="",'04 Prices'!G185=""),"",'04 Prices'!G185/'04 Prices'!G184-1)</f>
        <v/>
      </c>
      <c r="H184" s="25">
        <f>IF(OR($A184="",'04 Prices'!H184="",'04 Prices'!H185=""),"",'04 Prices'!H185/'04 Prices'!H184-1)</f>
        <v/>
      </c>
    </row>
    <row r="185">
      <c r="A185" s="23">
        <f>IF('04 Prices'!A186="","",'04 Prices'!A186)</f>
        <v/>
      </c>
      <c r="B185" s="25">
        <f>IF(OR($A185="",'04 Prices'!B185="",'04 Prices'!B186=""),"",'04 Prices'!B186/'04 Prices'!B185-1)</f>
        <v/>
      </c>
      <c r="C185" s="25">
        <f>IF(OR($A185="",'04 Prices'!C185="",'04 Prices'!C186=""),"",'04 Prices'!C186/'04 Prices'!C185-1)</f>
        <v/>
      </c>
      <c r="D185" s="25">
        <f>IF(OR($A185="",'04 Prices'!D185="",'04 Prices'!D186=""),"",'04 Prices'!D186/'04 Prices'!D185-1)</f>
        <v/>
      </c>
      <c r="E185" s="25">
        <f>IF(OR($A185="",'04 Prices'!E185="",'04 Prices'!E186=""),"",'04 Prices'!E186/'04 Prices'!E185-1)</f>
        <v/>
      </c>
      <c r="F185" s="25">
        <f>IF(OR($A185="",'04 Prices'!F185="",'04 Prices'!F186=""),"",'04 Prices'!F186/'04 Prices'!F185-1)</f>
        <v/>
      </c>
      <c r="G185" s="25">
        <f>IF(OR($A185="",'04 Prices'!G185="",'04 Prices'!G186=""),"",'04 Prices'!G186/'04 Prices'!G185-1)</f>
        <v/>
      </c>
      <c r="H185" s="25">
        <f>IF(OR($A185="",'04 Prices'!H185="",'04 Prices'!H186=""),"",'04 Prices'!H186/'04 Prices'!H185-1)</f>
        <v/>
      </c>
    </row>
    <row r="186">
      <c r="A186" s="23">
        <f>IF('04 Prices'!A187="","",'04 Prices'!A187)</f>
        <v/>
      </c>
      <c r="B186" s="25">
        <f>IF(OR($A186="",'04 Prices'!B186="",'04 Prices'!B187=""),"",'04 Prices'!B187/'04 Prices'!B186-1)</f>
        <v/>
      </c>
      <c r="C186" s="25">
        <f>IF(OR($A186="",'04 Prices'!C186="",'04 Prices'!C187=""),"",'04 Prices'!C187/'04 Prices'!C186-1)</f>
        <v/>
      </c>
      <c r="D186" s="25">
        <f>IF(OR($A186="",'04 Prices'!D186="",'04 Prices'!D187=""),"",'04 Prices'!D187/'04 Prices'!D186-1)</f>
        <v/>
      </c>
      <c r="E186" s="25">
        <f>IF(OR($A186="",'04 Prices'!E186="",'04 Prices'!E187=""),"",'04 Prices'!E187/'04 Prices'!E186-1)</f>
        <v/>
      </c>
      <c r="F186" s="25">
        <f>IF(OR($A186="",'04 Prices'!F186="",'04 Prices'!F187=""),"",'04 Prices'!F187/'04 Prices'!F186-1)</f>
        <v/>
      </c>
      <c r="G186" s="25">
        <f>IF(OR($A186="",'04 Prices'!G186="",'04 Prices'!G187=""),"",'04 Prices'!G187/'04 Prices'!G186-1)</f>
        <v/>
      </c>
      <c r="H186" s="25">
        <f>IF(OR($A186="",'04 Prices'!H186="",'04 Prices'!H187=""),"",'04 Prices'!H187/'04 Prices'!H186-1)</f>
        <v/>
      </c>
    </row>
    <row r="187">
      <c r="A187" s="23">
        <f>IF('04 Prices'!A188="","",'04 Prices'!A188)</f>
        <v/>
      </c>
      <c r="B187" s="25">
        <f>IF(OR($A187="",'04 Prices'!B187="",'04 Prices'!B188=""),"",'04 Prices'!B188/'04 Prices'!B187-1)</f>
        <v/>
      </c>
      <c r="C187" s="25">
        <f>IF(OR($A187="",'04 Prices'!C187="",'04 Prices'!C188=""),"",'04 Prices'!C188/'04 Prices'!C187-1)</f>
        <v/>
      </c>
      <c r="D187" s="25">
        <f>IF(OR($A187="",'04 Prices'!D187="",'04 Prices'!D188=""),"",'04 Prices'!D188/'04 Prices'!D187-1)</f>
        <v/>
      </c>
      <c r="E187" s="25">
        <f>IF(OR($A187="",'04 Prices'!E187="",'04 Prices'!E188=""),"",'04 Prices'!E188/'04 Prices'!E187-1)</f>
        <v/>
      </c>
      <c r="F187" s="25">
        <f>IF(OR($A187="",'04 Prices'!F187="",'04 Prices'!F188=""),"",'04 Prices'!F188/'04 Prices'!F187-1)</f>
        <v/>
      </c>
      <c r="G187" s="25">
        <f>IF(OR($A187="",'04 Prices'!G187="",'04 Prices'!G188=""),"",'04 Prices'!G188/'04 Prices'!G187-1)</f>
        <v/>
      </c>
      <c r="H187" s="25">
        <f>IF(OR($A187="",'04 Prices'!H187="",'04 Prices'!H188=""),"",'04 Prices'!H188/'04 Prices'!H187-1)</f>
        <v/>
      </c>
    </row>
    <row r="188">
      <c r="A188" s="23">
        <f>IF('04 Prices'!A189="","",'04 Prices'!A189)</f>
        <v/>
      </c>
      <c r="B188" s="25">
        <f>IF(OR($A188="",'04 Prices'!B188="",'04 Prices'!B189=""),"",'04 Prices'!B189/'04 Prices'!B188-1)</f>
        <v/>
      </c>
      <c r="C188" s="25">
        <f>IF(OR($A188="",'04 Prices'!C188="",'04 Prices'!C189=""),"",'04 Prices'!C189/'04 Prices'!C188-1)</f>
        <v/>
      </c>
      <c r="D188" s="25">
        <f>IF(OR($A188="",'04 Prices'!D188="",'04 Prices'!D189=""),"",'04 Prices'!D189/'04 Prices'!D188-1)</f>
        <v/>
      </c>
      <c r="E188" s="25">
        <f>IF(OR($A188="",'04 Prices'!E188="",'04 Prices'!E189=""),"",'04 Prices'!E189/'04 Prices'!E188-1)</f>
        <v/>
      </c>
      <c r="F188" s="25">
        <f>IF(OR($A188="",'04 Prices'!F188="",'04 Prices'!F189=""),"",'04 Prices'!F189/'04 Prices'!F188-1)</f>
        <v/>
      </c>
      <c r="G188" s="25">
        <f>IF(OR($A188="",'04 Prices'!G188="",'04 Prices'!G189=""),"",'04 Prices'!G189/'04 Prices'!G188-1)</f>
        <v/>
      </c>
      <c r="H188" s="25">
        <f>IF(OR($A188="",'04 Prices'!H188="",'04 Prices'!H189=""),"",'04 Prices'!H189/'04 Prices'!H188-1)</f>
        <v/>
      </c>
    </row>
    <row r="189">
      <c r="A189" s="23">
        <f>IF('04 Prices'!A190="","",'04 Prices'!A190)</f>
        <v/>
      </c>
      <c r="B189" s="25">
        <f>IF(OR($A189="",'04 Prices'!B189="",'04 Prices'!B190=""),"",'04 Prices'!B190/'04 Prices'!B189-1)</f>
        <v/>
      </c>
      <c r="C189" s="25">
        <f>IF(OR($A189="",'04 Prices'!C189="",'04 Prices'!C190=""),"",'04 Prices'!C190/'04 Prices'!C189-1)</f>
        <v/>
      </c>
      <c r="D189" s="25">
        <f>IF(OR($A189="",'04 Prices'!D189="",'04 Prices'!D190=""),"",'04 Prices'!D190/'04 Prices'!D189-1)</f>
        <v/>
      </c>
      <c r="E189" s="25">
        <f>IF(OR($A189="",'04 Prices'!E189="",'04 Prices'!E190=""),"",'04 Prices'!E190/'04 Prices'!E189-1)</f>
        <v/>
      </c>
      <c r="F189" s="25">
        <f>IF(OR($A189="",'04 Prices'!F189="",'04 Prices'!F190=""),"",'04 Prices'!F190/'04 Prices'!F189-1)</f>
        <v/>
      </c>
      <c r="G189" s="25">
        <f>IF(OR($A189="",'04 Prices'!G189="",'04 Prices'!G190=""),"",'04 Prices'!G190/'04 Prices'!G189-1)</f>
        <v/>
      </c>
      <c r="H189" s="25">
        <f>IF(OR($A189="",'04 Prices'!H189="",'04 Prices'!H190=""),"",'04 Prices'!H190/'04 Prices'!H189-1)</f>
        <v/>
      </c>
    </row>
    <row r="190">
      <c r="A190" s="23">
        <f>IF('04 Prices'!A191="","",'04 Prices'!A191)</f>
        <v/>
      </c>
      <c r="B190" s="25">
        <f>IF(OR($A190="",'04 Prices'!B190="",'04 Prices'!B191=""),"",'04 Prices'!B191/'04 Prices'!B190-1)</f>
        <v/>
      </c>
      <c r="C190" s="25">
        <f>IF(OR($A190="",'04 Prices'!C190="",'04 Prices'!C191=""),"",'04 Prices'!C191/'04 Prices'!C190-1)</f>
        <v/>
      </c>
      <c r="D190" s="25">
        <f>IF(OR($A190="",'04 Prices'!D190="",'04 Prices'!D191=""),"",'04 Prices'!D191/'04 Prices'!D190-1)</f>
        <v/>
      </c>
      <c r="E190" s="25">
        <f>IF(OR($A190="",'04 Prices'!E190="",'04 Prices'!E191=""),"",'04 Prices'!E191/'04 Prices'!E190-1)</f>
        <v/>
      </c>
      <c r="F190" s="25">
        <f>IF(OR($A190="",'04 Prices'!F190="",'04 Prices'!F191=""),"",'04 Prices'!F191/'04 Prices'!F190-1)</f>
        <v/>
      </c>
      <c r="G190" s="25">
        <f>IF(OR($A190="",'04 Prices'!G190="",'04 Prices'!G191=""),"",'04 Prices'!G191/'04 Prices'!G190-1)</f>
        <v/>
      </c>
      <c r="H190" s="25">
        <f>IF(OR($A190="",'04 Prices'!H190="",'04 Prices'!H191=""),"",'04 Prices'!H191/'04 Prices'!H190-1)</f>
        <v/>
      </c>
    </row>
    <row r="191">
      <c r="A191" s="23">
        <f>IF('04 Prices'!A192="","",'04 Prices'!A192)</f>
        <v/>
      </c>
      <c r="B191" s="25">
        <f>IF(OR($A191="",'04 Prices'!B191="",'04 Prices'!B192=""),"",'04 Prices'!B192/'04 Prices'!B191-1)</f>
        <v/>
      </c>
      <c r="C191" s="25">
        <f>IF(OR($A191="",'04 Prices'!C191="",'04 Prices'!C192=""),"",'04 Prices'!C192/'04 Prices'!C191-1)</f>
        <v/>
      </c>
      <c r="D191" s="25">
        <f>IF(OR($A191="",'04 Prices'!D191="",'04 Prices'!D192=""),"",'04 Prices'!D192/'04 Prices'!D191-1)</f>
        <v/>
      </c>
      <c r="E191" s="25">
        <f>IF(OR($A191="",'04 Prices'!E191="",'04 Prices'!E192=""),"",'04 Prices'!E192/'04 Prices'!E191-1)</f>
        <v/>
      </c>
      <c r="F191" s="25">
        <f>IF(OR($A191="",'04 Prices'!F191="",'04 Prices'!F192=""),"",'04 Prices'!F192/'04 Prices'!F191-1)</f>
        <v/>
      </c>
      <c r="G191" s="25">
        <f>IF(OR($A191="",'04 Prices'!G191="",'04 Prices'!G192=""),"",'04 Prices'!G192/'04 Prices'!G191-1)</f>
        <v/>
      </c>
      <c r="H191" s="25">
        <f>IF(OR($A191="",'04 Prices'!H191="",'04 Prices'!H192=""),"",'04 Prices'!H192/'04 Prices'!H191-1)</f>
        <v/>
      </c>
    </row>
    <row r="192">
      <c r="A192" s="23">
        <f>IF('04 Prices'!A193="","",'04 Prices'!A193)</f>
        <v/>
      </c>
      <c r="B192" s="25">
        <f>IF(OR($A192="",'04 Prices'!B192="",'04 Prices'!B193=""),"",'04 Prices'!B193/'04 Prices'!B192-1)</f>
        <v/>
      </c>
      <c r="C192" s="25">
        <f>IF(OR($A192="",'04 Prices'!C192="",'04 Prices'!C193=""),"",'04 Prices'!C193/'04 Prices'!C192-1)</f>
        <v/>
      </c>
      <c r="D192" s="25">
        <f>IF(OR($A192="",'04 Prices'!D192="",'04 Prices'!D193=""),"",'04 Prices'!D193/'04 Prices'!D192-1)</f>
        <v/>
      </c>
      <c r="E192" s="25">
        <f>IF(OR($A192="",'04 Prices'!E192="",'04 Prices'!E193=""),"",'04 Prices'!E193/'04 Prices'!E192-1)</f>
        <v/>
      </c>
      <c r="F192" s="25">
        <f>IF(OR($A192="",'04 Prices'!F192="",'04 Prices'!F193=""),"",'04 Prices'!F193/'04 Prices'!F192-1)</f>
        <v/>
      </c>
      <c r="G192" s="25">
        <f>IF(OR($A192="",'04 Prices'!G192="",'04 Prices'!G193=""),"",'04 Prices'!G193/'04 Prices'!G192-1)</f>
        <v/>
      </c>
      <c r="H192" s="25">
        <f>IF(OR($A192="",'04 Prices'!H192="",'04 Prices'!H193=""),"",'04 Prices'!H193/'04 Prices'!H192-1)</f>
        <v/>
      </c>
    </row>
    <row r="193">
      <c r="A193" s="23">
        <f>IF('04 Prices'!A194="","",'04 Prices'!A194)</f>
        <v/>
      </c>
      <c r="B193" s="25">
        <f>IF(OR($A193="",'04 Prices'!B193="",'04 Prices'!B194=""),"",'04 Prices'!B194/'04 Prices'!B193-1)</f>
        <v/>
      </c>
      <c r="C193" s="25">
        <f>IF(OR($A193="",'04 Prices'!C193="",'04 Prices'!C194=""),"",'04 Prices'!C194/'04 Prices'!C193-1)</f>
        <v/>
      </c>
      <c r="D193" s="25">
        <f>IF(OR($A193="",'04 Prices'!D193="",'04 Prices'!D194=""),"",'04 Prices'!D194/'04 Prices'!D193-1)</f>
        <v/>
      </c>
      <c r="E193" s="25">
        <f>IF(OR($A193="",'04 Prices'!E193="",'04 Prices'!E194=""),"",'04 Prices'!E194/'04 Prices'!E193-1)</f>
        <v/>
      </c>
      <c r="F193" s="25">
        <f>IF(OR($A193="",'04 Prices'!F193="",'04 Prices'!F194=""),"",'04 Prices'!F194/'04 Prices'!F193-1)</f>
        <v/>
      </c>
      <c r="G193" s="25">
        <f>IF(OR($A193="",'04 Prices'!G193="",'04 Prices'!G194=""),"",'04 Prices'!G194/'04 Prices'!G193-1)</f>
        <v/>
      </c>
      <c r="H193" s="25">
        <f>IF(OR($A193="",'04 Prices'!H193="",'04 Prices'!H194=""),"",'04 Prices'!H194/'04 Prices'!H193-1)</f>
        <v/>
      </c>
    </row>
    <row r="194">
      <c r="A194" s="23">
        <f>IF('04 Prices'!A195="","",'04 Prices'!A195)</f>
        <v/>
      </c>
      <c r="B194" s="25">
        <f>IF(OR($A194="",'04 Prices'!B194="",'04 Prices'!B195=""),"",'04 Prices'!B195/'04 Prices'!B194-1)</f>
        <v/>
      </c>
      <c r="C194" s="25">
        <f>IF(OR($A194="",'04 Prices'!C194="",'04 Prices'!C195=""),"",'04 Prices'!C195/'04 Prices'!C194-1)</f>
        <v/>
      </c>
      <c r="D194" s="25">
        <f>IF(OR($A194="",'04 Prices'!D194="",'04 Prices'!D195=""),"",'04 Prices'!D195/'04 Prices'!D194-1)</f>
        <v/>
      </c>
      <c r="E194" s="25">
        <f>IF(OR($A194="",'04 Prices'!E194="",'04 Prices'!E195=""),"",'04 Prices'!E195/'04 Prices'!E194-1)</f>
        <v/>
      </c>
      <c r="F194" s="25">
        <f>IF(OR($A194="",'04 Prices'!F194="",'04 Prices'!F195=""),"",'04 Prices'!F195/'04 Prices'!F194-1)</f>
        <v/>
      </c>
      <c r="G194" s="25">
        <f>IF(OR($A194="",'04 Prices'!G194="",'04 Prices'!G195=""),"",'04 Prices'!G195/'04 Prices'!G194-1)</f>
        <v/>
      </c>
      <c r="H194" s="25">
        <f>IF(OR($A194="",'04 Prices'!H194="",'04 Prices'!H195=""),"",'04 Prices'!H195/'04 Prices'!H194-1)</f>
        <v/>
      </c>
    </row>
    <row r="195">
      <c r="A195" s="23">
        <f>IF('04 Prices'!A196="","",'04 Prices'!A196)</f>
        <v/>
      </c>
      <c r="B195" s="25">
        <f>IF(OR($A195="",'04 Prices'!B195="",'04 Prices'!B196=""),"",'04 Prices'!B196/'04 Prices'!B195-1)</f>
        <v/>
      </c>
      <c r="C195" s="25">
        <f>IF(OR($A195="",'04 Prices'!C195="",'04 Prices'!C196=""),"",'04 Prices'!C196/'04 Prices'!C195-1)</f>
        <v/>
      </c>
      <c r="D195" s="25">
        <f>IF(OR($A195="",'04 Prices'!D195="",'04 Prices'!D196=""),"",'04 Prices'!D196/'04 Prices'!D195-1)</f>
        <v/>
      </c>
      <c r="E195" s="25">
        <f>IF(OR($A195="",'04 Prices'!E195="",'04 Prices'!E196=""),"",'04 Prices'!E196/'04 Prices'!E195-1)</f>
        <v/>
      </c>
      <c r="F195" s="25">
        <f>IF(OR($A195="",'04 Prices'!F195="",'04 Prices'!F196=""),"",'04 Prices'!F196/'04 Prices'!F195-1)</f>
        <v/>
      </c>
      <c r="G195" s="25">
        <f>IF(OR($A195="",'04 Prices'!G195="",'04 Prices'!G196=""),"",'04 Prices'!G196/'04 Prices'!G195-1)</f>
        <v/>
      </c>
      <c r="H195" s="25">
        <f>IF(OR($A195="",'04 Prices'!H195="",'04 Prices'!H196=""),"",'04 Prices'!H196/'04 Prices'!H195-1)</f>
        <v/>
      </c>
    </row>
    <row r="196">
      <c r="A196" s="23">
        <f>IF('04 Prices'!A197="","",'04 Prices'!A197)</f>
        <v/>
      </c>
      <c r="B196" s="25">
        <f>IF(OR($A196="",'04 Prices'!B196="",'04 Prices'!B197=""),"",'04 Prices'!B197/'04 Prices'!B196-1)</f>
        <v/>
      </c>
      <c r="C196" s="25">
        <f>IF(OR($A196="",'04 Prices'!C196="",'04 Prices'!C197=""),"",'04 Prices'!C197/'04 Prices'!C196-1)</f>
        <v/>
      </c>
      <c r="D196" s="25">
        <f>IF(OR($A196="",'04 Prices'!D196="",'04 Prices'!D197=""),"",'04 Prices'!D197/'04 Prices'!D196-1)</f>
        <v/>
      </c>
      <c r="E196" s="25">
        <f>IF(OR($A196="",'04 Prices'!E196="",'04 Prices'!E197=""),"",'04 Prices'!E197/'04 Prices'!E196-1)</f>
        <v/>
      </c>
      <c r="F196" s="25">
        <f>IF(OR($A196="",'04 Prices'!F196="",'04 Prices'!F197=""),"",'04 Prices'!F197/'04 Prices'!F196-1)</f>
        <v/>
      </c>
      <c r="G196" s="25">
        <f>IF(OR($A196="",'04 Prices'!G196="",'04 Prices'!G197=""),"",'04 Prices'!G197/'04 Prices'!G196-1)</f>
        <v/>
      </c>
      <c r="H196" s="25">
        <f>IF(OR($A196="",'04 Prices'!H196="",'04 Prices'!H197=""),"",'04 Prices'!H197/'04 Prices'!H196-1)</f>
        <v/>
      </c>
    </row>
    <row r="197">
      <c r="A197" s="23">
        <f>IF('04 Prices'!A198="","",'04 Prices'!A198)</f>
        <v/>
      </c>
      <c r="B197" s="25">
        <f>IF(OR($A197="",'04 Prices'!B197="",'04 Prices'!B198=""),"",'04 Prices'!B198/'04 Prices'!B197-1)</f>
        <v/>
      </c>
      <c r="C197" s="25">
        <f>IF(OR($A197="",'04 Prices'!C197="",'04 Prices'!C198=""),"",'04 Prices'!C198/'04 Prices'!C197-1)</f>
        <v/>
      </c>
      <c r="D197" s="25">
        <f>IF(OR($A197="",'04 Prices'!D197="",'04 Prices'!D198=""),"",'04 Prices'!D198/'04 Prices'!D197-1)</f>
        <v/>
      </c>
      <c r="E197" s="25">
        <f>IF(OR($A197="",'04 Prices'!E197="",'04 Prices'!E198=""),"",'04 Prices'!E198/'04 Prices'!E197-1)</f>
        <v/>
      </c>
      <c r="F197" s="25">
        <f>IF(OR($A197="",'04 Prices'!F197="",'04 Prices'!F198=""),"",'04 Prices'!F198/'04 Prices'!F197-1)</f>
        <v/>
      </c>
      <c r="G197" s="25">
        <f>IF(OR($A197="",'04 Prices'!G197="",'04 Prices'!G198=""),"",'04 Prices'!G198/'04 Prices'!G197-1)</f>
        <v/>
      </c>
      <c r="H197" s="25">
        <f>IF(OR($A197="",'04 Prices'!H197="",'04 Prices'!H198=""),"",'04 Prices'!H198/'04 Prices'!H197-1)</f>
        <v/>
      </c>
    </row>
    <row r="198">
      <c r="A198" s="23">
        <f>IF('04 Prices'!A199="","",'04 Prices'!A199)</f>
        <v/>
      </c>
      <c r="B198" s="25">
        <f>IF(OR($A198="",'04 Prices'!B198="",'04 Prices'!B199=""),"",'04 Prices'!B199/'04 Prices'!B198-1)</f>
        <v/>
      </c>
      <c r="C198" s="25">
        <f>IF(OR($A198="",'04 Prices'!C198="",'04 Prices'!C199=""),"",'04 Prices'!C199/'04 Prices'!C198-1)</f>
        <v/>
      </c>
      <c r="D198" s="25">
        <f>IF(OR($A198="",'04 Prices'!D198="",'04 Prices'!D199=""),"",'04 Prices'!D199/'04 Prices'!D198-1)</f>
        <v/>
      </c>
      <c r="E198" s="25">
        <f>IF(OR($A198="",'04 Prices'!E198="",'04 Prices'!E199=""),"",'04 Prices'!E199/'04 Prices'!E198-1)</f>
        <v/>
      </c>
      <c r="F198" s="25">
        <f>IF(OR($A198="",'04 Prices'!F198="",'04 Prices'!F199=""),"",'04 Prices'!F199/'04 Prices'!F198-1)</f>
        <v/>
      </c>
      <c r="G198" s="25">
        <f>IF(OR($A198="",'04 Prices'!G198="",'04 Prices'!G199=""),"",'04 Prices'!G199/'04 Prices'!G198-1)</f>
        <v/>
      </c>
      <c r="H198" s="25">
        <f>IF(OR($A198="",'04 Prices'!H198="",'04 Prices'!H199=""),"",'04 Prices'!H199/'04 Prices'!H198-1)</f>
        <v/>
      </c>
    </row>
    <row r="199">
      <c r="A199" s="23">
        <f>IF('04 Prices'!A200="","",'04 Prices'!A200)</f>
        <v/>
      </c>
      <c r="B199" s="25">
        <f>IF(OR($A199="",'04 Prices'!B199="",'04 Prices'!B200=""),"",'04 Prices'!B200/'04 Prices'!B199-1)</f>
        <v/>
      </c>
      <c r="C199" s="25">
        <f>IF(OR($A199="",'04 Prices'!C199="",'04 Prices'!C200=""),"",'04 Prices'!C200/'04 Prices'!C199-1)</f>
        <v/>
      </c>
      <c r="D199" s="25">
        <f>IF(OR($A199="",'04 Prices'!D199="",'04 Prices'!D200=""),"",'04 Prices'!D200/'04 Prices'!D199-1)</f>
        <v/>
      </c>
      <c r="E199" s="25">
        <f>IF(OR($A199="",'04 Prices'!E199="",'04 Prices'!E200=""),"",'04 Prices'!E200/'04 Prices'!E199-1)</f>
        <v/>
      </c>
      <c r="F199" s="25">
        <f>IF(OR($A199="",'04 Prices'!F199="",'04 Prices'!F200=""),"",'04 Prices'!F200/'04 Prices'!F199-1)</f>
        <v/>
      </c>
      <c r="G199" s="25">
        <f>IF(OR($A199="",'04 Prices'!G199="",'04 Prices'!G200=""),"",'04 Prices'!G200/'04 Prices'!G199-1)</f>
        <v/>
      </c>
      <c r="H199" s="25">
        <f>IF(OR($A199="",'04 Prices'!H199="",'04 Prices'!H200=""),"",'04 Prices'!H200/'04 Prices'!H199-1)</f>
        <v/>
      </c>
    </row>
    <row r="200">
      <c r="A200" s="23">
        <f>IF('04 Prices'!A201="","",'04 Prices'!A201)</f>
        <v/>
      </c>
      <c r="B200" s="25">
        <f>IF(OR($A200="",'04 Prices'!B200="",'04 Prices'!B201=""),"",'04 Prices'!B201/'04 Prices'!B200-1)</f>
        <v/>
      </c>
      <c r="C200" s="25">
        <f>IF(OR($A200="",'04 Prices'!C200="",'04 Prices'!C201=""),"",'04 Prices'!C201/'04 Prices'!C200-1)</f>
        <v/>
      </c>
      <c r="D200" s="25">
        <f>IF(OR($A200="",'04 Prices'!D200="",'04 Prices'!D201=""),"",'04 Prices'!D201/'04 Prices'!D200-1)</f>
        <v/>
      </c>
      <c r="E200" s="25">
        <f>IF(OR($A200="",'04 Prices'!E200="",'04 Prices'!E201=""),"",'04 Prices'!E201/'04 Prices'!E200-1)</f>
        <v/>
      </c>
      <c r="F200" s="25">
        <f>IF(OR($A200="",'04 Prices'!F200="",'04 Prices'!F201=""),"",'04 Prices'!F201/'04 Prices'!F200-1)</f>
        <v/>
      </c>
      <c r="G200" s="25">
        <f>IF(OR($A200="",'04 Prices'!G200="",'04 Prices'!G201=""),"",'04 Prices'!G201/'04 Prices'!G200-1)</f>
        <v/>
      </c>
      <c r="H200" s="25">
        <f>IF(OR($A200="",'04 Prices'!H200="",'04 Prices'!H201=""),"",'04 Prices'!H201/'04 Prices'!H200-1)</f>
        <v/>
      </c>
    </row>
    <row r="201">
      <c r="A201" s="23">
        <f>IF('04 Prices'!A202="","",'04 Prices'!A202)</f>
        <v/>
      </c>
      <c r="B201" s="25">
        <f>IF(OR($A201="",'04 Prices'!B201="",'04 Prices'!B202=""),"",'04 Prices'!B202/'04 Prices'!B201-1)</f>
        <v/>
      </c>
      <c r="C201" s="25">
        <f>IF(OR($A201="",'04 Prices'!C201="",'04 Prices'!C202=""),"",'04 Prices'!C202/'04 Prices'!C201-1)</f>
        <v/>
      </c>
      <c r="D201" s="25">
        <f>IF(OR($A201="",'04 Prices'!D201="",'04 Prices'!D202=""),"",'04 Prices'!D202/'04 Prices'!D201-1)</f>
        <v/>
      </c>
      <c r="E201" s="25">
        <f>IF(OR($A201="",'04 Prices'!E201="",'04 Prices'!E202=""),"",'04 Prices'!E202/'04 Prices'!E201-1)</f>
        <v/>
      </c>
      <c r="F201" s="25">
        <f>IF(OR($A201="",'04 Prices'!F201="",'04 Prices'!F202=""),"",'04 Prices'!F202/'04 Prices'!F201-1)</f>
        <v/>
      </c>
      <c r="G201" s="25">
        <f>IF(OR($A201="",'04 Prices'!G201="",'04 Prices'!G202=""),"",'04 Prices'!G202/'04 Prices'!G201-1)</f>
        <v/>
      </c>
      <c r="H201" s="25">
        <f>IF(OR($A201="",'04 Prices'!H201="",'04 Prices'!H202=""),"",'04 Prices'!H202/'04 Prices'!H201-1)</f>
        <v/>
      </c>
    </row>
    <row r="202">
      <c r="A202" s="23">
        <f>IF('04 Prices'!A203="","",'04 Prices'!A203)</f>
        <v/>
      </c>
      <c r="B202" s="25">
        <f>IF(OR($A202="",'04 Prices'!B202="",'04 Prices'!B203=""),"",'04 Prices'!B203/'04 Prices'!B202-1)</f>
        <v/>
      </c>
      <c r="C202" s="25">
        <f>IF(OR($A202="",'04 Prices'!C202="",'04 Prices'!C203=""),"",'04 Prices'!C203/'04 Prices'!C202-1)</f>
        <v/>
      </c>
      <c r="D202" s="25">
        <f>IF(OR($A202="",'04 Prices'!D202="",'04 Prices'!D203=""),"",'04 Prices'!D203/'04 Prices'!D202-1)</f>
        <v/>
      </c>
      <c r="E202" s="25">
        <f>IF(OR($A202="",'04 Prices'!E202="",'04 Prices'!E203=""),"",'04 Prices'!E203/'04 Prices'!E202-1)</f>
        <v/>
      </c>
      <c r="F202" s="25">
        <f>IF(OR($A202="",'04 Prices'!F202="",'04 Prices'!F203=""),"",'04 Prices'!F203/'04 Prices'!F202-1)</f>
        <v/>
      </c>
      <c r="G202" s="25">
        <f>IF(OR($A202="",'04 Prices'!G202="",'04 Prices'!G203=""),"",'04 Prices'!G203/'04 Prices'!G202-1)</f>
        <v/>
      </c>
      <c r="H202" s="25">
        <f>IF(OR($A202="",'04 Prices'!H202="",'04 Prices'!H203=""),"",'04 Prices'!H203/'04 Prices'!H202-1)</f>
        <v/>
      </c>
    </row>
    <row r="203">
      <c r="A203" s="23">
        <f>IF('04 Prices'!A204="","",'04 Prices'!A204)</f>
        <v/>
      </c>
      <c r="B203" s="25">
        <f>IF(OR($A203="",'04 Prices'!B203="",'04 Prices'!B204=""),"",'04 Prices'!B204/'04 Prices'!B203-1)</f>
        <v/>
      </c>
      <c r="C203" s="25">
        <f>IF(OR($A203="",'04 Prices'!C203="",'04 Prices'!C204=""),"",'04 Prices'!C204/'04 Prices'!C203-1)</f>
        <v/>
      </c>
      <c r="D203" s="25">
        <f>IF(OR($A203="",'04 Prices'!D203="",'04 Prices'!D204=""),"",'04 Prices'!D204/'04 Prices'!D203-1)</f>
        <v/>
      </c>
      <c r="E203" s="25">
        <f>IF(OR($A203="",'04 Prices'!E203="",'04 Prices'!E204=""),"",'04 Prices'!E204/'04 Prices'!E203-1)</f>
        <v/>
      </c>
      <c r="F203" s="25">
        <f>IF(OR($A203="",'04 Prices'!F203="",'04 Prices'!F204=""),"",'04 Prices'!F204/'04 Prices'!F203-1)</f>
        <v/>
      </c>
      <c r="G203" s="25">
        <f>IF(OR($A203="",'04 Prices'!G203="",'04 Prices'!G204=""),"",'04 Prices'!G204/'04 Prices'!G203-1)</f>
        <v/>
      </c>
      <c r="H203" s="25">
        <f>IF(OR($A203="",'04 Prices'!H203="",'04 Prices'!H204=""),"",'04 Prices'!H204/'04 Prices'!H203-1)</f>
        <v/>
      </c>
    </row>
    <row r="204">
      <c r="A204" s="23">
        <f>IF('04 Prices'!A205="","",'04 Prices'!A205)</f>
        <v/>
      </c>
      <c r="B204" s="25">
        <f>IF(OR($A204="",'04 Prices'!B204="",'04 Prices'!B205=""),"",'04 Prices'!B205/'04 Prices'!B204-1)</f>
        <v/>
      </c>
      <c r="C204" s="25">
        <f>IF(OR($A204="",'04 Prices'!C204="",'04 Prices'!C205=""),"",'04 Prices'!C205/'04 Prices'!C204-1)</f>
        <v/>
      </c>
      <c r="D204" s="25">
        <f>IF(OR($A204="",'04 Prices'!D204="",'04 Prices'!D205=""),"",'04 Prices'!D205/'04 Prices'!D204-1)</f>
        <v/>
      </c>
      <c r="E204" s="25">
        <f>IF(OR($A204="",'04 Prices'!E204="",'04 Prices'!E205=""),"",'04 Prices'!E205/'04 Prices'!E204-1)</f>
        <v/>
      </c>
      <c r="F204" s="25">
        <f>IF(OR($A204="",'04 Prices'!F204="",'04 Prices'!F205=""),"",'04 Prices'!F205/'04 Prices'!F204-1)</f>
        <v/>
      </c>
      <c r="G204" s="25">
        <f>IF(OR($A204="",'04 Prices'!G204="",'04 Prices'!G205=""),"",'04 Prices'!G205/'04 Prices'!G204-1)</f>
        <v/>
      </c>
      <c r="H204" s="25">
        <f>IF(OR($A204="",'04 Prices'!H204="",'04 Prices'!H205=""),"",'04 Prices'!H205/'04 Prices'!H204-1)</f>
        <v/>
      </c>
    </row>
    <row r="205">
      <c r="A205" s="23">
        <f>IF('04 Prices'!A206="","",'04 Prices'!A206)</f>
        <v/>
      </c>
      <c r="B205" s="25">
        <f>IF(OR($A205="",'04 Prices'!B205="",'04 Prices'!B206=""),"",'04 Prices'!B206/'04 Prices'!B205-1)</f>
        <v/>
      </c>
      <c r="C205" s="25">
        <f>IF(OR($A205="",'04 Prices'!C205="",'04 Prices'!C206=""),"",'04 Prices'!C206/'04 Prices'!C205-1)</f>
        <v/>
      </c>
      <c r="D205" s="25">
        <f>IF(OR($A205="",'04 Prices'!D205="",'04 Prices'!D206=""),"",'04 Prices'!D206/'04 Prices'!D205-1)</f>
        <v/>
      </c>
      <c r="E205" s="25">
        <f>IF(OR($A205="",'04 Prices'!E205="",'04 Prices'!E206=""),"",'04 Prices'!E206/'04 Prices'!E205-1)</f>
        <v/>
      </c>
      <c r="F205" s="25">
        <f>IF(OR($A205="",'04 Prices'!F205="",'04 Prices'!F206=""),"",'04 Prices'!F206/'04 Prices'!F205-1)</f>
        <v/>
      </c>
      <c r="G205" s="25">
        <f>IF(OR($A205="",'04 Prices'!G205="",'04 Prices'!G206=""),"",'04 Prices'!G206/'04 Prices'!G205-1)</f>
        <v/>
      </c>
      <c r="H205" s="25">
        <f>IF(OR($A205="",'04 Prices'!H205="",'04 Prices'!H206=""),"",'04 Prices'!H206/'04 Prices'!H205-1)</f>
        <v/>
      </c>
    </row>
    <row r="206">
      <c r="A206" s="23">
        <f>IF('04 Prices'!A207="","",'04 Prices'!A207)</f>
        <v/>
      </c>
      <c r="B206" s="25">
        <f>IF(OR($A206="",'04 Prices'!B206="",'04 Prices'!B207=""),"",'04 Prices'!B207/'04 Prices'!B206-1)</f>
        <v/>
      </c>
      <c r="C206" s="25">
        <f>IF(OR($A206="",'04 Prices'!C206="",'04 Prices'!C207=""),"",'04 Prices'!C207/'04 Prices'!C206-1)</f>
        <v/>
      </c>
      <c r="D206" s="25">
        <f>IF(OR($A206="",'04 Prices'!D206="",'04 Prices'!D207=""),"",'04 Prices'!D207/'04 Prices'!D206-1)</f>
        <v/>
      </c>
      <c r="E206" s="25">
        <f>IF(OR($A206="",'04 Prices'!E206="",'04 Prices'!E207=""),"",'04 Prices'!E207/'04 Prices'!E206-1)</f>
        <v/>
      </c>
      <c r="F206" s="25">
        <f>IF(OR($A206="",'04 Prices'!F206="",'04 Prices'!F207=""),"",'04 Prices'!F207/'04 Prices'!F206-1)</f>
        <v/>
      </c>
      <c r="G206" s="25">
        <f>IF(OR($A206="",'04 Prices'!G206="",'04 Prices'!G207=""),"",'04 Prices'!G207/'04 Prices'!G206-1)</f>
        <v/>
      </c>
      <c r="H206" s="25">
        <f>IF(OR($A206="",'04 Prices'!H206="",'04 Prices'!H207=""),"",'04 Prices'!H207/'04 Prices'!H206-1)</f>
        <v/>
      </c>
    </row>
    <row r="207">
      <c r="A207" s="23">
        <f>IF('04 Prices'!A208="","",'04 Prices'!A208)</f>
        <v/>
      </c>
      <c r="B207" s="25">
        <f>IF(OR($A207="",'04 Prices'!B207="",'04 Prices'!B208=""),"",'04 Prices'!B208/'04 Prices'!B207-1)</f>
        <v/>
      </c>
      <c r="C207" s="25">
        <f>IF(OR($A207="",'04 Prices'!C207="",'04 Prices'!C208=""),"",'04 Prices'!C208/'04 Prices'!C207-1)</f>
        <v/>
      </c>
      <c r="D207" s="25">
        <f>IF(OR($A207="",'04 Prices'!D207="",'04 Prices'!D208=""),"",'04 Prices'!D208/'04 Prices'!D207-1)</f>
        <v/>
      </c>
      <c r="E207" s="25">
        <f>IF(OR($A207="",'04 Prices'!E207="",'04 Prices'!E208=""),"",'04 Prices'!E208/'04 Prices'!E207-1)</f>
        <v/>
      </c>
      <c r="F207" s="25">
        <f>IF(OR($A207="",'04 Prices'!F207="",'04 Prices'!F208=""),"",'04 Prices'!F208/'04 Prices'!F207-1)</f>
        <v/>
      </c>
      <c r="G207" s="25">
        <f>IF(OR($A207="",'04 Prices'!G207="",'04 Prices'!G208=""),"",'04 Prices'!G208/'04 Prices'!G207-1)</f>
        <v/>
      </c>
      <c r="H207" s="25">
        <f>IF(OR($A207="",'04 Prices'!H207="",'04 Prices'!H208=""),"",'04 Prices'!H208/'04 Prices'!H207-1)</f>
        <v/>
      </c>
    </row>
    <row r="208">
      <c r="A208" s="23">
        <f>IF('04 Prices'!A209="","",'04 Prices'!A209)</f>
        <v/>
      </c>
      <c r="B208" s="25">
        <f>IF(OR($A208="",'04 Prices'!B208="",'04 Prices'!B209=""),"",'04 Prices'!B209/'04 Prices'!B208-1)</f>
        <v/>
      </c>
      <c r="C208" s="25">
        <f>IF(OR($A208="",'04 Prices'!C208="",'04 Prices'!C209=""),"",'04 Prices'!C209/'04 Prices'!C208-1)</f>
        <v/>
      </c>
      <c r="D208" s="25">
        <f>IF(OR($A208="",'04 Prices'!D208="",'04 Prices'!D209=""),"",'04 Prices'!D209/'04 Prices'!D208-1)</f>
        <v/>
      </c>
      <c r="E208" s="25">
        <f>IF(OR($A208="",'04 Prices'!E208="",'04 Prices'!E209=""),"",'04 Prices'!E209/'04 Prices'!E208-1)</f>
        <v/>
      </c>
      <c r="F208" s="25">
        <f>IF(OR($A208="",'04 Prices'!F208="",'04 Prices'!F209=""),"",'04 Prices'!F209/'04 Prices'!F208-1)</f>
        <v/>
      </c>
      <c r="G208" s="25">
        <f>IF(OR($A208="",'04 Prices'!G208="",'04 Prices'!G209=""),"",'04 Prices'!G209/'04 Prices'!G208-1)</f>
        <v/>
      </c>
      <c r="H208" s="25">
        <f>IF(OR($A208="",'04 Prices'!H208="",'04 Prices'!H209=""),"",'04 Prices'!H209/'04 Prices'!H208-1)</f>
        <v/>
      </c>
    </row>
    <row r="209">
      <c r="A209" s="23">
        <f>IF('04 Prices'!A210="","",'04 Prices'!A210)</f>
        <v/>
      </c>
      <c r="B209" s="25">
        <f>IF(OR($A209="",'04 Prices'!B209="",'04 Prices'!B210=""),"",'04 Prices'!B210/'04 Prices'!B209-1)</f>
        <v/>
      </c>
      <c r="C209" s="25">
        <f>IF(OR($A209="",'04 Prices'!C209="",'04 Prices'!C210=""),"",'04 Prices'!C210/'04 Prices'!C209-1)</f>
        <v/>
      </c>
      <c r="D209" s="25">
        <f>IF(OR($A209="",'04 Prices'!D209="",'04 Prices'!D210=""),"",'04 Prices'!D210/'04 Prices'!D209-1)</f>
        <v/>
      </c>
      <c r="E209" s="25">
        <f>IF(OR($A209="",'04 Prices'!E209="",'04 Prices'!E210=""),"",'04 Prices'!E210/'04 Prices'!E209-1)</f>
        <v/>
      </c>
      <c r="F209" s="25">
        <f>IF(OR($A209="",'04 Prices'!F209="",'04 Prices'!F210=""),"",'04 Prices'!F210/'04 Prices'!F209-1)</f>
        <v/>
      </c>
      <c r="G209" s="25">
        <f>IF(OR($A209="",'04 Prices'!G209="",'04 Prices'!G210=""),"",'04 Prices'!G210/'04 Prices'!G209-1)</f>
        <v/>
      </c>
      <c r="H209" s="25">
        <f>IF(OR($A209="",'04 Prices'!H209="",'04 Prices'!H210=""),"",'04 Prices'!H210/'04 Prices'!H209-1)</f>
        <v/>
      </c>
    </row>
    <row r="210">
      <c r="A210" s="23">
        <f>IF('04 Prices'!A211="","",'04 Prices'!A211)</f>
        <v/>
      </c>
      <c r="B210" s="25">
        <f>IF(OR($A210="",'04 Prices'!B210="",'04 Prices'!B211=""),"",'04 Prices'!B211/'04 Prices'!B210-1)</f>
        <v/>
      </c>
      <c r="C210" s="25">
        <f>IF(OR($A210="",'04 Prices'!C210="",'04 Prices'!C211=""),"",'04 Prices'!C211/'04 Prices'!C210-1)</f>
        <v/>
      </c>
      <c r="D210" s="25">
        <f>IF(OR($A210="",'04 Prices'!D210="",'04 Prices'!D211=""),"",'04 Prices'!D211/'04 Prices'!D210-1)</f>
        <v/>
      </c>
      <c r="E210" s="25">
        <f>IF(OR($A210="",'04 Prices'!E210="",'04 Prices'!E211=""),"",'04 Prices'!E211/'04 Prices'!E210-1)</f>
        <v/>
      </c>
      <c r="F210" s="25">
        <f>IF(OR($A210="",'04 Prices'!F210="",'04 Prices'!F211=""),"",'04 Prices'!F211/'04 Prices'!F210-1)</f>
        <v/>
      </c>
      <c r="G210" s="25">
        <f>IF(OR($A210="",'04 Prices'!G210="",'04 Prices'!G211=""),"",'04 Prices'!G211/'04 Prices'!G210-1)</f>
        <v/>
      </c>
      <c r="H210" s="25">
        <f>IF(OR($A210="",'04 Prices'!H210="",'04 Prices'!H211=""),"",'04 Prices'!H211/'04 Prices'!H210-1)</f>
        <v/>
      </c>
    </row>
    <row r="211">
      <c r="A211" s="23">
        <f>IF('04 Prices'!A212="","",'04 Prices'!A212)</f>
        <v/>
      </c>
      <c r="B211" s="25">
        <f>IF(OR($A211="",'04 Prices'!B211="",'04 Prices'!B212=""),"",'04 Prices'!B212/'04 Prices'!B211-1)</f>
        <v/>
      </c>
      <c r="C211" s="25">
        <f>IF(OR($A211="",'04 Prices'!C211="",'04 Prices'!C212=""),"",'04 Prices'!C212/'04 Prices'!C211-1)</f>
        <v/>
      </c>
      <c r="D211" s="25">
        <f>IF(OR($A211="",'04 Prices'!D211="",'04 Prices'!D212=""),"",'04 Prices'!D212/'04 Prices'!D211-1)</f>
        <v/>
      </c>
      <c r="E211" s="25">
        <f>IF(OR($A211="",'04 Prices'!E211="",'04 Prices'!E212=""),"",'04 Prices'!E212/'04 Prices'!E211-1)</f>
        <v/>
      </c>
      <c r="F211" s="25">
        <f>IF(OR($A211="",'04 Prices'!F211="",'04 Prices'!F212=""),"",'04 Prices'!F212/'04 Prices'!F211-1)</f>
        <v/>
      </c>
      <c r="G211" s="25">
        <f>IF(OR($A211="",'04 Prices'!G211="",'04 Prices'!G212=""),"",'04 Prices'!G212/'04 Prices'!G211-1)</f>
        <v/>
      </c>
      <c r="H211" s="25">
        <f>IF(OR($A211="",'04 Prices'!H211="",'04 Prices'!H212=""),"",'04 Prices'!H212/'04 Prices'!H211-1)</f>
        <v/>
      </c>
    </row>
    <row r="212">
      <c r="A212" s="23">
        <f>IF('04 Prices'!A213="","",'04 Prices'!A213)</f>
        <v/>
      </c>
      <c r="B212" s="25">
        <f>IF(OR($A212="",'04 Prices'!B212="",'04 Prices'!B213=""),"",'04 Prices'!B213/'04 Prices'!B212-1)</f>
        <v/>
      </c>
      <c r="C212" s="25">
        <f>IF(OR($A212="",'04 Prices'!C212="",'04 Prices'!C213=""),"",'04 Prices'!C213/'04 Prices'!C212-1)</f>
        <v/>
      </c>
      <c r="D212" s="25">
        <f>IF(OR($A212="",'04 Prices'!D212="",'04 Prices'!D213=""),"",'04 Prices'!D213/'04 Prices'!D212-1)</f>
        <v/>
      </c>
      <c r="E212" s="25">
        <f>IF(OR($A212="",'04 Prices'!E212="",'04 Prices'!E213=""),"",'04 Prices'!E213/'04 Prices'!E212-1)</f>
        <v/>
      </c>
      <c r="F212" s="25">
        <f>IF(OR($A212="",'04 Prices'!F212="",'04 Prices'!F213=""),"",'04 Prices'!F213/'04 Prices'!F212-1)</f>
        <v/>
      </c>
      <c r="G212" s="25">
        <f>IF(OR($A212="",'04 Prices'!G212="",'04 Prices'!G213=""),"",'04 Prices'!G213/'04 Prices'!G212-1)</f>
        <v/>
      </c>
      <c r="H212" s="25">
        <f>IF(OR($A212="",'04 Prices'!H212="",'04 Prices'!H213=""),"",'04 Prices'!H213/'04 Prices'!H212-1)</f>
        <v/>
      </c>
    </row>
    <row r="213">
      <c r="A213" s="23">
        <f>IF('04 Prices'!A214="","",'04 Prices'!A214)</f>
        <v/>
      </c>
      <c r="B213" s="25">
        <f>IF(OR($A213="",'04 Prices'!B213="",'04 Prices'!B214=""),"",'04 Prices'!B214/'04 Prices'!B213-1)</f>
        <v/>
      </c>
      <c r="C213" s="25">
        <f>IF(OR($A213="",'04 Prices'!C213="",'04 Prices'!C214=""),"",'04 Prices'!C214/'04 Prices'!C213-1)</f>
        <v/>
      </c>
      <c r="D213" s="25">
        <f>IF(OR($A213="",'04 Prices'!D213="",'04 Prices'!D214=""),"",'04 Prices'!D214/'04 Prices'!D213-1)</f>
        <v/>
      </c>
      <c r="E213" s="25">
        <f>IF(OR($A213="",'04 Prices'!E213="",'04 Prices'!E214=""),"",'04 Prices'!E214/'04 Prices'!E213-1)</f>
        <v/>
      </c>
      <c r="F213" s="25">
        <f>IF(OR($A213="",'04 Prices'!F213="",'04 Prices'!F214=""),"",'04 Prices'!F214/'04 Prices'!F213-1)</f>
        <v/>
      </c>
      <c r="G213" s="25">
        <f>IF(OR($A213="",'04 Prices'!G213="",'04 Prices'!G214=""),"",'04 Prices'!G214/'04 Prices'!G213-1)</f>
        <v/>
      </c>
      <c r="H213" s="25">
        <f>IF(OR($A213="",'04 Prices'!H213="",'04 Prices'!H214=""),"",'04 Prices'!H214/'04 Prices'!H213-1)</f>
        <v/>
      </c>
    </row>
    <row r="214">
      <c r="A214" s="23">
        <f>IF('04 Prices'!A215="","",'04 Prices'!A215)</f>
        <v/>
      </c>
      <c r="B214" s="25">
        <f>IF(OR($A214="",'04 Prices'!B214="",'04 Prices'!B215=""),"",'04 Prices'!B215/'04 Prices'!B214-1)</f>
        <v/>
      </c>
      <c r="C214" s="25">
        <f>IF(OR($A214="",'04 Prices'!C214="",'04 Prices'!C215=""),"",'04 Prices'!C215/'04 Prices'!C214-1)</f>
        <v/>
      </c>
      <c r="D214" s="25">
        <f>IF(OR($A214="",'04 Prices'!D214="",'04 Prices'!D215=""),"",'04 Prices'!D215/'04 Prices'!D214-1)</f>
        <v/>
      </c>
      <c r="E214" s="25">
        <f>IF(OR($A214="",'04 Prices'!E214="",'04 Prices'!E215=""),"",'04 Prices'!E215/'04 Prices'!E214-1)</f>
        <v/>
      </c>
      <c r="F214" s="25">
        <f>IF(OR($A214="",'04 Prices'!F214="",'04 Prices'!F215=""),"",'04 Prices'!F215/'04 Prices'!F214-1)</f>
        <v/>
      </c>
      <c r="G214" s="25">
        <f>IF(OR($A214="",'04 Prices'!G214="",'04 Prices'!G215=""),"",'04 Prices'!G215/'04 Prices'!G214-1)</f>
        <v/>
      </c>
      <c r="H214" s="25">
        <f>IF(OR($A214="",'04 Prices'!H214="",'04 Prices'!H215=""),"",'04 Prices'!H215/'04 Prices'!H214-1)</f>
        <v/>
      </c>
    </row>
    <row r="215">
      <c r="A215" s="23">
        <f>IF('04 Prices'!A216="","",'04 Prices'!A216)</f>
        <v/>
      </c>
      <c r="B215" s="25">
        <f>IF(OR($A215="",'04 Prices'!B215="",'04 Prices'!B216=""),"",'04 Prices'!B216/'04 Prices'!B215-1)</f>
        <v/>
      </c>
      <c r="C215" s="25">
        <f>IF(OR($A215="",'04 Prices'!C215="",'04 Prices'!C216=""),"",'04 Prices'!C216/'04 Prices'!C215-1)</f>
        <v/>
      </c>
      <c r="D215" s="25">
        <f>IF(OR($A215="",'04 Prices'!D215="",'04 Prices'!D216=""),"",'04 Prices'!D216/'04 Prices'!D215-1)</f>
        <v/>
      </c>
      <c r="E215" s="25">
        <f>IF(OR($A215="",'04 Prices'!E215="",'04 Prices'!E216=""),"",'04 Prices'!E216/'04 Prices'!E215-1)</f>
        <v/>
      </c>
      <c r="F215" s="25">
        <f>IF(OR($A215="",'04 Prices'!F215="",'04 Prices'!F216=""),"",'04 Prices'!F216/'04 Prices'!F215-1)</f>
        <v/>
      </c>
      <c r="G215" s="25">
        <f>IF(OR($A215="",'04 Prices'!G215="",'04 Prices'!G216=""),"",'04 Prices'!G216/'04 Prices'!G215-1)</f>
        <v/>
      </c>
      <c r="H215" s="25">
        <f>IF(OR($A215="",'04 Prices'!H215="",'04 Prices'!H216=""),"",'04 Prices'!H216/'04 Prices'!H215-1)</f>
        <v/>
      </c>
    </row>
    <row r="216">
      <c r="A216" s="23">
        <f>IF('04 Prices'!A217="","",'04 Prices'!A217)</f>
        <v/>
      </c>
      <c r="B216" s="25">
        <f>IF(OR($A216="",'04 Prices'!B216="",'04 Prices'!B217=""),"",'04 Prices'!B217/'04 Prices'!B216-1)</f>
        <v/>
      </c>
      <c r="C216" s="25">
        <f>IF(OR($A216="",'04 Prices'!C216="",'04 Prices'!C217=""),"",'04 Prices'!C217/'04 Prices'!C216-1)</f>
        <v/>
      </c>
      <c r="D216" s="25">
        <f>IF(OR($A216="",'04 Prices'!D216="",'04 Prices'!D217=""),"",'04 Prices'!D217/'04 Prices'!D216-1)</f>
        <v/>
      </c>
      <c r="E216" s="25">
        <f>IF(OR($A216="",'04 Prices'!E216="",'04 Prices'!E217=""),"",'04 Prices'!E217/'04 Prices'!E216-1)</f>
        <v/>
      </c>
      <c r="F216" s="25">
        <f>IF(OR($A216="",'04 Prices'!F216="",'04 Prices'!F217=""),"",'04 Prices'!F217/'04 Prices'!F216-1)</f>
        <v/>
      </c>
      <c r="G216" s="25">
        <f>IF(OR($A216="",'04 Prices'!G216="",'04 Prices'!G217=""),"",'04 Prices'!G217/'04 Prices'!G216-1)</f>
        <v/>
      </c>
      <c r="H216" s="25">
        <f>IF(OR($A216="",'04 Prices'!H216="",'04 Prices'!H217=""),"",'04 Prices'!H217/'04 Prices'!H216-1)</f>
        <v/>
      </c>
    </row>
    <row r="217">
      <c r="A217" s="23">
        <f>IF('04 Prices'!A218="","",'04 Prices'!A218)</f>
        <v/>
      </c>
      <c r="B217" s="25">
        <f>IF(OR($A217="",'04 Prices'!B217="",'04 Prices'!B218=""),"",'04 Prices'!B218/'04 Prices'!B217-1)</f>
        <v/>
      </c>
      <c r="C217" s="25">
        <f>IF(OR($A217="",'04 Prices'!C217="",'04 Prices'!C218=""),"",'04 Prices'!C218/'04 Prices'!C217-1)</f>
        <v/>
      </c>
      <c r="D217" s="25">
        <f>IF(OR($A217="",'04 Prices'!D217="",'04 Prices'!D218=""),"",'04 Prices'!D218/'04 Prices'!D217-1)</f>
        <v/>
      </c>
      <c r="E217" s="25">
        <f>IF(OR($A217="",'04 Prices'!E217="",'04 Prices'!E218=""),"",'04 Prices'!E218/'04 Prices'!E217-1)</f>
        <v/>
      </c>
      <c r="F217" s="25">
        <f>IF(OR($A217="",'04 Prices'!F217="",'04 Prices'!F218=""),"",'04 Prices'!F218/'04 Prices'!F217-1)</f>
        <v/>
      </c>
      <c r="G217" s="25">
        <f>IF(OR($A217="",'04 Prices'!G217="",'04 Prices'!G218=""),"",'04 Prices'!G218/'04 Prices'!G217-1)</f>
        <v/>
      </c>
      <c r="H217" s="25">
        <f>IF(OR($A217="",'04 Prices'!H217="",'04 Prices'!H218=""),"",'04 Prices'!H218/'04 Prices'!H217-1)</f>
        <v/>
      </c>
    </row>
    <row r="218">
      <c r="A218" s="23">
        <f>IF('04 Prices'!A219="","",'04 Prices'!A219)</f>
        <v/>
      </c>
      <c r="B218" s="25">
        <f>IF(OR($A218="",'04 Prices'!B218="",'04 Prices'!B219=""),"",'04 Prices'!B219/'04 Prices'!B218-1)</f>
        <v/>
      </c>
      <c r="C218" s="25">
        <f>IF(OR($A218="",'04 Prices'!C218="",'04 Prices'!C219=""),"",'04 Prices'!C219/'04 Prices'!C218-1)</f>
        <v/>
      </c>
      <c r="D218" s="25">
        <f>IF(OR($A218="",'04 Prices'!D218="",'04 Prices'!D219=""),"",'04 Prices'!D219/'04 Prices'!D218-1)</f>
        <v/>
      </c>
      <c r="E218" s="25">
        <f>IF(OR($A218="",'04 Prices'!E218="",'04 Prices'!E219=""),"",'04 Prices'!E219/'04 Prices'!E218-1)</f>
        <v/>
      </c>
      <c r="F218" s="25">
        <f>IF(OR($A218="",'04 Prices'!F218="",'04 Prices'!F219=""),"",'04 Prices'!F219/'04 Prices'!F218-1)</f>
        <v/>
      </c>
      <c r="G218" s="25">
        <f>IF(OR($A218="",'04 Prices'!G218="",'04 Prices'!G219=""),"",'04 Prices'!G219/'04 Prices'!G218-1)</f>
        <v/>
      </c>
      <c r="H218" s="25">
        <f>IF(OR($A218="",'04 Prices'!H218="",'04 Prices'!H219=""),"",'04 Prices'!H219/'04 Prices'!H218-1)</f>
        <v/>
      </c>
    </row>
    <row r="219">
      <c r="A219" s="23">
        <f>IF('04 Prices'!A220="","",'04 Prices'!A220)</f>
        <v/>
      </c>
      <c r="B219" s="25">
        <f>IF(OR($A219="",'04 Prices'!B219="",'04 Prices'!B220=""),"",'04 Prices'!B220/'04 Prices'!B219-1)</f>
        <v/>
      </c>
      <c r="C219" s="25">
        <f>IF(OR($A219="",'04 Prices'!C219="",'04 Prices'!C220=""),"",'04 Prices'!C220/'04 Prices'!C219-1)</f>
        <v/>
      </c>
      <c r="D219" s="25">
        <f>IF(OR($A219="",'04 Prices'!D219="",'04 Prices'!D220=""),"",'04 Prices'!D220/'04 Prices'!D219-1)</f>
        <v/>
      </c>
      <c r="E219" s="25">
        <f>IF(OR($A219="",'04 Prices'!E219="",'04 Prices'!E220=""),"",'04 Prices'!E220/'04 Prices'!E219-1)</f>
        <v/>
      </c>
      <c r="F219" s="25">
        <f>IF(OR($A219="",'04 Prices'!F219="",'04 Prices'!F220=""),"",'04 Prices'!F220/'04 Prices'!F219-1)</f>
        <v/>
      </c>
      <c r="G219" s="25">
        <f>IF(OR($A219="",'04 Prices'!G219="",'04 Prices'!G220=""),"",'04 Prices'!G220/'04 Prices'!G219-1)</f>
        <v/>
      </c>
      <c r="H219" s="25">
        <f>IF(OR($A219="",'04 Prices'!H219="",'04 Prices'!H220=""),"",'04 Prices'!H220/'04 Prices'!H219-1)</f>
        <v/>
      </c>
    </row>
    <row r="220">
      <c r="A220" s="23">
        <f>IF('04 Prices'!A221="","",'04 Prices'!A221)</f>
        <v/>
      </c>
      <c r="B220" s="25">
        <f>IF(OR($A220="",'04 Prices'!B220="",'04 Prices'!B221=""),"",'04 Prices'!B221/'04 Prices'!B220-1)</f>
        <v/>
      </c>
      <c r="C220" s="25">
        <f>IF(OR($A220="",'04 Prices'!C220="",'04 Prices'!C221=""),"",'04 Prices'!C221/'04 Prices'!C220-1)</f>
        <v/>
      </c>
      <c r="D220" s="25">
        <f>IF(OR($A220="",'04 Prices'!D220="",'04 Prices'!D221=""),"",'04 Prices'!D221/'04 Prices'!D220-1)</f>
        <v/>
      </c>
      <c r="E220" s="25">
        <f>IF(OR($A220="",'04 Prices'!E220="",'04 Prices'!E221=""),"",'04 Prices'!E221/'04 Prices'!E220-1)</f>
        <v/>
      </c>
      <c r="F220" s="25">
        <f>IF(OR($A220="",'04 Prices'!F220="",'04 Prices'!F221=""),"",'04 Prices'!F221/'04 Prices'!F220-1)</f>
        <v/>
      </c>
      <c r="G220" s="25">
        <f>IF(OR($A220="",'04 Prices'!G220="",'04 Prices'!G221=""),"",'04 Prices'!G221/'04 Prices'!G220-1)</f>
        <v/>
      </c>
      <c r="H220" s="25">
        <f>IF(OR($A220="",'04 Prices'!H220="",'04 Prices'!H221=""),"",'04 Prices'!H221/'04 Prices'!H220-1)</f>
        <v/>
      </c>
    </row>
    <row r="221">
      <c r="A221" s="23">
        <f>IF('04 Prices'!A222="","",'04 Prices'!A222)</f>
        <v/>
      </c>
      <c r="B221" s="25">
        <f>IF(OR($A221="",'04 Prices'!B221="",'04 Prices'!B222=""),"",'04 Prices'!B222/'04 Prices'!B221-1)</f>
        <v/>
      </c>
      <c r="C221" s="25">
        <f>IF(OR($A221="",'04 Prices'!C221="",'04 Prices'!C222=""),"",'04 Prices'!C222/'04 Prices'!C221-1)</f>
        <v/>
      </c>
      <c r="D221" s="25">
        <f>IF(OR($A221="",'04 Prices'!D221="",'04 Prices'!D222=""),"",'04 Prices'!D222/'04 Prices'!D221-1)</f>
        <v/>
      </c>
      <c r="E221" s="25">
        <f>IF(OR($A221="",'04 Prices'!E221="",'04 Prices'!E222=""),"",'04 Prices'!E222/'04 Prices'!E221-1)</f>
        <v/>
      </c>
      <c r="F221" s="25">
        <f>IF(OR($A221="",'04 Prices'!F221="",'04 Prices'!F222=""),"",'04 Prices'!F222/'04 Prices'!F221-1)</f>
        <v/>
      </c>
      <c r="G221" s="25">
        <f>IF(OR($A221="",'04 Prices'!G221="",'04 Prices'!G222=""),"",'04 Prices'!G222/'04 Prices'!G221-1)</f>
        <v/>
      </c>
      <c r="H221" s="25">
        <f>IF(OR($A221="",'04 Prices'!H221="",'04 Prices'!H222=""),"",'04 Prices'!H222/'04 Prices'!H221-1)</f>
        <v/>
      </c>
    </row>
    <row r="222">
      <c r="A222" s="23">
        <f>IF('04 Prices'!A223="","",'04 Prices'!A223)</f>
        <v/>
      </c>
      <c r="B222" s="25">
        <f>IF(OR($A222="",'04 Prices'!B222="",'04 Prices'!B223=""),"",'04 Prices'!B223/'04 Prices'!B222-1)</f>
        <v/>
      </c>
      <c r="C222" s="25">
        <f>IF(OR($A222="",'04 Prices'!C222="",'04 Prices'!C223=""),"",'04 Prices'!C223/'04 Prices'!C222-1)</f>
        <v/>
      </c>
      <c r="D222" s="25">
        <f>IF(OR($A222="",'04 Prices'!D222="",'04 Prices'!D223=""),"",'04 Prices'!D223/'04 Prices'!D222-1)</f>
        <v/>
      </c>
      <c r="E222" s="25">
        <f>IF(OR($A222="",'04 Prices'!E222="",'04 Prices'!E223=""),"",'04 Prices'!E223/'04 Prices'!E222-1)</f>
        <v/>
      </c>
      <c r="F222" s="25">
        <f>IF(OR($A222="",'04 Prices'!F222="",'04 Prices'!F223=""),"",'04 Prices'!F223/'04 Prices'!F222-1)</f>
        <v/>
      </c>
      <c r="G222" s="25">
        <f>IF(OR($A222="",'04 Prices'!G222="",'04 Prices'!G223=""),"",'04 Prices'!G223/'04 Prices'!G222-1)</f>
        <v/>
      </c>
      <c r="H222" s="25">
        <f>IF(OR($A222="",'04 Prices'!H222="",'04 Prices'!H223=""),"",'04 Prices'!H223/'04 Prices'!H222-1)</f>
        <v/>
      </c>
    </row>
    <row r="223">
      <c r="A223" s="23">
        <f>IF('04 Prices'!A224="","",'04 Prices'!A224)</f>
        <v/>
      </c>
      <c r="B223" s="25">
        <f>IF(OR($A223="",'04 Prices'!B223="",'04 Prices'!B224=""),"",'04 Prices'!B224/'04 Prices'!B223-1)</f>
        <v/>
      </c>
      <c r="C223" s="25">
        <f>IF(OR($A223="",'04 Prices'!C223="",'04 Prices'!C224=""),"",'04 Prices'!C224/'04 Prices'!C223-1)</f>
        <v/>
      </c>
      <c r="D223" s="25">
        <f>IF(OR($A223="",'04 Prices'!D223="",'04 Prices'!D224=""),"",'04 Prices'!D224/'04 Prices'!D223-1)</f>
        <v/>
      </c>
      <c r="E223" s="25">
        <f>IF(OR($A223="",'04 Prices'!E223="",'04 Prices'!E224=""),"",'04 Prices'!E224/'04 Prices'!E223-1)</f>
        <v/>
      </c>
      <c r="F223" s="25">
        <f>IF(OR($A223="",'04 Prices'!F223="",'04 Prices'!F224=""),"",'04 Prices'!F224/'04 Prices'!F223-1)</f>
        <v/>
      </c>
      <c r="G223" s="25">
        <f>IF(OR($A223="",'04 Prices'!G223="",'04 Prices'!G224=""),"",'04 Prices'!G224/'04 Prices'!G223-1)</f>
        <v/>
      </c>
      <c r="H223" s="25">
        <f>IF(OR($A223="",'04 Prices'!H223="",'04 Prices'!H224=""),"",'04 Prices'!H224/'04 Prices'!H223-1)</f>
        <v/>
      </c>
    </row>
    <row r="224">
      <c r="A224" s="23">
        <f>IF('04 Prices'!A225="","",'04 Prices'!A225)</f>
        <v/>
      </c>
      <c r="B224" s="25">
        <f>IF(OR($A224="",'04 Prices'!B224="",'04 Prices'!B225=""),"",'04 Prices'!B225/'04 Prices'!B224-1)</f>
        <v/>
      </c>
      <c r="C224" s="25">
        <f>IF(OR($A224="",'04 Prices'!C224="",'04 Prices'!C225=""),"",'04 Prices'!C225/'04 Prices'!C224-1)</f>
        <v/>
      </c>
      <c r="D224" s="25">
        <f>IF(OR($A224="",'04 Prices'!D224="",'04 Prices'!D225=""),"",'04 Prices'!D225/'04 Prices'!D224-1)</f>
        <v/>
      </c>
      <c r="E224" s="25">
        <f>IF(OR($A224="",'04 Prices'!E224="",'04 Prices'!E225=""),"",'04 Prices'!E225/'04 Prices'!E224-1)</f>
        <v/>
      </c>
      <c r="F224" s="25">
        <f>IF(OR($A224="",'04 Prices'!F224="",'04 Prices'!F225=""),"",'04 Prices'!F225/'04 Prices'!F224-1)</f>
        <v/>
      </c>
      <c r="G224" s="25">
        <f>IF(OR($A224="",'04 Prices'!G224="",'04 Prices'!G225=""),"",'04 Prices'!G225/'04 Prices'!G224-1)</f>
        <v/>
      </c>
      <c r="H224" s="25">
        <f>IF(OR($A224="",'04 Prices'!H224="",'04 Prices'!H225=""),"",'04 Prices'!H225/'04 Prices'!H224-1)</f>
        <v/>
      </c>
    </row>
    <row r="225">
      <c r="A225" s="23">
        <f>IF('04 Prices'!A226="","",'04 Prices'!A226)</f>
        <v/>
      </c>
      <c r="B225" s="25">
        <f>IF(OR($A225="",'04 Prices'!B225="",'04 Prices'!B226=""),"",'04 Prices'!B226/'04 Prices'!B225-1)</f>
        <v/>
      </c>
      <c r="C225" s="25">
        <f>IF(OR($A225="",'04 Prices'!C225="",'04 Prices'!C226=""),"",'04 Prices'!C226/'04 Prices'!C225-1)</f>
        <v/>
      </c>
      <c r="D225" s="25">
        <f>IF(OR($A225="",'04 Prices'!D225="",'04 Prices'!D226=""),"",'04 Prices'!D226/'04 Prices'!D225-1)</f>
        <v/>
      </c>
      <c r="E225" s="25">
        <f>IF(OR($A225="",'04 Prices'!E225="",'04 Prices'!E226=""),"",'04 Prices'!E226/'04 Prices'!E225-1)</f>
        <v/>
      </c>
      <c r="F225" s="25">
        <f>IF(OR($A225="",'04 Prices'!F225="",'04 Prices'!F226=""),"",'04 Prices'!F226/'04 Prices'!F225-1)</f>
        <v/>
      </c>
      <c r="G225" s="25">
        <f>IF(OR($A225="",'04 Prices'!G225="",'04 Prices'!G226=""),"",'04 Prices'!G226/'04 Prices'!G225-1)</f>
        <v/>
      </c>
      <c r="H225" s="25">
        <f>IF(OR($A225="",'04 Prices'!H225="",'04 Prices'!H226=""),"",'04 Prices'!H226/'04 Prices'!H225-1)</f>
        <v/>
      </c>
    </row>
    <row r="226">
      <c r="A226" s="23">
        <f>IF('04 Prices'!A227="","",'04 Prices'!A227)</f>
        <v/>
      </c>
      <c r="B226" s="25">
        <f>IF(OR($A226="",'04 Prices'!B226="",'04 Prices'!B227=""),"",'04 Prices'!B227/'04 Prices'!B226-1)</f>
        <v/>
      </c>
      <c r="C226" s="25">
        <f>IF(OR($A226="",'04 Prices'!C226="",'04 Prices'!C227=""),"",'04 Prices'!C227/'04 Prices'!C226-1)</f>
        <v/>
      </c>
      <c r="D226" s="25">
        <f>IF(OR($A226="",'04 Prices'!D226="",'04 Prices'!D227=""),"",'04 Prices'!D227/'04 Prices'!D226-1)</f>
        <v/>
      </c>
      <c r="E226" s="25">
        <f>IF(OR($A226="",'04 Prices'!E226="",'04 Prices'!E227=""),"",'04 Prices'!E227/'04 Prices'!E226-1)</f>
        <v/>
      </c>
      <c r="F226" s="25">
        <f>IF(OR($A226="",'04 Prices'!F226="",'04 Prices'!F227=""),"",'04 Prices'!F227/'04 Prices'!F226-1)</f>
        <v/>
      </c>
      <c r="G226" s="25">
        <f>IF(OR($A226="",'04 Prices'!G226="",'04 Prices'!G227=""),"",'04 Prices'!G227/'04 Prices'!G226-1)</f>
        <v/>
      </c>
      <c r="H226" s="25">
        <f>IF(OR($A226="",'04 Prices'!H226="",'04 Prices'!H227=""),"",'04 Prices'!H227/'04 Prices'!H226-1)</f>
        <v/>
      </c>
    </row>
    <row r="227">
      <c r="A227" s="23">
        <f>IF('04 Prices'!A228="","",'04 Prices'!A228)</f>
        <v/>
      </c>
      <c r="B227" s="25">
        <f>IF(OR($A227="",'04 Prices'!B227="",'04 Prices'!B228=""),"",'04 Prices'!B228/'04 Prices'!B227-1)</f>
        <v/>
      </c>
      <c r="C227" s="25">
        <f>IF(OR($A227="",'04 Prices'!C227="",'04 Prices'!C228=""),"",'04 Prices'!C228/'04 Prices'!C227-1)</f>
        <v/>
      </c>
      <c r="D227" s="25">
        <f>IF(OR($A227="",'04 Prices'!D227="",'04 Prices'!D228=""),"",'04 Prices'!D228/'04 Prices'!D227-1)</f>
        <v/>
      </c>
      <c r="E227" s="25">
        <f>IF(OR($A227="",'04 Prices'!E227="",'04 Prices'!E228=""),"",'04 Prices'!E228/'04 Prices'!E227-1)</f>
        <v/>
      </c>
      <c r="F227" s="25">
        <f>IF(OR($A227="",'04 Prices'!F227="",'04 Prices'!F228=""),"",'04 Prices'!F228/'04 Prices'!F227-1)</f>
        <v/>
      </c>
      <c r="G227" s="25">
        <f>IF(OR($A227="",'04 Prices'!G227="",'04 Prices'!G228=""),"",'04 Prices'!G228/'04 Prices'!G227-1)</f>
        <v/>
      </c>
      <c r="H227" s="25">
        <f>IF(OR($A227="",'04 Prices'!H227="",'04 Prices'!H228=""),"",'04 Prices'!H228/'04 Prices'!H227-1)</f>
        <v/>
      </c>
    </row>
    <row r="228">
      <c r="A228" s="23">
        <f>IF('04 Prices'!A229="","",'04 Prices'!A229)</f>
        <v/>
      </c>
      <c r="B228" s="25">
        <f>IF(OR($A228="",'04 Prices'!B228="",'04 Prices'!B229=""),"",'04 Prices'!B229/'04 Prices'!B228-1)</f>
        <v/>
      </c>
      <c r="C228" s="25">
        <f>IF(OR($A228="",'04 Prices'!C228="",'04 Prices'!C229=""),"",'04 Prices'!C229/'04 Prices'!C228-1)</f>
        <v/>
      </c>
      <c r="D228" s="25">
        <f>IF(OR($A228="",'04 Prices'!D228="",'04 Prices'!D229=""),"",'04 Prices'!D229/'04 Prices'!D228-1)</f>
        <v/>
      </c>
      <c r="E228" s="25">
        <f>IF(OR($A228="",'04 Prices'!E228="",'04 Prices'!E229=""),"",'04 Prices'!E229/'04 Prices'!E228-1)</f>
        <v/>
      </c>
      <c r="F228" s="25">
        <f>IF(OR($A228="",'04 Prices'!F228="",'04 Prices'!F229=""),"",'04 Prices'!F229/'04 Prices'!F228-1)</f>
        <v/>
      </c>
      <c r="G228" s="25">
        <f>IF(OR($A228="",'04 Prices'!G228="",'04 Prices'!G229=""),"",'04 Prices'!G229/'04 Prices'!G228-1)</f>
        <v/>
      </c>
      <c r="H228" s="25">
        <f>IF(OR($A228="",'04 Prices'!H228="",'04 Prices'!H229=""),"",'04 Prices'!H229/'04 Prices'!H228-1)</f>
        <v/>
      </c>
    </row>
    <row r="229">
      <c r="A229" s="23">
        <f>IF('04 Prices'!A230="","",'04 Prices'!A230)</f>
        <v/>
      </c>
      <c r="B229" s="25">
        <f>IF(OR($A229="",'04 Prices'!B229="",'04 Prices'!B230=""),"",'04 Prices'!B230/'04 Prices'!B229-1)</f>
        <v/>
      </c>
      <c r="C229" s="25">
        <f>IF(OR($A229="",'04 Prices'!C229="",'04 Prices'!C230=""),"",'04 Prices'!C230/'04 Prices'!C229-1)</f>
        <v/>
      </c>
      <c r="D229" s="25">
        <f>IF(OR($A229="",'04 Prices'!D229="",'04 Prices'!D230=""),"",'04 Prices'!D230/'04 Prices'!D229-1)</f>
        <v/>
      </c>
      <c r="E229" s="25">
        <f>IF(OR($A229="",'04 Prices'!E229="",'04 Prices'!E230=""),"",'04 Prices'!E230/'04 Prices'!E229-1)</f>
        <v/>
      </c>
      <c r="F229" s="25">
        <f>IF(OR($A229="",'04 Prices'!F229="",'04 Prices'!F230=""),"",'04 Prices'!F230/'04 Prices'!F229-1)</f>
        <v/>
      </c>
      <c r="G229" s="25">
        <f>IF(OR($A229="",'04 Prices'!G229="",'04 Prices'!G230=""),"",'04 Prices'!G230/'04 Prices'!G229-1)</f>
        <v/>
      </c>
      <c r="H229" s="25">
        <f>IF(OR($A229="",'04 Prices'!H229="",'04 Prices'!H230=""),"",'04 Prices'!H230/'04 Prices'!H229-1)</f>
        <v/>
      </c>
    </row>
    <row r="230">
      <c r="A230" s="23">
        <f>IF('04 Prices'!A231="","",'04 Prices'!A231)</f>
        <v/>
      </c>
      <c r="B230" s="25">
        <f>IF(OR($A230="",'04 Prices'!B230="",'04 Prices'!B231=""),"",'04 Prices'!B231/'04 Prices'!B230-1)</f>
        <v/>
      </c>
      <c r="C230" s="25">
        <f>IF(OR($A230="",'04 Prices'!C230="",'04 Prices'!C231=""),"",'04 Prices'!C231/'04 Prices'!C230-1)</f>
        <v/>
      </c>
      <c r="D230" s="25">
        <f>IF(OR($A230="",'04 Prices'!D230="",'04 Prices'!D231=""),"",'04 Prices'!D231/'04 Prices'!D230-1)</f>
        <v/>
      </c>
      <c r="E230" s="25">
        <f>IF(OR($A230="",'04 Prices'!E230="",'04 Prices'!E231=""),"",'04 Prices'!E231/'04 Prices'!E230-1)</f>
        <v/>
      </c>
      <c r="F230" s="25">
        <f>IF(OR($A230="",'04 Prices'!F230="",'04 Prices'!F231=""),"",'04 Prices'!F231/'04 Prices'!F230-1)</f>
        <v/>
      </c>
      <c r="G230" s="25">
        <f>IF(OR($A230="",'04 Prices'!G230="",'04 Prices'!G231=""),"",'04 Prices'!G231/'04 Prices'!G230-1)</f>
        <v/>
      </c>
      <c r="H230" s="25">
        <f>IF(OR($A230="",'04 Prices'!H230="",'04 Prices'!H231=""),"",'04 Prices'!H231/'04 Prices'!H230-1)</f>
        <v/>
      </c>
    </row>
    <row r="231">
      <c r="A231" s="23">
        <f>IF('04 Prices'!A232="","",'04 Prices'!A232)</f>
        <v/>
      </c>
      <c r="B231" s="25">
        <f>IF(OR($A231="",'04 Prices'!B231="",'04 Prices'!B232=""),"",'04 Prices'!B232/'04 Prices'!B231-1)</f>
        <v/>
      </c>
      <c r="C231" s="25">
        <f>IF(OR($A231="",'04 Prices'!C231="",'04 Prices'!C232=""),"",'04 Prices'!C232/'04 Prices'!C231-1)</f>
        <v/>
      </c>
      <c r="D231" s="25">
        <f>IF(OR($A231="",'04 Prices'!D231="",'04 Prices'!D232=""),"",'04 Prices'!D232/'04 Prices'!D231-1)</f>
        <v/>
      </c>
      <c r="E231" s="25">
        <f>IF(OR($A231="",'04 Prices'!E231="",'04 Prices'!E232=""),"",'04 Prices'!E232/'04 Prices'!E231-1)</f>
        <v/>
      </c>
      <c r="F231" s="25">
        <f>IF(OR($A231="",'04 Prices'!F231="",'04 Prices'!F232=""),"",'04 Prices'!F232/'04 Prices'!F231-1)</f>
        <v/>
      </c>
      <c r="G231" s="25">
        <f>IF(OR($A231="",'04 Prices'!G231="",'04 Prices'!G232=""),"",'04 Prices'!G232/'04 Prices'!G231-1)</f>
        <v/>
      </c>
      <c r="H231" s="25">
        <f>IF(OR($A231="",'04 Prices'!H231="",'04 Prices'!H232=""),"",'04 Prices'!H232/'04 Prices'!H231-1)</f>
        <v/>
      </c>
    </row>
    <row r="232">
      <c r="A232" s="23">
        <f>IF('04 Prices'!A233="","",'04 Prices'!A233)</f>
        <v/>
      </c>
      <c r="B232" s="25">
        <f>IF(OR($A232="",'04 Prices'!B232="",'04 Prices'!B233=""),"",'04 Prices'!B233/'04 Prices'!B232-1)</f>
        <v/>
      </c>
      <c r="C232" s="25">
        <f>IF(OR($A232="",'04 Prices'!C232="",'04 Prices'!C233=""),"",'04 Prices'!C233/'04 Prices'!C232-1)</f>
        <v/>
      </c>
      <c r="D232" s="25">
        <f>IF(OR($A232="",'04 Prices'!D232="",'04 Prices'!D233=""),"",'04 Prices'!D233/'04 Prices'!D232-1)</f>
        <v/>
      </c>
      <c r="E232" s="25">
        <f>IF(OR($A232="",'04 Prices'!E232="",'04 Prices'!E233=""),"",'04 Prices'!E233/'04 Prices'!E232-1)</f>
        <v/>
      </c>
      <c r="F232" s="25">
        <f>IF(OR($A232="",'04 Prices'!F232="",'04 Prices'!F233=""),"",'04 Prices'!F233/'04 Prices'!F232-1)</f>
        <v/>
      </c>
      <c r="G232" s="25">
        <f>IF(OR($A232="",'04 Prices'!G232="",'04 Prices'!G233=""),"",'04 Prices'!G233/'04 Prices'!G232-1)</f>
        <v/>
      </c>
      <c r="H232" s="25">
        <f>IF(OR($A232="",'04 Prices'!H232="",'04 Prices'!H233=""),"",'04 Prices'!H233/'04 Prices'!H232-1)</f>
        <v/>
      </c>
    </row>
    <row r="233">
      <c r="A233" s="23">
        <f>IF('04 Prices'!A234="","",'04 Prices'!A234)</f>
        <v/>
      </c>
      <c r="B233" s="25">
        <f>IF(OR($A233="",'04 Prices'!B233="",'04 Prices'!B234=""),"",'04 Prices'!B234/'04 Prices'!B233-1)</f>
        <v/>
      </c>
      <c r="C233" s="25">
        <f>IF(OR($A233="",'04 Prices'!C233="",'04 Prices'!C234=""),"",'04 Prices'!C234/'04 Prices'!C233-1)</f>
        <v/>
      </c>
      <c r="D233" s="25">
        <f>IF(OR($A233="",'04 Prices'!D233="",'04 Prices'!D234=""),"",'04 Prices'!D234/'04 Prices'!D233-1)</f>
        <v/>
      </c>
      <c r="E233" s="25">
        <f>IF(OR($A233="",'04 Prices'!E233="",'04 Prices'!E234=""),"",'04 Prices'!E234/'04 Prices'!E233-1)</f>
        <v/>
      </c>
      <c r="F233" s="25">
        <f>IF(OR($A233="",'04 Prices'!F233="",'04 Prices'!F234=""),"",'04 Prices'!F234/'04 Prices'!F233-1)</f>
        <v/>
      </c>
      <c r="G233" s="25">
        <f>IF(OR($A233="",'04 Prices'!G233="",'04 Prices'!G234=""),"",'04 Prices'!G234/'04 Prices'!G233-1)</f>
        <v/>
      </c>
      <c r="H233" s="25">
        <f>IF(OR($A233="",'04 Prices'!H233="",'04 Prices'!H234=""),"",'04 Prices'!H234/'04 Prices'!H233-1)</f>
        <v/>
      </c>
    </row>
    <row r="234">
      <c r="A234" s="23">
        <f>IF('04 Prices'!A235="","",'04 Prices'!A235)</f>
        <v/>
      </c>
      <c r="B234" s="25">
        <f>IF(OR($A234="",'04 Prices'!B234="",'04 Prices'!B235=""),"",'04 Prices'!B235/'04 Prices'!B234-1)</f>
        <v/>
      </c>
      <c r="C234" s="25">
        <f>IF(OR($A234="",'04 Prices'!C234="",'04 Prices'!C235=""),"",'04 Prices'!C235/'04 Prices'!C234-1)</f>
        <v/>
      </c>
      <c r="D234" s="25">
        <f>IF(OR($A234="",'04 Prices'!D234="",'04 Prices'!D235=""),"",'04 Prices'!D235/'04 Prices'!D234-1)</f>
        <v/>
      </c>
      <c r="E234" s="25">
        <f>IF(OR($A234="",'04 Prices'!E234="",'04 Prices'!E235=""),"",'04 Prices'!E235/'04 Prices'!E234-1)</f>
        <v/>
      </c>
      <c r="F234" s="25">
        <f>IF(OR($A234="",'04 Prices'!F234="",'04 Prices'!F235=""),"",'04 Prices'!F235/'04 Prices'!F234-1)</f>
        <v/>
      </c>
      <c r="G234" s="25">
        <f>IF(OR($A234="",'04 Prices'!G234="",'04 Prices'!G235=""),"",'04 Prices'!G235/'04 Prices'!G234-1)</f>
        <v/>
      </c>
      <c r="H234" s="25">
        <f>IF(OR($A234="",'04 Prices'!H234="",'04 Prices'!H235=""),"",'04 Prices'!H235/'04 Prices'!H234-1)</f>
        <v/>
      </c>
    </row>
    <row r="235">
      <c r="A235" s="23">
        <f>IF('04 Prices'!A236="","",'04 Prices'!A236)</f>
        <v/>
      </c>
      <c r="B235" s="25">
        <f>IF(OR($A235="",'04 Prices'!B235="",'04 Prices'!B236=""),"",'04 Prices'!B236/'04 Prices'!B235-1)</f>
        <v/>
      </c>
      <c r="C235" s="25">
        <f>IF(OR($A235="",'04 Prices'!C235="",'04 Prices'!C236=""),"",'04 Prices'!C236/'04 Prices'!C235-1)</f>
        <v/>
      </c>
      <c r="D235" s="25">
        <f>IF(OR($A235="",'04 Prices'!D235="",'04 Prices'!D236=""),"",'04 Prices'!D236/'04 Prices'!D235-1)</f>
        <v/>
      </c>
      <c r="E235" s="25">
        <f>IF(OR($A235="",'04 Prices'!E235="",'04 Prices'!E236=""),"",'04 Prices'!E236/'04 Prices'!E235-1)</f>
        <v/>
      </c>
      <c r="F235" s="25">
        <f>IF(OR($A235="",'04 Prices'!F235="",'04 Prices'!F236=""),"",'04 Prices'!F236/'04 Prices'!F235-1)</f>
        <v/>
      </c>
      <c r="G235" s="25">
        <f>IF(OR($A235="",'04 Prices'!G235="",'04 Prices'!G236=""),"",'04 Prices'!G236/'04 Prices'!G235-1)</f>
        <v/>
      </c>
      <c r="H235" s="25">
        <f>IF(OR($A235="",'04 Prices'!H235="",'04 Prices'!H236=""),"",'04 Prices'!H236/'04 Prices'!H235-1)</f>
        <v/>
      </c>
    </row>
    <row r="236">
      <c r="A236" s="23">
        <f>IF('04 Prices'!A237="","",'04 Prices'!A237)</f>
        <v/>
      </c>
      <c r="B236" s="25">
        <f>IF(OR($A236="",'04 Prices'!B236="",'04 Prices'!B237=""),"",'04 Prices'!B237/'04 Prices'!B236-1)</f>
        <v/>
      </c>
      <c r="C236" s="25">
        <f>IF(OR($A236="",'04 Prices'!C236="",'04 Prices'!C237=""),"",'04 Prices'!C237/'04 Prices'!C236-1)</f>
        <v/>
      </c>
      <c r="D236" s="25">
        <f>IF(OR($A236="",'04 Prices'!D236="",'04 Prices'!D237=""),"",'04 Prices'!D237/'04 Prices'!D236-1)</f>
        <v/>
      </c>
      <c r="E236" s="25">
        <f>IF(OR($A236="",'04 Prices'!E236="",'04 Prices'!E237=""),"",'04 Prices'!E237/'04 Prices'!E236-1)</f>
        <v/>
      </c>
      <c r="F236" s="25">
        <f>IF(OR($A236="",'04 Prices'!F236="",'04 Prices'!F237=""),"",'04 Prices'!F237/'04 Prices'!F236-1)</f>
        <v/>
      </c>
      <c r="G236" s="25">
        <f>IF(OR($A236="",'04 Prices'!G236="",'04 Prices'!G237=""),"",'04 Prices'!G237/'04 Prices'!G236-1)</f>
        <v/>
      </c>
      <c r="H236" s="25">
        <f>IF(OR($A236="",'04 Prices'!H236="",'04 Prices'!H237=""),"",'04 Prices'!H237/'04 Prices'!H236-1)</f>
        <v/>
      </c>
    </row>
    <row r="237">
      <c r="A237" s="23">
        <f>IF('04 Prices'!A238="","",'04 Prices'!A238)</f>
        <v/>
      </c>
      <c r="B237" s="25">
        <f>IF(OR($A237="",'04 Prices'!B237="",'04 Prices'!B238=""),"",'04 Prices'!B238/'04 Prices'!B237-1)</f>
        <v/>
      </c>
      <c r="C237" s="25">
        <f>IF(OR($A237="",'04 Prices'!C237="",'04 Prices'!C238=""),"",'04 Prices'!C238/'04 Prices'!C237-1)</f>
        <v/>
      </c>
      <c r="D237" s="25">
        <f>IF(OR($A237="",'04 Prices'!D237="",'04 Prices'!D238=""),"",'04 Prices'!D238/'04 Prices'!D237-1)</f>
        <v/>
      </c>
      <c r="E237" s="25">
        <f>IF(OR($A237="",'04 Prices'!E237="",'04 Prices'!E238=""),"",'04 Prices'!E238/'04 Prices'!E237-1)</f>
        <v/>
      </c>
      <c r="F237" s="25">
        <f>IF(OR($A237="",'04 Prices'!F237="",'04 Prices'!F238=""),"",'04 Prices'!F238/'04 Prices'!F237-1)</f>
        <v/>
      </c>
      <c r="G237" s="25">
        <f>IF(OR($A237="",'04 Prices'!G237="",'04 Prices'!G238=""),"",'04 Prices'!G238/'04 Prices'!G237-1)</f>
        <v/>
      </c>
      <c r="H237" s="25">
        <f>IF(OR($A237="",'04 Prices'!H237="",'04 Prices'!H238=""),"",'04 Prices'!H238/'04 Prices'!H237-1)</f>
        <v/>
      </c>
    </row>
    <row r="238">
      <c r="A238" s="23">
        <f>IF('04 Prices'!A239="","",'04 Prices'!A239)</f>
        <v/>
      </c>
      <c r="B238" s="25">
        <f>IF(OR($A238="",'04 Prices'!B238="",'04 Prices'!B239=""),"",'04 Prices'!B239/'04 Prices'!B238-1)</f>
        <v/>
      </c>
      <c r="C238" s="25">
        <f>IF(OR($A238="",'04 Prices'!C238="",'04 Prices'!C239=""),"",'04 Prices'!C239/'04 Prices'!C238-1)</f>
        <v/>
      </c>
      <c r="D238" s="25">
        <f>IF(OR($A238="",'04 Prices'!D238="",'04 Prices'!D239=""),"",'04 Prices'!D239/'04 Prices'!D238-1)</f>
        <v/>
      </c>
      <c r="E238" s="25">
        <f>IF(OR($A238="",'04 Prices'!E238="",'04 Prices'!E239=""),"",'04 Prices'!E239/'04 Prices'!E238-1)</f>
        <v/>
      </c>
      <c r="F238" s="25">
        <f>IF(OR($A238="",'04 Prices'!F238="",'04 Prices'!F239=""),"",'04 Prices'!F239/'04 Prices'!F238-1)</f>
        <v/>
      </c>
      <c r="G238" s="25">
        <f>IF(OR($A238="",'04 Prices'!G238="",'04 Prices'!G239=""),"",'04 Prices'!G239/'04 Prices'!G238-1)</f>
        <v/>
      </c>
      <c r="H238" s="25">
        <f>IF(OR($A238="",'04 Prices'!H238="",'04 Prices'!H239=""),"",'04 Prices'!H239/'04 Prices'!H238-1)</f>
        <v/>
      </c>
    </row>
    <row r="239">
      <c r="A239" s="23">
        <f>IF('04 Prices'!A240="","",'04 Prices'!A240)</f>
        <v/>
      </c>
      <c r="B239" s="25">
        <f>IF(OR($A239="",'04 Prices'!B239="",'04 Prices'!B240=""),"",'04 Prices'!B240/'04 Prices'!B239-1)</f>
        <v/>
      </c>
      <c r="C239" s="25">
        <f>IF(OR($A239="",'04 Prices'!C239="",'04 Prices'!C240=""),"",'04 Prices'!C240/'04 Prices'!C239-1)</f>
        <v/>
      </c>
      <c r="D239" s="25">
        <f>IF(OR($A239="",'04 Prices'!D239="",'04 Prices'!D240=""),"",'04 Prices'!D240/'04 Prices'!D239-1)</f>
        <v/>
      </c>
      <c r="E239" s="25">
        <f>IF(OR($A239="",'04 Prices'!E239="",'04 Prices'!E240=""),"",'04 Prices'!E240/'04 Prices'!E239-1)</f>
        <v/>
      </c>
      <c r="F239" s="25">
        <f>IF(OR($A239="",'04 Prices'!F239="",'04 Prices'!F240=""),"",'04 Prices'!F240/'04 Prices'!F239-1)</f>
        <v/>
      </c>
      <c r="G239" s="25">
        <f>IF(OR($A239="",'04 Prices'!G239="",'04 Prices'!G240=""),"",'04 Prices'!G240/'04 Prices'!G239-1)</f>
        <v/>
      </c>
      <c r="H239" s="25">
        <f>IF(OR($A239="",'04 Prices'!H239="",'04 Prices'!H240=""),"",'04 Prices'!H240/'04 Prices'!H239-1)</f>
        <v/>
      </c>
    </row>
    <row r="240">
      <c r="A240" s="23">
        <f>IF('04 Prices'!A241="","",'04 Prices'!A241)</f>
        <v/>
      </c>
      <c r="B240" s="25">
        <f>IF(OR($A240="",'04 Prices'!B240="",'04 Prices'!B241=""),"",'04 Prices'!B241/'04 Prices'!B240-1)</f>
        <v/>
      </c>
      <c r="C240" s="25">
        <f>IF(OR($A240="",'04 Prices'!C240="",'04 Prices'!C241=""),"",'04 Prices'!C241/'04 Prices'!C240-1)</f>
        <v/>
      </c>
      <c r="D240" s="25">
        <f>IF(OR($A240="",'04 Prices'!D240="",'04 Prices'!D241=""),"",'04 Prices'!D241/'04 Prices'!D240-1)</f>
        <v/>
      </c>
      <c r="E240" s="25">
        <f>IF(OR($A240="",'04 Prices'!E240="",'04 Prices'!E241=""),"",'04 Prices'!E241/'04 Prices'!E240-1)</f>
        <v/>
      </c>
      <c r="F240" s="25">
        <f>IF(OR($A240="",'04 Prices'!F240="",'04 Prices'!F241=""),"",'04 Prices'!F241/'04 Prices'!F240-1)</f>
        <v/>
      </c>
      <c r="G240" s="25">
        <f>IF(OR($A240="",'04 Prices'!G240="",'04 Prices'!G241=""),"",'04 Prices'!G241/'04 Prices'!G240-1)</f>
        <v/>
      </c>
      <c r="H240" s="25">
        <f>IF(OR($A240="",'04 Prices'!H240="",'04 Prices'!H241=""),"",'04 Prices'!H241/'04 Prices'!H240-1)</f>
        <v/>
      </c>
    </row>
    <row r="241">
      <c r="A241" s="23">
        <f>IF('04 Prices'!A242="","",'04 Prices'!A242)</f>
        <v/>
      </c>
      <c r="B241" s="25">
        <f>IF(OR($A241="",'04 Prices'!B241="",'04 Prices'!B242=""),"",'04 Prices'!B242/'04 Prices'!B241-1)</f>
        <v/>
      </c>
      <c r="C241" s="25">
        <f>IF(OR($A241="",'04 Prices'!C241="",'04 Prices'!C242=""),"",'04 Prices'!C242/'04 Prices'!C241-1)</f>
        <v/>
      </c>
      <c r="D241" s="25">
        <f>IF(OR($A241="",'04 Prices'!D241="",'04 Prices'!D242=""),"",'04 Prices'!D242/'04 Prices'!D241-1)</f>
        <v/>
      </c>
      <c r="E241" s="25">
        <f>IF(OR($A241="",'04 Prices'!E241="",'04 Prices'!E242=""),"",'04 Prices'!E242/'04 Prices'!E241-1)</f>
        <v/>
      </c>
      <c r="F241" s="25">
        <f>IF(OR($A241="",'04 Prices'!F241="",'04 Prices'!F242=""),"",'04 Prices'!F242/'04 Prices'!F241-1)</f>
        <v/>
      </c>
      <c r="G241" s="25">
        <f>IF(OR($A241="",'04 Prices'!G241="",'04 Prices'!G242=""),"",'04 Prices'!G242/'04 Prices'!G241-1)</f>
        <v/>
      </c>
      <c r="H241" s="25">
        <f>IF(OR($A241="",'04 Prices'!H241="",'04 Prices'!H242=""),"",'04 Prices'!H242/'04 Prices'!H241-1)</f>
        <v/>
      </c>
    </row>
    <row r="242">
      <c r="A242" s="23">
        <f>IF('04 Prices'!A243="","",'04 Prices'!A243)</f>
        <v/>
      </c>
      <c r="B242" s="25">
        <f>IF(OR($A242="",'04 Prices'!B242="",'04 Prices'!B243=""),"",'04 Prices'!B243/'04 Prices'!B242-1)</f>
        <v/>
      </c>
      <c r="C242" s="25">
        <f>IF(OR($A242="",'04 Prices'!C242="",'04 Prices'!C243=""),"",'04 Prices'!C243/'04 Prices'!C242-1)</f>
        <v/>
      </c>
      <c r="D242" s="25">
        <f>IF(OR($A242="",'04 Prices'!D242="",'04 Prices'!D243=""),"",'04 Prices'!D243/'04 Prices'!D242-1)</f>
        <v/>
      </c>
      <c r="E242" s="25">
        <f>IF(OR($A242="",'04 Prices'!E242="",'04 Prices'!E243=""),"",'04 Prices'!E243/'04 Prices'!E242-1)</f>
        <v/>
      </c>
      <c r="F242" s="25">
        <f>IF(OR($A242="",'04 Prices'!F242="",'04 Prices'!F243=""),"",'04 Prices'!F243/'04 Prices'!F242-1)</f>
        <v/>
      </c>
      <c r="G242" s="25">
        <f>IF(OR($A242="",'04 Prices'!G242="",'04 Prices'!G243=""),"",'04 Prices'!G243/'04 Prices'!G242-1)</f>
        <v/>
      </c>
      <c r="H242" s="25">
        <f>IF(OR($A242="",'04 Prices'!H242="",'04 Prices'!H243=""),"",'04 Prices'!H243/'04 Prices'!H242-1)</f>
        <v/>
      </c>
    </row>
    <row r="243">
      <c r="A243" s="23">
        <f>IF('04 Prices'!A244="","",'04 Prices'!A244)</f>
        <v/>
      </c>
      <c r="B243" s="25">
        <f>IF(OR($A243="",'04 Prices'!B243="",'04 Prices'!B244=""),"",'04 Prices'!B244/'04 Prices'!B243-1)</f>
        <v/>
      </c>
      <c r="C243" s="25">
        <f>IF(OR($A243="",'04 Prices'!C243="",'04 Prices'!C244=""),"",'04 Prices'!C244/'04 Prices'!C243-1)</f>
        <v/>
      </c>
      <c r="D243" s="25">
        <f>IF(OR($A243="",'04 Prices'!D243="",'04 Prices'!D244=""),"",'04 Prices'!D244/'04 Prices'!D243-1)</f>
        <v/>
      </c>
      <c r="E243" s="25">
        <f>IF(OR($A243="",'04 Prices'!E243="",'04 Prices'!E244=""),"",'04 Prices'!E244/'04 Prices'!E243-1)</f>
        <v/>
      </c>
      <c r="F243" s="25">
        <f>IF(OR($A243="",'04 Prices'!F243="",'04 Prices'!F244=""),"",'04 Prices'!F244/'04 Prices'!F243-1)</f>
        <v/>
      </c>
      <c r="G243" s="25">
        <f>IF(OR($A243="",'04 Prices'!G243="",'04 Prices'!G244=""),"",'04 Prices'!G244/'04 Prices'!G243-1)</f>
        <v/>
      </c>
      <c r="H243" s="25">
        <f>IF(OR($A243="",'04 Prices'!H243="",'04 Prices'!H244=""),"",'04 Prices'!H244/'04 Prices'!H243-1)</f>
        <v/>
      </c>
    </row>
    <row r="244">
      <c r="A244" s="23">
        <f>IF('04 Prices'!A245="","",'04 Prices'!A245)</f>
        <v/>
      </c>
      <c r="B244" s="25">
        <f>IF(OR($A244="",'04 Prices'!B244="",'04 Prices'!B245=""),"",'04 Prices'!B245/'04 Prices'!B244-1)</f>
        <v/>
      </c>
      <c r="C244" s="25">
        <f>IF(OR($A244="",'04 Prices'!C244="",'04 Prices'!C245=""),"",'04 Prices'!C245/'04 Prices'!C244-1)</f>
        <v/>
      </c>
      <c r="D244" s="25">
        <f>IF(OR($A244="",'04 Prices'!D244="",'04 Prices'!D245=""),"",'04 Prices'!D245/'04 Prices'!D244-1)</f>
        <v/>
      </c>
      <c r="E244" s="25">
        <f>IF(OR($A244="",'04 Prices'!E244="",'04 Prices'!E245=""),"",'04 Prices'!E245/'04 Prices'!E244-1)</f>
        <v/>
      </c>
      <c r="F244" s="25">
        <f>IF(OR($A244="",'04 Prices'!F244="",'04 Prices'!F245=""),"",'04 Prices'!F245/'04 Prices'!F244-1)</f>
        <v/>
      </c>
      <c r="G244" s="25">
        <f>IF(OR($A244="",'04 Prices'!G244="",'04 Prices'!G245=""),"",'04 Prices'!G245/'04 Prices'!G244-1)</f>
        <v/>
      </c>
      <c r="H244" s="25">
        <f>IF(OR($A244="",'04 Prices'!H244="",'04 Prices'!H245=""),"",'04 Prices'!H245/'04 Prices'!H244-1)</f>
        <v/>
      </c>
    </row>
    <row r="245">
      <c r="A245" s="23">
        <f>IF('04 Prices'!A246="","",'04 Prices'!A246)</f>
        <v/>
      </c>
      <c r="B245" s="25">
        <f>IF(OR($A245="",'04 Prices'!B245="",'04 Prices'!B246=""),"",'04 Prices'!B246/'04 Prices'!B245-1)</f>
        <v/>
      </c>
      <c r="C245" s="25">
        <f>IF(OR($A245="",'04 Prices'!C245="",'04 Prices'!C246=""),"",'04 Prices'!C246/'04 Prices'!C245-1)</f>
        <v/>
      </c>
      <c r="D245" s="25">
        <f>IF(OR($A245="",'04 Prices'!D245="",'04 Prices'!D246=""),"",'04 Prices'!D246/'04 Prices'!D245-1)</f>
        <v/>
      </c>
      <c r="E245" s="25">
        <f>IF(OR($A245="",'04 Prices'!E245="",'04 Prices'!E246=""),"",'04 Prices'!E246/'04 Prices'!E245-1)</f>
        <v/>
      </c>
      <c r="F245" s="25">
        <f>IF(OR($A245="",'04 Prices'!F245="",'04 Prices'!F246=""),"",'04 Prices'!F246/'04 Prices'!F245-1)</f>
        <v/>
      </c>
      <c r="G245" s="25">
        <f>IF(OR($A245="",'04 Prices'!G245="",'04 Prices'!G246=""),"",'04 Prices'!G246/'04 Prices'!G245-1)</f>
        <v/>
      </c>
      <c r="H245" s="25">
        <f>IF(OR($A245="",'04 Prices'!H245="",'04 Prices'!H246=""),"",'04 Prices'!H246/'04 Prices'!H245-1)</f>
        <v/>
      </c>
    </row>
    <row r="246">
      <c r="A246" s="23">
        <f>IF('04 Prices'!A247="","",'04 Prices'!A247)</f>
        <v/>
      </c>
      <c r="B246" s="25">
        <f>IF(OR($A246="",'04 Prices'!B246="",'04 Prices'!B247=""),"",'04 Prices'!B247/'04 Prices'!B246-1)</f>
        <v/>
      </c>
      <c r="C246" s="25">
        <f>IF(OR($A246="",'04 Prices'!C246="",'04 Prices'!C247=""),"",'04 Prices'!C247/'04 Prices'!C246-1)</f>
        <v/>
      </c>
      <c r="D246" s="25">
        <f>IF(OR($A246="",'04 Prices'!D246="",'04 Prices'!D247=""),"",'04 Prices'!D247/'04 Prices'!D246-1)</f>
        <v/>
      </c>
      <c r="E246" s="25">
        <f>IF(OR($A246="",'04 Prices'!E246="",'04 Prices'!E247=""),"",'04 Prices'!E247/'04 Prices'!E246-1)</f>
        <v/>
      </c>
      <c r="F246" s="25">
        <f>IF(OR($A246="",'04 Prices'!F246="",'04 Prices'!F247=""),"",'04 Prices'!F247/'04 Prices'!F246-1)</f>
        <v/>
      </c>
      <c r="G246" s="25">
        <f>IF(OR($A246="",'04 Prices'!G246="",'04 Prices'!G247=""),"",'04 Prices'!G247/'04 Prices'!G246-1)</f>
        <v/>
      </c>
      <c r="H246" s="25">
        <f>IF(OR($A246="",'04 Prices'!H246="",'04 Prices'!H247=""),"",'04 Prices'!H247/'04 Prices'!H246-1)</f>
        <v/>
      </c>
    </row>
    <row r="247">
      <c r="A247" s="23">
        <f>IF('04 Prices'!A248="","",'04 Prices'!A248)</f>
        <v/>
      </c>
      <c r="B247" s="25">
        <f>IF(OR($A247="",'04 Prices'!B247="",'04 Prices'!B248=""),"",'04 Prices'!B248/'04 Prices'!B247-1)</f>
        <v/>
      </c>
      <c r="C247" s="25">
        <f>IF(OR($A247="",'04 Prices'!C247="",'04 Prices'!C248=""),"",'04 Prices'!C248/'04 Prices'!C247-1)</f>
        <v/>
      </c>
      <c r="D247" s="25">
        <f>IF(OR($A247="",'04 Prices'!D247="",'04 Prices'!D248=""),"",'04 Prices'!D248/'04 Prices'!D247-1)</f>
        <v/>
      </c>
      <c r="E247" s="25">
        <f>IF(OR($A247="",'04 Prices'!E247="",'04 Prices'!E248=""),"",'04 Prices'!E248/'04 Prices'!E247-1)</f>
        <v/>
      </c>
      <c r="F247" s="25">
        <f>IF(OR($A247="",'04 Prices'!F247="",'04 Prices'!F248=""),"",'04 Prices'!F248/'04 Prices'!F247-1)</f>
        <v/>
      </c>
      <c r="G247" s="25">
        <f>IF(OR($A247="",'04 Prices'!G247="",'04 Prices'!G248=""),"",'04 Prices'!G248/'04 Prices'!G247-1)</f>
        <v/>
      </c>
      <c r="H247" s="25">
        <f>IF(OR($A247="",'04 Prices'!H247="",'04 Prices'!H248=""),"",'04 Prices'!H248/'04 Prices'!H247-1)</f>
        <v/>
      </c>
    </row>
    <row r="248">
      <c r="A248" s="23">
        <f>IF('04 Prices'!A249="","",'04 Prices'!A249)</f>
        <v/>
      </c>
      <c r="B248" s="25">
        <f>IF(OR($A248="",'04 Prices'!B248="",'04 Prices'!B249=""),"",'04 Prices'!B249/'04 Prices'!B248-1)</f>
        <v/>
      </c>
      <c r="C248" s="25">
        <f>IF(OR($A248="",'04 Prices'!C248="",'04 Prices'!C249=""),"",'04 Prices'!C249/'04 Prices'!C248-1)</f>
        <v/>
      </c>
      <c r="D248" s="25">
        <f>IF(OR($A248="",'04 Prices'!D248="",'04 Prices'!D249=""),"",'04 Prices'!D249/'04 Prices'!D248-1)</f>
        <v/>
      </c>
      <c r="E248" s="25">
        <f>IF(OR($A248="",'04 Prices'!E248="",'04 Prices'!E249=""),"",'04 Prices'!E249/'04 Prices'!E248-1)</f>
        <v/>
      </c>
      <c r="F248" s="25">
        <f>IF(OR($A248="",'04 Prices'!F248="",'04 Prices'!F249=""),"",'04 Prices'!F249/'04 Prices'!F248-1)</f>
        <v/>
      </c>
      <c r="G248" s="25">
        <f>IF(OR($A248="",'04 Prices'!G248="",'04 Prices'!G249=""),"",'04 Prices'!G249/'04 Prices'!G248-1)</f>
        <v/>
      </c>
      <c r="H248" s="25">
        <f>IF(OR($A248="",'04 Prices'!H248="",'04 Prices'!H249=""),"",'04 Prices'!H249/'04 Prices'!H248-1)</f>
        <v/>
      </c>
    </row>
    <row r="249">
      <c r="A249" s="23">
        <f>IF('04 Prices'!A250="","",'04 Prices'!A250)</f>
        <v/>
      </c>
      <c r="B249" s="25">
        <f>IF(OR($A249="",'04 Prices'!B249="",'04 Prices'!B250=""),"",'04 Prices'!B250/'04 Prices'!B249-1)</f>
        <v/>
      </c>
      <c r="C249" s="25">
        <f>IF(OR($A249="",'04 Prices'!C249="",'04 Prices'!C250=""),"",'04 Prices'!C250/'04 Prices'!C249-1)</f>
        <v/>
      </c>
      <c r="D249" s="25">
        <f>IF(OR($A249="",'04 Prices'!D249="",'04 Prices'!D250=""),"",'04 Prices'!D250/'04 Prices'!D249-1)</f>
        <v/>
      </c>
      <c r="E249" s="25">
        <f>IF(OR($A249="",'04 Prices'!E249="",'04 Prices'!E250=""),"",'04 Prices'!E250/'04 Prices'!E249-1)</f>
        <v/>
      </c>
      <c r="F249" s="25">
        <f>IF(OR($A249="",'04 Prices'!F249="",'04 Prices'!F250=""),"",'04 Prices'!F250/'04 Prices'!F249-1)</f>
        <v/>
      </c>
      <c r="G249" s="25">
        <f>IF(OR($A249="",'04 Prices'!G249="",'04 Prices'!G250=""),"",'04 Prices'!G250/'04 Prices'!G249-1)</f>
        <v/>
      </c>
      <c r="H249" s="25">
        <f>IF(OR($A249="",'04 Prices'!H249="",'04 Prices'!H250=""),"",'04 Prices'!H250/'04 Prices'!H249-1)</f>
        <v/>
      </c>
    </row>
    <row r="250">
      <c r="A250" s="23">
        <f>IF('04 Prices'!A251="","",'04 Prices'!A251)</f>
        <v/>
      </c>
      <c r="B250" s="25">
        <f>IF(OR($A250="",'04 Prices'!B250="",'04 Prices'!B251=""),"",'04 Prices'!B251/'04 Prices'!B250-1)</f>
        <v/>
      </c>
      <c r="C250" s="25">
        <f>IF(OR($A250="",'04 Prices'!C250="",'04 Prices'!C251=""),"",'04 Prices'!C251/'04 Prices'!C250-1)</f>
        <v/>
      </c>
      <c r="D250" s="25">
        <f>IF(OR($A250="",'04 Prices'!D250="",'04 Prices'!D251=""),"",'04 Prices'!D251/'04 Prices'!D250-1)</f>
        <v/>
      </c>
      <c r="E250" s="25">
        <f>IF(OR($A250="",'04 Prices'!E250="",'04 Prices'!E251=""),"",'04 Prices'!E251/'04 Prices'!E250-1)</f>
        <v/>
      </c>
      <c r="F250" s="25">
        <f>IF(OR($A250="",'04 Prices'!F250="",'04 Prices'!F251=""),"",'04 Prices'!F251/'04 Prices'!F250-1)</f>
        <v/>
      </c>
      <c r="G250" s="25">
        <f>IF(OR($A250="",'04 Prices'!G250="",'04 Prices'!G251=""),"",'04 Prices'!G251/'04 Prices'!G250-1)</f>
        <v/>
      </c>
      <c r="H250" s="25">
        <f>IF(OR($A250="",'04 Prices'!H250="",'04 Prices'!H251=""),"",'04 Prices'!H251/'04 Prices'!H250-1)</f>
        <v/>
      </c>
    </row>
    <row r="251">
      <c r="A251" s="23">
        <f>IF('04 Prices'!A252="","",'04 Prices'!A252)</f>
        <v/>
      </c>
      <c r="B251" s="25">
        <f>IF(OR($A251="",'04 Prices'!B251="",'04 Prices'!B252=""),"",'04 Prices'!B252/'04 Prices'!B251-1)</f>
        <v/>
      </c>
      <c r="C251" s="25">
        <f>IF(OR($A251="",'04 Prices'!C251="",'04 Prices'!C252=""),"",'04 Prices'!C252/'04 Prices'!C251-1)</f>
        <v/>
      </c>
      <c r="D251" s="25">
        <f>IF(OR($A251="",'04 Prices'!D251="",'04 Prices'!D252=""),"",'04 Prices'!D252/'04 Prices'!D251-1)</f>
        <v/>
      </c>
      <c r="E251" s="25">
        <f>IF(OR($A251="",'04 Prices'!E251="",'04 Prices'!E252=""),"",'04 Prices'!E252/'04 Prices'!E251-1)</f>
        <v/>
      </c>
      <c r="F251" s="25">
        <f>IF(OR($A251="",'04 Prices'!F251="",'04 Prices'!F252=""),"",'04 Prices'!F252/'04 Prices'!F251-1)</f>
        <v/>
      </c>
      <c r="G251" s="25">
        <f>IF(OR($A251="",'04 Prices'!G251="",'04 Prices'!G252=""),"",'04 Prices'!G252/'04 Prices'!G251-1)</f>
        <v/>
      </c>
      <c r="H251" s="25">
        <f>IF(OR($A251="",'04 Prices'!H251="",'04 Prices'!H252=""),"",'04 Prices'!H252/'04 Prices'!H251-1)</f>
        <v/>
      </c>
    </row>
    <row r="252">
      <c r="A252" s="23">
        <f>IF('04 Prices'!A253="","",'04 Prices'!A253)</f>
        <v/>
      </c>
      <c r="B252" s="25">
        <f>IF(OR($A252="",'04 Prices'!B252="",'04 Prices'!B253=""),"",'04 Prices'!B253/'04 Prices'!B252-1)</f>
        <v/>
      </c>
      <c r="C252" s="25">
        <f>IF(OR($A252="",'04 Prices'!C252="",'04 Prices'!C253=""),"",'04 Prices'!C253/'04 Prices'!C252-1)</f>
        <v/>
      </c>
      <c r="D252" s="25">
        <f>IF(OR($A252="",'04 Prices'!D252="",'04 Prices'!D253=""),"",'04 Prices'!D253/'04 Prices'!D252-1)</f>
        <v/>
      </c>
      <c r="E252" s="25">
        <f>IF(OR($A252="",'04 Prices'!E252="",'04 Prices'!E253=""),"",'04 Prices'!E253/'04 Prices'!E252-1)</f>
        <v/>
      </c>
      <c r="F252" s="25">
        <f>IF(OR($A252="",'04 Prices'!F252="",'04 Prices'!F253=""),"",'04 Prices'!F253/'04 Prices'!F252-1)</f>
        <v/>
      </c>
      <c r="G252" s="25">
        <f>IF(OR($A252="",'04 Prices'!G252="",'04 Prices'!G253=""),"",'04 Prices'!G253/'04 Prices'!G252-1)</f>
        <v/>
      </c>
      <c r="H252" s="25">
        <f>IF(OR($A252="",'04 Prices'!H252="",'04 Prices'!H253=""),"",'04 Prices'!H253/'04 Prices'!H252-1)</f>
        <v/>
      </c>
    </row>
    <row r="253">
      <c r="A253" s="23">
        <f>IF('04 Prices'!A254="","",'04 Prices'!A254)</f>
        <v/>
      </c>
      <c r="B253" s="25">
        <f>IF(OR($A253="",'04 Prices'!B253="",'04 Prices'!B254=""),"",'04 Prices'!B254/'04 Prices'!B253-1)</f>
        <v/>
      </c>
      <c r="C253" s="25">
        <f>IF(OR($A253="",'04 Prices'!C253="",'04 Prices'!C254=""),"",'04 Prices'!C254/'04 Prices'!C253-1)</f>
        <v/>
      </c>
      <c r="D253" s="25">
        <f>IF(OR($A253="",'04 Prices'!D253="",'04 Prices'!D254=""),"",'04 Prices'!D254/'04 Prices'!D253-1)</f>
        <v/>
      </c>
      <c r="E253" s="25">
        <f>IF(OR($A253="",'04 Prices'!E253="",'04 Prices'!E254=""),"",'04 Prices'!E254/'04 Prices'!E253-1)</f>
        <v/>
      </c>
      <c r="F253" s="25">
        <f>IF(OR($A253="",'04 Prices'!F253="",'04 Prices'!F254=""),"",'04 Prices'!F254/'04 Prices'!F253-1)</f>
        <v/>
      </c>
      <c r="G253" s="25">
        <f>IF(OR($A253="",'04 Prices'!G253="",'04 Prices'!G254=""),"",'04 Prices'!G254/'04 Prices'!G253-1)</f>
        <v/>
      </c>
      <c r="H253" s="25">
        <f>IF(OR($A253="",'04 Prices'!H253="",'04 Prices'!H254=""),"",'04 Prices'!H254/'04 Prices'!H253-1)</f>
        <v/>
      </c>
    </row>
    <row r="254">
      <c r="A254" s="23">
        <f>IF('04 Prices'!A255="","",'04 Prices'!A255)</f>
        <v/>
      </c>
      <c r="B254" s="25">
        <f>IF(OR($A254="",'04 Prices'!B254="",'04 Prices'!B255=""),"",'04 Prices'!B255/'04 Prices'!B254-1)</f>
        <v/>
      </c>
      <c r="C254" s="25">
        <f>IF(OR($A254="",'04 Prices'!C254="",'04 Prices'!C255=""),"",'04 Prices'!C255/'04 Prices'!C254-1)</f>
        <v/>
      </c>
      <c r="D254" s="25">
        <f>IF(OR($A254="",'04 Prices'!D254="",'04 Prices'!D255=""),"",'04 Prices'!D255/'04 Prices'!D254-1)</f>
        <v/>
      </c>
      <c r="E254" s="25">
        <f>IF(OR($A254="",'04 Prices'!E254="",'04 Prices'!E255=""),"",'04 Prices'!E255/'04 Prices'!E254-1)</f>
        <v/>
      </c>
      <c r="F254" s="25">
        <f>IF(OR($A254="",'04 Prices'!F254="",'04 Prices'!F255=""),"",'04 Prices'!F255/'04 Prices'!F254-1)</f>
        <v/>
      </c>
      <c r="G254" s="25">
        <f>IF(OR($A254="",'04 Prices'!G254="",'04 Prices'!G255=""),"",'04 Prices'!G255/'04 Prices'!G254-1)</f>
        <v/>
      </c>
      <c r="H254" s="25">
        <f>IF(OR($A254="",'04 Prices'!H254="",'04 Prices'!H255=""),"",'04 Prices'!H255/'04 Prices'!H254-1)</f>
        <v/>
      </c>
    </row>
    <row r="255">
      <c r="A255" s="23">
        <f>IF('04 Prices'!A256="","",'04 Prices'!A256)</f>
        <v/>
      </c>
      <c r="B255" s="25">
        <f>IF(OR($A255="",'04 Prices'!B255="",'04 Prices'!B256=""),"",'04 Prices'!B256/'04 Prices'!B255-1)</f>
        <v/>
      </c>
      <c r="C255" s="25">
        <f>IF(OR($A255="",'04 Prices'!C255="",'04 Prices'!C256=""),"",'04 Prices'!C256/'04 Prices'!C255-1)</f>
        <v/>
      </c>
      <c r="D255" s="25">
        <f>IF(OR($A255="",'04 Prices'!D255="",'04 Prices'!D256=""),"",'04 Prices'!D256/'04 Prices'!D255-1)</f>
        <v/>
      </c>
      <c r="E255" s="25">
        <f>IF(OR($A255="",'04 Prices'!E255="",'04 Prices'!E256=""),"",'04 Prices'!E256/'04 Prices'!E255-1)</f>
        <v/>
      </c>
      <c r="F255" s="25">
        <f>IF(OR($A255="",'04 Prices'!F255="",'04 Prices'!F256=""),"",'04 Prices'!F256/'04 Prices'!F255-1)</f>
        <v/>
      </c>
      <c r="G255" s="25">
        <f>IF(OR($A255="",'04 Prices'!G255="",'04 Prices'!G256=""),"",'04 Prices'!G256/'04 Prices'!G255-1)</f>
        <v/>
      </c>
      <c r="H255" s="25">
        <f>IF(OR($A255="",'04 Prices'!H255="",'04 Prices'!H256=""),"",'04 Prices'!H256/'04 Prices'!H255-1)</f>
        <v/>
      </c>
    </row>
    <row r="256">
      <c r="A256" s="23">
        <f>IF('04 Prices'!A257="","",'04 Prices'!A257)</f>
        <v/>
      </c>
      <c r="B256" s="25">
        <f>IF(OR($A256="",'04 Prices'!B256="",'04 Prices'!B257=""),"",'04 Prices'!B257/'04 Prices'!B256-1)</f>
        <v/>
      </c>
      <c r="C256" s="25">
        <f>IF(OR($A256="",'04 Prices'!C256="",'04 Prices'!C257=""),"",'04 Prices'!C257/'04 Prices'!C256-1)</f>
        <v/>
      </c>
      <c r="D256" s="25">
        <f>IF(OR($A256="",'04 Prices'!D256="",'04 Prices'!D257=""),"",'04 Prices'!D257/'04 Prices'!D256-1)</f>
        <v/>
      </c>
      <c r="E256" s="25">
        <f>IF(OR($A256="",'04 Prices'!E256="",'04 Prices'!E257=""),"",'04 Prices'!E257/'04 Prices'!E256-1)</f>
        <v/>
      </c>
      <c r="F256" s="25">
        <f>IF(OR($A256="",'04 Prices'!F256="",'04 Prices'!F257=""),"",'04 Prices'!F257/'04 Prices'!F256-1)</f>
        <v/>
      </c>
      <c r="G256" s="25">
        <f>IF(OR($A256="",'04 Prices'!G256="",'04 Prices'!G257=""),"",'04 Prices'!G257/'04 Prices'!G256-1)</f>
        <v/>
      </c>
      <c r="H256" s="25">
        <f>IF(OR($A256="",'04 Prices'!H256="",'04 Prices'!H257=""),"",'04 Prices'!H257/'04 Prices'!H256-1)</f>
        <v/>
      </c>
    </row>
    <row r="257">
      <c r="A257" s="23">
        <f>IF('04 Prices'!A258="","",'04 Prices'!A258)</f>
        <v/>
      </c>
      <c r="B257" s="25">
        <f>IF(OR($A257="",'04 Prices'!B257="",'04 Prices'!B258=""),"",'04 Prices'!B258/'04 Prices'!B257-1)</f>
        <v/>
      </c>
      <c r="C257" s="25">
        <f>IF(OR($A257="",'04 Prices'!C257="",'04 Prices'!C258=""),"",'04 Prices'!C258/'04 Prices'!C257-1)</f>
        <v/>
      </c>
      <c r="D257" s="25">
        <f>IF(OR($A257="",'04 Prices'!D257="",'04 Prices'!D258=""),"",'04 Prices'!D258/'04 Prices'!D257-1)</f>
        <v/>
      </c>
      <c r="E257" s="25">
        <f>IF(OR($A257="",'04 Prices'!E257="",'04 Prices'!E258=""),"",'04 Prices'!E258/'04 Prices'!E257-1)</f>
        <v/>
      </c>
      <c r="F257" s="25">
        <f>IF(OR($A257="",'04 Prices'!F257="",'04 Prices'!F258=""),"",'04 Prices'!F258/'04 Prices'!F257-1)</f>
        <v/>
      </c>
      <c r="G257" s="25">
        <f>IF(OR($A257="",'04 Prices'!G257="",'04 Prices'!G258=""),"",'04 Prices'!G258/'04 Prices'!G257-1)</f>
        <v/>
      </c>
      <c r="H257" s="25">
        <f>IF(OR($A257="",'04 Prices'!H257="",'04 Prices'!H258=""),"",'04 Prices'!H258/'04 Prices'!H257-1)</f>
        <v/>
      </c>
    </row>
    <row r="258">
      <c r="A258" s="23">
        <f>IF('04 Prices'!A259="","",'04 Prices'!A259)</f>
        <v/>
      </c>
      <c r="B258" s="25">
        <f>IF(OR($A258="",'04 Prices'!B258="",'04 Prices'!B259=""),"",'04 Prices'!B259/'04 Prices'!B258-1)</f>
        <v/>
      </c>
      <c r="C258" s="25">
        <f>IF(OR($A258="",'04 Prices'!C258="",'04 Prices'!C259=""),"",'04 Prices'!C259/'04 Prices'!C258-1)</f>
        <v/>
      </c>
      <c r="D258" s="25">
        <f>IF(OR($A258="",'04 Prices'!D258="",'04 Prices'!D259=""),"",'04 Prices'!D259/'04 Prices'!D258-1)</f>
        <v/>
      </c>
      <c r="E258" s="25">
        <f>IF(OR($A258="",'04 Prices'!E258="",'04 Prices'!E259=""),"",'04 Prices'!E259/'04 Prices'!E258-1)</f>
        <v/>
      </c>
      <c r="F258" s="25">
        <f>IF(OR($A258="",'04 Prices'!F258="",'04 Prices'!F259=""),"",'04 Prices'!F259/'04 Prices'!F258-1)</f>
        <v/>
      </c>
      <c r="G258" s="25">
        <f>IF(OR($A258="",'04 Prices'!G258="",'04 Prices'!G259=""),"",'04 Prices'!G259/'04 Prices'!G258-1)</f>
        <v/>
      </c>
      <c r="H258" s="25">
        <f>IF(OR($A258="",'04 Prices'!H258="",'04 Prices'!H259=""),"",'04 Prices'!H259/'04 Prices'!H258-1)</f>
        <v/>
      </c>
    </row>
    <row r="259">
      <c r="A259" s="23">
        <f>IF('04 Prices'!A260="","",'04 Prices'!A260)</f>
        <v/>
      </c>
      <c r="B259" s="25">
        <f>IF(OR($A259="",'04 Prices'!B259="",'04 Prices'!B260=""),"",'04 Prices'!B260/'04 Prices'!B259-1)</f>
        <v/>
      </c>
      <c r="C259" s="25">
        <f>IF(OR($A259="",'04 Prices'!C259="",'04 Prices'!C260=""),"",'04 Prices'!C260/'04 Prices'!C259-1)</f>
        <v/>
      </c>
      <c r="D259" s="25">
        <f>IF(OR($A259="",'04 Prices'!D259="",'04 Prices'!D260=""),"",'04 Prices'!D260/'04 Prices'!D259-1)</f>
        <v/>
      </c>
      <c r="E259" s="25">
        <f>IF(OR($A259="",'04 Prices'!E259="",'04 Prices'!E260=""),"",'04 Prices'!E260/'04 Prices'!E259-1)</f>
        <v/>
      </c>
      <c r="F259" s="25">
        <f>IF(OR($A259="",'04 Prices'!F259="",'04 Prices'!F260=""),"",'04 Prices'!F260/'04 Prices'!F259-1)</f>
        <v/>
      </c>
      <c r="G259" s="25">
        <f>IF(OR($A259="",'04 Prices'!G259="",'04 Prices'!G260=""),"",'04 Prices'!G260/'04 Prices'!G259-1)</f>
        <v/>
      </c>
      <c r="H259" s="25">
        <f>IF(OR($A259="",'04 Prices'!H259="",'04 Prices'!H260=""),"",'04 Prices'!H260/'04 Prices'!H259-1)</f>
        <v/>
      </c>
    </row>
    <row r="260">
      <c r="A260" s="23">
        <f>IF('04 Prices'!A261="","",'04 Prices'!A261)</f>
        <v/>
      </c>
      <c r="B260" s="25">
        <f>IF(OR($A260="",'04 Prices'!B260="",'04 Prices'!B261=""),"",'04 Prices'!B261/'04 Prices'!B260-1)</f>
        <v/>
      </c>
      <c r="C260" s="25">
        <f>IF(OR($A260="",'04 Prices'!C260="",'04 Prices'!C261=""),"",'04 Prices'!C261/'04 Prices'!C260-1)</f>
        <v/>
      </c>
      <c r="D260" s="25">
        <f>IF(OR($A260="",'04 Prices'!D260="",'04 Prices'!D261=""),"",'04 Prices'!D261/'04 Prices'!D260-1)</f>
        <v/>
      </c>
      <c r="E260" s="25">
        <f>IF(OR($A260="",'04 Prices'!E260="",'04 Prices'!E261=""),"",'04 Prices'!E261/'04 Prices'!E260-1)</f>
        <v/>
      </c>
      <c r="F260" s="25">
        <f>IF(OR($A260="",'04 Prices'!F260="",'04 Prices'!F261=""),"",'04 Prices'!F261/'04 Prices'!F260-1)</f>
        <v/>
      </c>
      <c r="G260" s="25">
        <f>IF(OR($A260="",'04 Prices'!G260="",'04 Prices'!G261=""),"",'04 Prices'!G261/'04 Prices'!G260-1)</f>
        <v/>
      </c>
      <c r="H260" s="25">
        <f>IF(OR($A260="",'04 Prices'!H260="",'04 Prices'!H261=""),"",'04 Prices'!H261/'04 Prices'!H260-1)</f>
        <v/>
      </c>
    </row>
    <row r="261">
      <c r="A261" s="23">
        <f>IF('04 Prices'!A262="","",'04 Prices'!A262)</f>
        <v/>
      </c>
      <c r="B261" s="25">
        <f>IF(OR($A261="",'04 Prices'!B261="",'04 Prices'!B262=""),"",'04 Prices'!B262/'04 Prices'!B261-1)</f>
        <v/>
      </c>
      <c r="C261" s="25">
        <f>IF(OR($A261="",'04 Prices'!C261="",'04 Prices'!C262=""),"",'04 Prices'!C262/'04 Prices'!C261-1)</f>
        <v/>
      </c>
      <c r="D261" s="25">
        <f>IF(OR($A261="",'04 Prices'!D261="",'04 Prices'!D262=""),"",'04 Prices'!D262/'04 Prices'!D261-1)</f>
        <v/>
      </c>
      <c r="E261" s="25">
        <f>IF(OR($A261="",'04 Prices'!E261="",'04 Prices'!E262=""),"",'04 Prices'!E262/'04 Prices'!E261-1)</f>
        <v/>
      </c>
      <c r="F261" s="25">
        <f>IF(OR($A261="",'04 Prices'!F261="",'04 Prices'!F262=""),"",'04 Prices'!F262/'04 Prices'!F261-1)</f>
        <v/>
      </c>
      <c r="G261" s="25">
        <f>IF(OR($A261="",'04 Prices'!G261="",'04 Prices'!G262=""),"",'04 Prices'!G262/'04 Prices'!G261-1)</f>
        <v/>
      </c>
      <c r="H261" s="25">
        <f>IF(OR($A261="",'04 Prices'!H261="",'04 Prices'!H262=""),"",'04 Prices'!H262/'04 Prices'!H261-1)</f>
        <v/>
      </c>
    </row>
    <row r="262">
      <c r="A262" s="23">
        <f>IF('04 Prices'!A263="","",'04 Prices'!A263)</f>
        <v/>
      </c>
      <c r="B262" s="25">
        <f>IF(OR($A262="",'04 Prices'!B262="",'04 Prices'!B263=""),"",'04 Prices'!B263/'04 Prices'!B262-1)</f>
        <v/>
      </c>
      <c r="C262" s="25">
        <f>IF(OR($A262="",'04 Prices'!C262="",'04 Prices'!C263=""),"",'04 Prices'!C263/'04 Prices'!C262-1)</f>
        <v/>
      </c>
      <c r="D262" s="25">
        <f>IF(OR($A262="",'04 Prices'!D262="",'04 Prices'!D263=""),"",'04 Prices'!D263/'04 Prices'!D262-1)</f>
        <v/>
      </c>
      <c r="E262" s="25">
        <f>IF(OR($A262="",'04 Prices'!E262="",'04 Prices'!E263=""),"",'04 Prices'!E263/'04 Prices'!E262-1)</f>
        <v/>
      </c>
      <c r="F262" s="25">
        <f>IF(OR($A262="",'04 Prices'!F262="",'04 Prices'!F263=""),"",'04 Prices'!F263/'04 Prices'!F262-1)</f>
        <v/>
      </c>
      <c r="G262" s="25">
        <f>IF(OR($A262="",'04 Prices'!G262="",'04 Prices'!G263=""),"",'04 Prices'!G263/'04 Prices'!G262-1)</f>
        <v/>
      </c>
      <c r="H262" s="25">
        <f>IF(OR($A262="",'04 Prices'!H262="",'04 Prices'!H263=""),"",'04 Prices'!H263/'04 Prices'!H262-1)</f>
        <v/>
      </c>
    </row>
    <row r="263">
      <c r="A263" s="23">
        <f>IF('04 Prices'!A264="","",'04 Prices'!A264)</f>
        <v/>
      </c>
      <c r="B263" s="25">
        <f>IF(OR($A263="",'04 Prices'!B263="",'04 Prices'!B264=""),"",'04 Prices'!B264/'04 Prices'!B263-1)</f>
        <v/>
      </c>
      <c r="C263" s="25">
        <f>IF(OR($A263="",'04 Prices'!C263="",'04 Prices'!C264=""),"",'04 Prices'!C264/'04 Prices'!C263-1)</f>
        <v/>
      </c>
      <c r="D263" s="25">
        <f>IF(OR($A263="",'04 Prices'!D263="",'04 Prices'!D264=""),"",'04 Prices'!D264/'04 Prices'!D263-1)</f>
        <v/>
      </c>
      <c r="E263" s="25">
        <f>IF(OR($A263="",'04 Prices'!E263="",'04 Prices'!E264=""),"",'04 Prices'!E264/'04 Prices'!E263-1)</f>
        <v/>
      </c>
      <c r="F263" s="25">
        <f>IF(OR($A263="",'04 Prices'!F263="",'04 Prices'!F264=""),"",'04 Prices'!F264/'04 Prices'!F263-1)</f>
        <v/>
      </c>
      <c r="G263" s="25">
        <f>IF(OR($A263="",'04 Prices'!G263="",'04 Prices'!G264=""),"",'04 Prices'!G264/'04 Prices'!G263-1)</f>
        <v/>
      </c>
      <c r="H263" s="25">
        <f>IF(OR($A263="",'04 Prices'!H263="",'04 Prices'!H264=""),"",'04 Prices'!H264/'04 Prices'!H263-1)</f>
        <v/>
      </c>
    </row>
    <row r="264">
      <c r="A264" s="23">
        <f>IF('04 Prices'!A265="","",'04 Prices'!A265)</f>
        <v/>
      </c>
      <c r="B264" s="25">
        <f>IF(OR($A264="",'04 Prices'!B264="",'04 Prices'!B265=""),"",'04 Prices'!B265/'04 Prices'!B264-1)</f>
        <v/>
      </c>
      <c r="C264" s="25">
        <f>IF(OR($A264="",'04 Prices'!C264="",'04 Prices'!C265=""),"",'04 Prices'!C265/'04 Prices'!C264-1)</f>
        <v/>
      </c>
      <c r="D264" s="25">
        <f>IF(OR($A264="",'04 Prices'!D264="",'04 Prices'!D265=""),"",'04 Prices'!D265/'04 Prices'!D264-1)</f>
        <v/>
      </c>
      <c r="E264" s="25">
        <f>IF(OR($A264="",'04 Prices'!E264="",'04 Prices'!E265=""),"",'04 Prices'!E265/'04 Prices'!E264-1)</f>
        <v/>
      </c>
      <c r="F264" s="25">
        <f>IF(OR($A264="",'04 Prices'!F264="",'04 Prices'!F265=""),"",'04 Prices'!F265/'04 Prices'!F264-1)</f>
        <v/>
      </c>
      <c r="G264" s="25">
        <f>IF(OR($A264="",'04 Prices'!G264="",'04 Prices'!G265=""),"",'04 Prices'!G265/'04 Prices'!G264-1)</f>
        <v/>
      </c>
      <c r="H264" s="25">
        <f>IF(OR($A264="",'04 Prices'!H264="",'04 Prices'!H265=""),"",'04 Prices'!H265/'04 Prices'!H264-1)</f>
        <v/>
      </c>
    </row>
    <row r="265">
      <c r="A265" s="23">
        <f>IF('04 Prices'!A266="","",'04 Prices'!A266)</f>
        <v/>
      </c>
      <c r="B265" s="25">
        <f>IF(OR($A265="",'04 Prices'!B265="",'04 Prices'!B266=""),"",'04 Prices'!B266/'04 Prices'!B265-1)</f>
        <v/>
      </c>
      <c r="C265" s="25">
        <f>IF(OR($A265="",'04 Prices'!C265="",'04 Prices'!C266=""),"",'04 Prices'!C266/'04 Prices'!C265-1)</f>
        <v/>
      </c>
      <c r="D265" s="25">
        <f>IF(OR($A265="",'04 Prices'!D265="",'04 Prices'!D266=""),"",'04 Prices'!D266/'04 Prices'!D265-1)</f>
        <v/>
      </c>
      <c r="E265" s="25">
        <f>IF(OR($A265="",'04 Prices'!E265="",'04 Prices'!E266=""),"",'04 Prices'!E266/'04 Prices'!E265-1)</f>
        <v/>
      </c>
      <c r="F265" s="25">
        <f>IF(OR($A265="",'04 Prices'!F265="",'04 Prices'!F266=""),"",'04 Prices'!F266/'04 Prices'!F265-1)</f>
        <v/>
      </c>
      <c r="G265" s="25">
        <f>IF(OR($A265="",'04 Prices'!G265="",'04 Prices'!G266=""),"",'04 Prices'!G266/'04 Prices'!G265-1)</f>
        <v/>
      </c>
      <c r="H265" s="25">
        <f>IF(OR($A265="",'04 Prices'!H265="",'04 Prices'!H266=""),"",'04 Prices'!H266/'04 Prices'!H265-1)</f>
        <v/>
      </c>
    </row>
    <row r="266">
      <c r="A266" s="23">
        <f>IF('04 Prices'!A267="","",'04 Prices'!A267)</f>
        <v/>
      </c>
      <c r="B266" s="25">
        <f>IF(OR($A266="",'04 Prices'!B266="",'04 Prices'!B267=""),"",'04 Prices'!B267/'04 Prices'!B266-1)</f>
        <v/>
      </c>
      <c r="C266" s="25">
        <f>IF(OR($A266="",'04 Prices'!C266="",'04 Prices'!C267=""),"",'04 Prices'!C267/'04 Prices'!C266-1)</f>
        <v/>
      </c>
      <c r="D266" s="25">
        <f>IF(OR($A266="",'04 Prices'!D266="",'04 Prices'!D267=""),"",'04 Prices'!D267/'04 Prices'!D266-1)</f>
        <v/>
      </c>
      <c r="E266" s="25">
        <f>IF(OR($A266="",'04 Prices'!E266="",'04 Prices'!E267=""),"",'04 Prices'!E267/'04 Prices'!E266-1)</f>
        <v/>
      </c>
      <c r="F266" s="25">
        <f>IF(OR($A266="",'04 Prices'!F266="",'04 Prices'!F267=""),"",'04 Prices'!F267/'04 Prices'!F266-1)</f>
        <v/>
      </c>
      <c r="G266" s="25">
        <f>IF(OR($A266="",'04 Prices'!G266="",'04 Prices'!G267=""),"",'04 Prices'!G267/'04 Prices'!G266-1)</f>
        <v/>
      </c>
      <c r="H266" s="25">
        <f>IF(OR($A266="",'04 Prices'!H266="",'04 Prices'!H267=""),"",'04 Prices'!H267/'04 Prices'!H266-1)</f>
        <v/>
      </c>
    </row>
    <row r="267">
      <c r="A267" s="23">
        <f>IF('04 Prices'!A268="","",'04 Prices'!A268)</f>
        <v/>
      </c>
      <c r="B267" s="25">
        <f>IF(OR($A267="",'04 Prices'!B267="",'04 Prices'!B268=""),"",'04 Prices'!B268/'04 Prices'!B267-1)</f>
        <v/>
      </c>
      <c r="C267" s="25">
        <f>IF(OR($A267="",'04 Prices'!C267="",'04 Prices'!C268=""),"",'04 Prices'!C268/'04 Prices'!C267-1)</f>
        <v/>
      </c>
      <c r="D267" s="25">
        <f>IF(OR($A267="",'04 Prices'!D267="",'04 Prices'!D268=""),"",'04 Prices'!D268/'04 Prices'!D267-1)</f>
        <v/>
      </c>
      <c r="E267" s="25">
        <f>IF(OR($A267="",'04 Prices'!E267="",'04 Prices'!E268=""),"",'04 Prices'!E268/'04 Prices'!E267-1)</f>
        <v/>
      </c>
      <c r="F267" s="25">
        <f>IF(OR($A267="",'04 Prices'!F267="",'04 Prices'!F268=""),"",'04 Prices'!F268/'04 Prices'!F267-1)</f>
        <v/>
      </c>
      <c r="G267" s="25">
        <f>IF(OR($A267="",'04 Prices'!G267="",'04 Prices'!G268=""),"",'04 Prices'!G268/'04 Prices'!G267-1)</f>
        <v/>
      </c>
      <c r="H267" s="25">
        <f>IF(OR($A267="",'04 Prices'!H267="",'04 Prices'!H268=""),"",'04 Prices'!H268/'04 Prices'!H267-1)</f>
        <v/>
      </c>
    </row>
    <row r="268">
      <c r="A268" s="23">
        <f>IF('04 Prices'!A269="","",'04 Prices'!A269)</f>
        <v/>
      </c>
      <c r="B268" s="25">
        <f>IF(OR($A268="",'04 Prices'!B268="",'04 Prices'!B269=""),"",'04 Prices'!B269/'04 Prices'!B268-1)</f>
        <v/>
      </c>
      <c r="C268" s="25">
        <f>IF(OR($A268="",'04 Prices'!C268="",'04 Prices'!C269=""),"",'04 Prices'!C269/'04 Prices'!C268-1)</f>
        <v/>
      </c>
      <c r="D268" s="25">
        <f>IF(OR($A268="",'04 Prices'!D268="",'04 Prices'!D269=""),"",'04 Prices'!D269/'04 Prices'!D268-1)</f>
        <v/>
      </c>
      <c r="E268" s="25">
        <f>IF(OR($A268="",'04 Prices'!E268="",'04 Prices'!E269=""),"",'04 Prices'!E269/'04 Prices'!E268-1)</f>
        <v/>
      </c>
      <c r="F268" s="25">
        <f>IF(OR($A268="",'04 Prices'!F268="",'04 Prices'!F269=""),"",'04 Prices'!F269/'04 Prices'!F268-1)</f>
        <v/>
      </c>
      <c r="G268" s="25">
        <f>IF(OR($A268="",'04 Prices'!G268="",'04 Prices'!G269=""),"",'04 Prices'!G269/'04 Prices'!G268-1)</f>
        <v/>
      </c>
      <c r="H268" s="25">
        <f>IF(OR($A268="",'04 Prices'!H268="",'04 Prices'!H269=""),"",'04 Prices'!H269/'04 Prices'!H268-1)</f>
        <v/>
      </c>
    </row>
    <row r="269">
      <c r="A269" s="23">
        <f>IF('04 Prices'!A270="","",'04 Prices'!A270)</f>
        <v/>
      </c>
      <c r="B269" s="25">
        <f>IF(OR($A269="",'04 Prices'!B269="",'04 Prices'!B270=""),"",'04 Prices'!B270/'04 Prices'!B269-1)</f>
        <v/>
      </c>
      <c r="C269" s="25">
        <f>IF(OR($A269="",'04 Prices'!C269="",'04 Prices'!C270=""),"",'04 Prices'!C270/'04 Prices'!C269-1)</f>
        <v/>
      </c>
      <c r="D269" s="25">
        <f>IF(OR($A269="",'04 Prices'!D269="",'04 Prices'!D270=""),"",'04 Prices'!D270/'04 Prices'!D269-1)</f>
        <v/>
      </c>
      <c r="E269" s="25">
        <f>IF(OR($A269="",'04 Prices'!E269="",'04 Prices'!E270=""),"",'04 Prices'!E270/'04 Prices'!E269-1)</f>
        <v/>
      </c>
      <c r="F269" s="25">
        <f>IF(OR($A269="",'04 Prices'!F269="",'04 Prices'!F270=""),"",'04 Prices'!F270/'04 Prices'!F269-1)</f>
        <v/>
      </c>
      <c r="G269" s="25">
        <f>IF(OR($A269="",'04 Prices'!G269="",'04 Prices'!G270=""),"",'04 Prices'!G270/'04 Prices'!G269-1)</f>
        <v/>
      </c>
      <c r="H269" s="25">
        <f>IF(OR($A269="",'04 Prices'!H269="",'04 Prices'!H270=""),"",'04 Prices'!H270/'04 Prices'!H269-1)</f>
        <v/>
      </c>
    </row>
    <row r="270">
      <c r="A270" s="23">
        <f>IF('04 Prices'!A271="","",'04 Prices'!A271)</f>
        <v/>
      </c>
      <c r="B270" s="25">
        <f>IF(OR($A270="",'04 Prices'!B270="",'04 Prices'!B271=""),"",'04 Prices'!B271/'04 Prices'!B270-1)</f>
        <v/>
      </c>
      <c r="C270" s="25">
        <f>IF(OR($A270="",'04 Prices'!C270="",'04 Prices'!C271=""),"",'04 Prices'!C271/'04 Prices'!C270-1)</f>
        <v/>
      </c>
      <c r="D270" s="25">
        <f>IF(OR($A270="",'04 Prices'!D270="",'04 Prices'!D271=""),"",'04 Prices'!D271/'04 Prices'!D270-1)</f>
        <v/>
      </c>
      <c r="E270" s="25">
        <f>IF(OR($A270="",'04 Prices'!E270="",'04 Prices'!E271=""),"",'04 Prices'!E271/'04 Prices'!E270-1)</f>
        <v/>
      </c>
      <c r="F270" s="25">
        <f>IF(OR($A270="",'04 Prices'!F270="",'04 Prices'!F271=""),"",'04 Prices'!F271/'04 Prices'!F270-1)</f>
        <v/>
      </c>
      <c r="G270" s="25">
        <f>IF(OR($A270="",'04 Prices'!G270="",'04 Prices'!G271=""),"",'04 Prices'!G271/'04 Prices'!G270-1)</f>
        <v/>
      </c>
      <c r="H270" s="25">
        <f>IF(OR($A270="",'04 Prices'!H270="",'04 Prices'!H271=""),"",'04 Prices'!H271/'04 Prices'!H270-1)</f>
        <v/>
      </c>
    </row>
    <row r="271">
      <c r="A271" s="23">
        <f>IF('04 Prices'!A272="","",'04 Prices'!A272)</f>
        <v/>
      </c>
      <c r="B271" s="25">
        <f>IF(OR($A271="",'04 Prices'!B271="",'04 Prices'!B272=""),"",'04 Prices'!B272/'04 Prices'!B271-1)</f>
        <v/>
      </c>
      <c r="C271" s="25">
        <f>IF(OR($A271="",'04 Prices'!C271="",'04 Prices'!C272=""),"",'04 Prices'!C272/'04 Prices'!C271-1)</f>
        <v/>
      </c>
      <c r="D271" s="25">
        <f>IF(OR($A271="",'04 Prices'!D271="",'04 Prices'!D272=""),"",'04 Prices'!D272/'04 Prices'!D271-1)</f>
        <v/>
      </c>
      <c r="E271" s="25">
        <f>IF(OR($A271="",'04 Prices'!E271="",'04 Prices'!E272=""),"",'04 Prices'!E272/'04 Prices'!E271-1)</f>
        <v/>
      </c>
      <c r="F271" s="25">
        <f>IF(OR($A271="",'04 Prices'!F271="",'04 Prices'!F272=""),"",'04 Prices'!F272/'04 Prices'!F271-1)</f>
        <v/>
      </c>
      <c r="G271" s="25">
        <f>IF(OR($A271="",'04 Prices'!G271="",'04 Prices'!G272=""),"",'04 Prices'!G272/'04 Prices'!G271-1)</f>
        <v/>
      </c>
      <c r="H271" s="25">
        <f>IF(OR($A271="",'04 Prices'!H271="",'04 Prices'!H272=""),"",'04 Prices'!H272/'04 Prices'!H271-1)</f>
        <v/>
      </c>
    </row>
    <row r="272">
      <c r="A272" s="23">
        <f>IF('04 Prices'!A273="","",'04 Prices'!A273)</f>
        <v/>
      </c>
      <c r="B272" s="25">
        <f>IF(OR($A272="",'04 Prices'!B272="",'04 Prices'!B273=""),"",'04 Prices'!B273/'04 Prices'!B272-1)</f>
        <v/>
      </c>
      <c r="C272" s="25">
        <f>IF(OR($A272="",'04 Prices'!C272="",'04 Prices'!C273=""),"",'04 Prices'!C273/'04 Prices'!C272-1)</f>
        <v/>
      </c>
      <c r="D272" s="25">
        <f>IF(OR($A272="",'04 Prices'!D272="",'04 Prices'!D273=""),"",'04 Prices'!D273/'04 Prices'!D272-1)</f>
        <v/>
      </c>
      <c r="E272" s="25">
        <f>IF(OR($A272="",'04 Prices'!E272="",'04 Prices'!E273=""),"",'04 Prices'!E273/'04 Prices'!E272-1)</f>
        <v/>
      </c>
      <c r="F272" s="25">
        <f>IF(OR($A272="",'04 Prices'!F272="",'04 Prices'!F273=""),"",'04 Prices'!F273/'04 Prices'!F272-1)</f>
        <v/>
      </c>
      <c r="G272" s="25">
        <f>IF(OR($A272="",'04 Prices'!G272="",'04 Prices'!G273=""),"",'04 Prices'!G273/'04 Prices'!G272-1)</f>
        <v/>
      </c>
      <c r="H272" s="25">
        <f>IF(OR($A272="",'04 Prices'!H272="",'04 Prices'!H273=""),"",'04 Prices'!H273/'04 Prices'!H272-1)</f>
        <v/>
      </c>
    </row>
    <row r="273">
      <c r="A273" s="23">
        <f>IF('04 Prices'!A274="","",'04 Prices'!A274)</f>
        <v/>
      </c>
      <c r="B273" s="25">
        <f>IF(OR($A273="",'04 Prices'!B273="",'04 Prices'!B274=""),"",'04 Prices'!B274/'04 Prices'!B273-1)</f>
        <v/>
      </c>
      <c r="C273" s="25">
        <f>IF(OR($A273="",'04 Prices'!C273="",'04 Prices'!C274=""),"",'04 Prices'!C274/'04 Prices'!C273-1)</f>
        <v/>
      </c>
      <c r="D273" s="25">
        <f>IF(OR($A273="",'04 Prices'!D273="",'04 Prices'!D274=""),"",'04 Prices'!D274/'04 Prices'!D273-1)</f>
        <v/>
      </c>
      <c r="E273" s="25">
        <f>IF(OR($A273="",'04 Prices'!E273="",'04 Prices'!E274=""),"",'04 Prices'!E274/'04 Prices'!E273-1)</f>
        <v/>
      </c>
      <c r="F273" s="25">
        <f>IF(OR($A273="",'04 Prices'!F273="",'04 Prices'!F274=""),"",'04 Prices'!F274/'04 Prices'!F273-1)</f>
        <v/>
      </c>
      <c r="G273" s="25">
        <f>IF(OR($A273="",'04 Prices'!G273="",'04 Prices'!G274=""),"",'04 Prices'!G274/'04 Prices'!G273-1)</f>
        <v/>
      </c>
      <c r="H273" s="25">
        <f>IF(OR($A273="",'04 Prices'!H273="",'04 Prices'!H274=""),"",'04 Prices'!H274/'04 Prices'!H273-1)</f>
        <v/>
      </c>
    </row>
    <row r="274">
      <c r="A274" s="23">
        <f>IF('04 Prices'!A275="","",'04 Prices'!A275)</f>
        <v/>
      </c>
      <c r="B274" s="25">
        <f>IF(OR($A274="",'04 Prices'!B274="",'04 Prices'!B275=""),"",'04 Prices'!B275/'04 Prices'!B274-1)</f>
        <v/>
      </c>
      <c r="C274" s="25">
        <f>IF(OR($A274="",'04 Prices'!C274="",'04 Prices'!C275=""),"",'04 Prices'!C275/'04 Prices'!C274-1)</f>
        <v/>
      </c>
      <c r="D274" s="25">
        <f>IF(OR($A274="",'04 Prices'!D274="",'04 Prices'!D275=""),"",'04 Prices'!D275/'04 Prices'!D274-1)</f>
        <v/>
      </c>
      <c r="E274" s="25">
        <f>IF(OR($A274="",'04 Prices'!E274="",'04 Prices'!E275=""),"",'04 Prices'!E275/'04 Prices'!E274-1)</f>
        <v/>
      </c>
      <c r="F274" s="25">
        <f>IF(OR($A274="",'04 Prices'!F274="",'04 Prices'!F275=""),"",'04 Prices'!F275/'04 Prices'!F274-1)</f>
        <v/>
      </c>
      <c r="G274" s="25">
        <f>IF(OR($A274="",'04 Prices'!G274="",'04 Prices'!G275=""),"",'04 Prices'!G275/'04 Prices'!G274-1)</f>
        <v/>
      </c>
      <c r="H274" s="25">
        <f>IF(OR($A274="",'04 Prices'!H274="",'04 Prices'!H275=""),"",'04 Prices'!H275/'04 Prices'!H274-1)</f>
        <v/>
      </c>
    </row>
    <row r="275">
      <c r="A275" s="23">
        <f>IF('04 Prices'!A276="","",'04 Prices'!A276)</f>
        <v/>
      </c>
      <c r="B275" s="25">
        <f>IF(OR($A275="",'04 Prices'!B275="",'04 Prices'!B276=""),"",'04 Prices'!B276/'04 Prices'!B275-1)</f>
        <v/>
      </c>
      <c r="C275" s="25">
        <f>IF(OR($A275="",'04 Prices'!C275="",'04 Prices'!C276=""),"",'04 Prices'!C276/'04 Prices'!C275-1)</f>
        <v/>
      </c>
      <c r="D275" s="25">
        <f>IF(OR($A275="",'04 Prices'!D275="",'04 Prices'!D276=""),"",'04 Prices'!D276/'04 Prices'!D275-1)</f>
        <v/>
      </c>
      <c r="E275" s="25">
        <f>IF(OR($A275="",'04 Prices'!E275="",'04 Prices'!E276=""),"",'04 Prices'!E276/'04 Prices'!E275-1)</f>
        <v/>
      </c>
      <c r="F275" s="25">
        <f>IF(OR($A275="",'04 Prices'!F275="",'04 Prices'!F276=""),"",'04 Prices'!F276/'04 Prices'!F275-1)</f>
        <v/>
      </c>
      <c r="G275" s="25">
        <f>IF(OR($A275="",'04 Prices'!G275="",'04 Prices'!G276=""),"",'04 Prices'!G276/'04 Prices'!G275-1)</f>
        <v/>
      </c>
      <c r="H275" s="25">
        <f>IF(OR($A275="",'04 Prices'!H275="",'04 Prices'!H276=""),"",'04 Prices'!H276/'04 Prices'!H275-1)</f>
        <v/>
      </c>
    </row>
    <row r="276">
      <c r="A276" s="23">
        <f>IF('04 Prices'!A277="","",'04 Prices'!A277)</f>
        <v/>
      </c>
      <c r="B276" s="25">
        <f>IF(OR($A276="",'04 Prices'!B276="",'04 Prices'!B277=""),"",'04 Prices'!B277/'04 Prices'!B276-1)</f>
        <v/>
      </c>
      <c r="C276" s="25">
        <f>IF(OR($A276="",'04 Prices'!C276="",'04 Prices'!C277=""),"",'04 Prices'!C277/'04 Prices'!C276-1)</f>
        <v/>
      </c>
      <c r="D276" s="25">
        <f>IF(OR($A276="",'04 Prices'!D276="",'04 Prices'!D277=""),"",'04 Prices'!D277/'04 Prices'!D276-1)</f>
        <v/>
      </c>
      <c r="E276" s="25">
        <f>IF(OR($A276="",'04 Prices'!E276="",'04 Prices'!E277=""),"",'04 Prices'!E277/'04 Prices'!E276-1)</f>
        <v/>
      </c>
      <c r="F276" s="25">
        <f>IF(OR($A276="",'04 Prices'!F276="",'04 Prices'!F277=""),"",'04 Prices'!F277/'04 Prices'!F276-1)</f>
        <v/>
      </c>
      <c r="G276" s="25">
        <f>IF(OR($A276="",'04 Prices'!G276="",'04 Prices'!G277=""),"",'04 Prices'!G277/'04 Prices'!G276-1)</f>
        <v/>
      </c>
      <c r="H276" s="25">
        <f>IF(OR($A276="",'04 Prices'!H276="",'04 Prices'!H277=""),"",'04 Prices'!H277/'04 Prices'!H276-1)</f>
        <v/>
      </c>
    </row>
    <row r="277">
      <c r="A277" s="23">
        <f>IF('04 Prices'!A278="","",'04 Prices'!A278)</f>
        <v/>
      </c>
      <c r="B277" s="25">
        <f>IF(OR($A277="",'04 Prices'!B277="",'04 Prices'!B278=""),"",'04 Prices'!B278/'04 Prices'!B277-1)</f>
        <v/>
      </c>
      <c r="C277" s="25">
        <f>IF(OR($A277="",'04 Prices'!C277="",'04 Prices'!C278=""),"",'04 Prices'!C278/'04 Prices'!C277-1)</f>
        <v/>
      </c>
      <c r="D277" s="25">
        <f>IF(OR($A277="",'04 Prices'!D277="",'04 Prices'!D278=""),"",'04 Prices'!D278/'04 Prices'!D277-1)</f>
        <v/>
      </c>
      <c r="E277" s="25">
        <f>IF(OR($A277="",'04 Prices'!E277="",'04 Prices'!E278=""),"",'04 Prices'!E278/'04 Prices'!E277-1)</f>
        <v/>
      </c>
      <c r="F277" s="25">
        <f>IF(OR($A277="",'04 Prices'!F277="",'04 Prices'!F278=""),"",'04 Prices'!F278/'04 Prices'!F277-1)</f>
        <v/>
      </c>
      <c r="G277" s="25">
        <f>IF(OR($A277="",'04 Prices'!G277="",'04 Prices'!G278=""),"",'04 Prices'!G278/'04 Prices'!G277-1)</f>
        <v/>
      </c>
      <c r="H277" s="25">
        <f>IF(OR($A277="",'04 Prices'!H277="",'04 Prices'!H278=""),"",'04 Prices'!H278/'04 Prices'!H277-1)</f>
        <v/>
      </c>
    </row>
    <row r="278">
      <c r="A278" s="23">
        <f>IF('04 Prices'!A279="","",'04 Prices'!A279)</f>
        <v/>
      </c>
      <c r="B278" s="25">
        <f>IF(OR($A278="",'04 Prices'!B278="",'04 Prices'!B279=""),"",'04 Prices'!B279/'04 Prices'!B278-1)</f>
        <v/>
      </c>
      <c r="C278" s="25">
        <f>IF(OR($A278="",'04 Prices'!C278="",'04 Prices'!C279=""),"",'04 Prices'!C279/'04 Prices'!C278-1)</f>
        <v/>
      </c>
      <c r="D278" s="25">
        <f>IF(OR($A278="",'04 Prices'!D278="",'04 Prices'!D279=""),"",'04 Prices'!D279/'04 Prices'!D278-1)</f>
        <v/>
      </c>
      <c r="E278" s="25">
        <f>IF(OR($A278="",'04 Prices'!E278="",'04 Prices'!E279=""),"",'04 Prices'!E279/'04 Prices'!E278-1)</f>
        <v/>
      </c>
      <c r="F278" s="25">
        <f>IF(OR($A278="",'04 Prices'!F278="",'04 Prices'!F279=""),"",'04 Prices'!F279/'04 Prices'!F278-1)</f>
        <v/>
      </c>
      <c r="G278" s="25">
        <f>IF(OR($A278="",'04 Prices'!G278="",'04 Prices'!G279=""),"",'04 Prices'!G279/'04 Prices'!G278-1)</f>
        <v/>
      </c>
      <c r="H278" s="25">
        <f>IF(OR($A278="",'04 Prices'!H278="",'04 Prices'!H279=""),"",'04 Prices'!H279/'04 Prices'!H278-1)</f>
        <v/>
      </c>
    </row>
    <row r="279">
      <c r="A279" s="23">
        <f>IF('04 Prices'!A280="","",'04 Prices'!A280)</f>
        <v/>
      </c>
      <c r="B279" s="25">
        <f>IF(OR($A279="",'04 Prices'!B279="",'04 Prices'!B280=""),"",'04 Prices'!B280/'04 Prices'!B279-1)</f>
        <v/>
      </c>
      <c r="C279" s="25">
        <f>IF(OR($A279="",'04 Prices'!C279="",'04 Prices'!C280=""),"",'04 Prices'!C280/'04 Prices'!C279-1)</f>
        <v/>
      </c>
      <c r="D279" s="25">
        <f>IF(OR($A279="",'04 Prices'!D279="",'04 Prices'!D280=""),"",'04 Prices'!D280/'04 Prices'!D279-1)</f>
        <v/>
      </c>
      <c r="E279" s="25">
        <f>IF(OR($A279="",'04 Prices'!E279="",'04 Prices'!E280=""),"",'04 Prices'!E280/'04 Prices'!E279-1)</f>
        <v/>
      </c>
      <c r="F279" s="25">
        <f>IF(OR($A279="",'04 Prices'!F279="",'04 Prices'!F280=""),"",'04 Prices'!F280/'04 Prices'!F279-1)</f>
        <v/>
      </c>
      <c r="G279" s="25">
        <f>IF(OR($A279="",'04 Prices'!G279="",'04 Prices'!G280=""),"",'04 Prices'!G280/'04 Prices'!G279-1)</f>
        <v/>
      </c>
      <c r="H279" s="25">
        <f>IF(OR($A279="",'04 Prices'!H279="",'04 Prices'!H280=""),"",'04 Prices'!H280/'04 Prices'!H279-1)</f>
        <v/>
      </c>
    </row>
    <row r="280">
      <c r="A280" s="23">
        <f>IF('04 Prices'!A281="","",'04 Prices'!A281)</f>
        <v/>
      </c>
      <c r="B280" s="25">
        <f>IF(OR($A280="",'04 Prices'!B280="",'04 Prices'!B281=""),"",'04 Prices'!B281/'04 Prices'!B280-1)</f>
        <v/>
      </c>
      <c r="C280" s="25">
        <f>IF(OR($A280="",'04 Prices'!C280="",'04 Prices'!C281=""),"",'04 Prices'!C281/'04 Prices'!C280-1)</f>
        <v/>
      </c>
      <c r="D280" s="25">
        <f>IF(OR($A280="",'04 Prices'!D280="",'04 Prices'!D281=""),"",'04 Prices'!D281/'04 Prices'!D280-1)</f>
        <v/>
      </c>
      <c r="E280" s="25">
        <f>IF(OR($A280="",'04 Prices'!E280="",'04 Prices'!E281=""),"",'04 Prices'!E281/'04 Prices'!E280-1)</f>
        <v/>
      </c>
      <c r="F280" s="25">
        <f>IF(OR($A280="",'04 Prices'!F280="",'04 Prices'!F281=""),"",'04 Prices'!F281/'04 Prices'!F280-1)</f>
        <v/>
      </c>
      <c r="G280" s="25">
        <f>IF(OR($A280="",'04 Prices'!G280="",'04 Prices'!G281=""),"",'04 Prices'!G281/'04 Prices'!G280-1)</f>
        <v/>
      </c>
      <c r="H280" s="25">
        <f>IF(OR($A280="",'04 Prices'!H280="",'04 Prices'!H281=""),"",'04 Prices'!H281/'04 Prices'!H280-1)</f>
        <v/>
      </c>
    </row>
    <row r="281">
      <c r="A281" s="23">
        <f>IF('04 Prices'!A282="","",'04 Prices'!A282)</f>
        <v/>
      </c>
      <c r="B281" s="25">
        <f>IF(OR($A281="",'04 Prices'!B281="",'04 Prices'!B282=""),"",'04 Prices'!B282/'04 Prices'!B281-1)</f>
        <v/>
      </c>
      <c r="C281" s="25">
        <f>IF(OR($A281="",'04 Prices'!C281="",'04 Prices'!C282=""),"",'04 Prices'!C282/'04 Prices'!C281-1)</f>
        <v/>
      </c>
      <c r="D281" s="25">
        <f>IF(OR($A281="",'04 Prices'!D281="",'04 Prices'!D282=""),"",'04 Prices'!D282/'04 Prices'!D281-1)</f>
        <v/>
      </c>
      <c r="E281" s="25">
        <f>IF(OR($A281="",'04 Prices'!E281="",'04 Prices'!E282=""),"",'04 Prices'!E282/'04 Prices'!E281-1)</f>
        <v/>
      </c>
      <c r="F281" s="25">
        <f>IF(OR($A281="",'04 Prices'!F281="",'04 Prices'!F282=""),"",'04 Prices'!F282/'04 Prices'!F281-1)</f>
        <v/>
      </c>
      <c r="G281" s="25">
        <f>IF(OR($A281="",'04 Prices'!G281="",'04 Prices'!G282=""),"",'04 Prices'!G282/'04 Prices'!G281-1)</f>
        <v/>
      </c>
      <c r="H281" s="25">
        <f>IF(OR($A281="",'04 Prices'!H281="",'04 Prices'!H282=""),"",'04 Prices'!H282/'04 Prices'!H281-1)</f>
        <v/>
      </c>
    </row>
    <row r="282">
      <c r="A282" s="23">
        <f>IF('04 Prices'!A283="","",'04 Prices'!A283)</f>
        <v/>
      </c>
      <c r="B282" s="25">
        <f>IF(OR($A282="",'04 Prices'!B282="",'04 Prices'!B283=""),"",'04 Prices'!B283/'04 Prices'!B282-1)</f>
        <v/>
      </c>
      <c r="C282" s="25">
        <f>IF(OR($A282="",'04 Prices'!C282="",'04 Prices'!C283=""),"",'04 Prices'!C283/'04 Prices'!C282-1)</f>
        <v/>
      </c>
      <c r="D282" s="25">
        <f>IF(OR($A282="",'04 Prices'!D282="",'04 Prices'!D283=""),"",'04 Prices'!D283/'04 Prices'!D282-1)</f>
        <v/>
      </c>
      <c r="E282" s="25">
        <f>IF(OR($A282="",'04 Prices'!E282="",'04 Prices'!E283=""),"",'04 Prices'!E283/'04 Prices'!E282-1)</f>
        <v/>
      </c>
      <c r="F282" s="25">
        <f>IF(OR($A282="",'04 Prices'!F282="",'04 Prices'!F283=""),"",'04 Prices'!F283/'04 Prices'!F282-1)</f>
        <v/>
      </c>
      <c r="G282" s="25">
        <f>IF(OR($A282="",'04 Prices'!G282="",'04 Prices'!G283=""),"",'04 Prices'!G283/'04 Prices'!G282-1)</f>
        <v/>
      </c>
      <c r="H282" s="25">
        <f>IF(OR($A282="",'04 Prices'!H282="",'04 Prices'!H283=""),"",'04 Prices'!H283/'04 Prices'!H282-1)</f>
        <v/>
      </c>
    </row>
    <row r="283">
      <c r="A283" s="23">
        <f>IF('04 Prices'!A284="","",'04 Prices'!A284)</f>
        <v/>
      </c>
      <c r="B283" s="25">
        <f>IF(OR($A283="",'04 Prices'!B283="",'04 Prices'!B284=""),"",'04 Prices'!B284/'04 Prices'!B283-1)</f>
        <v/>
      </c>
      <c r="C283" s="25">
        <f>IF(OR($A283="",'04 Prices'!C283="",'04 Prices'!C284=""),"",'04 Prices'!C284/'04 Prices'!C283-1)</f>
        <v/>
      </c>
      <c r="D283" s="25">
        <f>IF(OR($A283="",'04 Prices'!D283="",'04 Prices'!D284=""),"",'04 Prices'!D284/'04 Prices'!D283-1)</f>
        <v/>
      </c>
      <c r="E283" s="25">
        <f>IF(OR($A283="",'04 Prices'!E283="",'04 Prices'!E284=""),"",'04 Prices'!E284/'04 Prices'!E283-1)</f>
        <v/>
      </c>
      <c r="F283" s="25">
        <f>IF(OR($A283="",'04 Prices'!F283="",'04 Prices'!F284=""),"",'04 Prices'!F284/'04 Prices'!F283-1)</f>
        <v/>
      </c>
      <c r="G283" s="25">
        <f>IF(OR($A283="",'04 Prices'!G283="",'04 Prices'!G284=""),"",'04 Prices'!G284/'04 Prices'!G283-1)</f>
        <v/>
      </c>
      <c r="H283" s="25">
        <f>IF(OR($A283="",'04 Prices'!H283="",'04 Prices'!H284=""),"",'04 Prices'!H284/'04 Prices'!H283-1)</f>
        <v/>
      </c>
    </row>
    <row r="284">
      <c r="A284" s="23">
        <f>IF('04 Prices'!A285="","",'04 Prices'!A285)</f>
        <v/>
      </c>
      <c r="B284" s="25">
        <f>IF(OR($A284="",'04 Prices'!B284="",'04 Prices'!B285=""),"",'04 Prices'!B285/'04 Prices'!B284-1)</f>
        <v/>
      </c>
      <c r="C284" s="25">
        <f>IF(OR($A284="",'04 Prices'!C284="",'04 Prices'!C285=""),"",'04 Prices'!C285/'04 Prices'!C284-1)</f>
        <v/>
      </c>
      <c r="D284" s="25">
        <f>IF(OR($A284="",'04 Prices'!D284="",'04 Prices'!D285=""),"",'04 Prices'!D285/'04 Prices'!D284-1)</f>
        <v/>
      </c>
      <c r="E284" s="25">
        <f>IF(OR($A284="",'04 Prices'!E284="",'04 Prices'!E285=""),"",'04 Prices'!E285/'04 Prices'!E284-1)</f>
        <v/>
      </c>
      <c r="F284" s="25">
        <f>IF(OR($A284="",'04 Prices'!F284="",'04 Prices'!F285=""),"",'04 Prices'!F285/'04 Prices'!F284-1)</f>
        <v/>
      </c>
      <c r="G284" s="25">
        <f>IF(OR($A284="",'04 Prices'!G284="",'04 Prices'!G285=""),"",'04 Prices'!G285/'04 Prices'!G284-1)</f>
        <v/>
      </c>
      <c r="H284" s="25">
        <f>IF(OR($A284="",'04 Prices'!H284="",'04 Prices'!H285=""),"",'04 Prices'!H285/'04 Prices'!H284-1)</f>
        <v/>
      </c>
    </row>
    <row r="285">
      <c r="A285" s="23">
        <f>IF('04 Prices'!A286="","",'04 Prices'!A286)</f>
        <v/>
      </c>
      <c r="B285" s="25">
        <f>IF(OR($A285="",'04 Prices'!B285="",'04 Prices'!B286=""),"",'04 Prices'!B286/'04 Prices'!B285-1)</f>
        <v/>
      </c>
      <c r="C285" s="25">
        <f>IF(OR($A285="",'04 Prices'!C285="",'04 Prices'!C286=""),"",'04 Prices'!C286/'04 Prices'!C285-1)</f>
        <v/>
      </c>
      <c r="D285" s="25">
        <f>IF(OR($A285="",'04 Prices'!D285="",'04 Prices'!D286=""),"",'04 Prices'!D286/'04 Prices'!D285-1)</f>
        <v/>
      </c>
      <c r="E285" s="25">
        <f>IF(OR($A285="",'04 Prices'!E285="",'04 Prices'!E286=""),"",'04 Prices'!E286/'04 Prices'!E285-1)</f>
        <v/>
      </c>
      <c r="F285" s="25">
        <f>IF(OR($A285="",'04 Prices'!F285="",'04 Prices'!F286=""),"",'04 Prices'!F286/'04 Prices'!F285-1)</f>
        <v/>
      </c>
      <c r="G285" s="25">
        <f>IF(OR($A285="",'04 Prices'!G285="",'04 Prices'!G286=""),"",'04 Prices'!G286/'04 Prices'!G285-1)</f>
        <v/>
      </c>
      <c r="H285" s="25">
        <f>IF(OR($A285="",'04 Prices'!H285="",'04 Prices'!H286=""),"",'04 Prices'!H286/'04 Prices'!H285-1)</f>
        <v/>
      </c>
    </row>
    <row r="286">
      <c r="A286" s="23">
        <f>IF('04 Prices'!A287="","",'04 Prices'!A287)</f>
        <v/>
      </c>
      <c r="B286" s="25">
        <f>IF(OR($A286="",'04 Prices'!B286="",'04 Prices'!B287=""),"",'04 Prices'!B287/'04 Prices'!B286-1)</f>
        <v/>
      </c>
      <c r="C286" s="25">
        <f>IF(OR($A286="",'04 Prices'!C286="",'04 Prices'!C287=""),"",'04 Prices'!C287/'04 Prices'!C286-1)</f>
        <v/>
      </c>
      <c r="D286" s="25">
        <f>IF(OR($A286="",'04 Prices'!D286="",'04 Prices'!D287=""),"",'04 Prices'!D287/'04 Prices'!D286-1)</f>
        <v/>
      </c>
      <c r="E286" s="25">
        <f>IF(OR($A286="",'04 Prices'!E286="",'04 Prices'!E287=""),"",'04 Prices'!E287/'04 Prices'!E286-1)</f>
        <v/>
      </c>
      <c r="F286" s="25">
        <f>IF(OR($A286="",'04 Prices'!F286="",'04 Prices'!F287=""),"",'04 Prices'!F287/'04 Prices'!F286-1)</f>
        <v/>
      </c>
      <c r="G286" s="25">
        <f>IF(OR($A286="",'04 Prices'!G286="",'04 Prices'!G287=""),"",'04 Prices'!G287/'04 Prices'!G286-1)</f>
        <v/>
      </c>
      <c r="H286" s="25">
        <f>IF(OR($A286="",'04 Prices'!H286="",'04 Prices'!H287=""),"",'04 Prices'!H287/'04 Prices'!H286-1)</f>
        <v/>
      </c>
    </row>
    <row r="287">
      <c r="A287" s="23">
        <f>IF('04 Prices'!A288="","",'04 Prices'!A288)</f>
        <v/>
      </c>
      <c r="B287" s="25">
        <f>IF(OR($A287="",'04 Prices'!B287="",'04 Prices'!B288=""),"",'04 Prices'!B288/'04 Prices'!B287-1)</f>
        <v/>
      </c>
      <c r="C287" s="25">
        <f>IF(OR($A287="",'04 Prices'!C287="",'04 Prices'!C288=""),"",'04 Prices'!C288/'04 Prices'!C287-1)</f>
        <v/>
      </c>
      <c r="D287" s="25">
        <f>IF(OR($A287="",'04 Prices'!D287="",'04 Prices'!D288=""),"",'04 Prices'!D288/'04 Prices'!D287-1)</f>
        <v/>
      </c>
      <c r="E287" s="25">
        <f>IF(OR($A287="",'04 Prices'!E287="",'04 Prices'!E288=""),"",'04 Prices'!E288/'04 Prices'!E287-1)</f>
        <v/>
      </c>
      <c r="F287" s="25">
        <f>IF(OR($A287="",'04 Prices'!F287="",'04 Prices'!F288=""),"",'04 Prices'!F288/'04 Prices'!F287-1)</f>
        <v/>
      </c>
      <c r="G287" s="25">
        <f>IF(OR($A287="",'04 Prices'!G287="",'04 Prices'!G288=""),"",'04 Prices'!G288/'04 Prices'!G287-1)</f>
        <v/>
      </c>
      <c r="H287" s="25">
        <f>IF(OR($A287="",'04 Prices'!H287="",'04 Prices'!H288=""),"",'04 Prices'!H288/'04 Prices'!H287-1)</f>
        <v/>
      </c>
    </row>
    <row r="288">
      <c r="A288" s="23">
        <f>IF('04 Prices'!A289="","",'04 Prices'!A289)</f>
        <v/>
      </c>
      <c r="B288" s="25">
        <f>IF(OR($A288="",'04 Prices'!B288="",'04 Prices'!B289=""),"",'04 Prices'!B289/'04 Prices'!B288-1)</f>
        <v/>
      </c>
      <c r="C288" s="25">
        <f>IF(OR($A288="",'04 Prices'!C288="",'04 Prices'!C289=""),"",'04 Prices'!C289/'04 Prices'!C288-1)</f>
        <v/>
      </c>
      <c r="D288" s="25">
        <f>IF(OR($A288="",'04 Prices'!D288="",'04 Prices'!D289=""),"",'04 Prices'!D289/'04 Prices'!D288-1)</f>
        <v/>
      </c>
      <c r="E288" s="25">
        <f>IF(OR($A288="",'04 Prices'!E288="",'04 Prices'!E289=""),"",'04 Prices'!E289/'04 Prices'!E288-1)</f>
        <v/>
      </c>
      <c r="F288" s="25">
        <f>IF(OR($A288="",'04 Prices'!F288="",'04 Prices'!F289=""),"",'04 Prices'!F289/'04 Prices'!F288-1)</f>
        <v/>
      </c>
      <c r="G288" s="25">
        <f>IF(OR($A288="",'04 Prices'!G288="",'04 Prices'!G289=""),"",'04 Prices'!G289/'04 Prices'!G288-1)</f>
        <v/>
      </c>
      <c r="H288" s="25">
        <f>IF(OR($A288="",'04 Prices'!H288="",'04 Prices'!H289=""),"",'04 Prices'!H289/'04 Prices'!H288-1)</f>
        <v/>
      </c>
    </row>
    <row r="289">
      <c r="A289" s="23">
        <f>IF('04 Prices'!A290="","",'04 Prices'!A290)</f>
        <v/>
      </c>
      <c r="B289" s="25">
        <f>IF(OR($A289="",'04 Prices'!B289="",'04 Prices'!B290=""),"",'04 Prices'!B290/'04 Prices'!B289-1)</f>
        <v/>
      </c>
      <c r="C289" s="25">
        <f>IF(OR($A289="",'04 Prices'!C289="",'04 Prices'!C290=""),"",'04 Prices'!C290/'04 Prices'!C289-1)</f>
        <v/>
      </c>
      <c r="D289" s="25">
        <f>IF(OR($A289="",'04 Prices'!D289="",'04 Prices'!D290=""),"",'04 Prices'!D290/'04 Prices'!D289-1)</f>
        <v/>
      </c>
      <c r="E289" s="25">
        <f>IF(OR($A289="",'04 Prices'!E289="",'04 Prices'!E290=""),"",'04 Prices'!E290/'04 Prices'!E289-1)</f>
        <v/>
      </c>
      <c r="F289" s="25">
        <f>IF(OR($A289="",'04 Prices'!F289="",'04 Prices'!F290=""),"",'04 Prices'!F290/'04 Prices'!F289-1)</f>
        <v/>
      </c>
      <c r="G289" s="25">
        <f>IF(OR($A289="",'04 Prices'!G289="",'04 Prices'!G290=""),"",'04 Prices'!G290/'04 Prices'!G289-1)</f>
        <v/>
      </c>
      <c r="H289" s="25">
        <f>IF(OR($A289="",'04 Prices'!H289="",'04 Prices'!H290=""),"",'04 Prices'!H290/'04 Prices'!H289-1)</f>
        <v/>
      </c>
    </row>
    <row r="290">
      <c r="A290" s="23">
        <f>IF('04 Prices'!A291="","",'04 Prices'!A291)</f>
        <v/>
      </c>
      <c r="B290" s="25">
        <f>IF(OR($A290="",'04 Prices'!B290="",'04 Prices'!B291=""),"",'04 Prices'!B291/'04 Prices'!B290-1)</f>
        <v/>
      </c>
      <c r="C290" s="25">
        <f>IF(OR($A290="",'04 Prices'!C290="",'04 Prices'!C291=""),"",'04 Prices'!C291/'04 Prices'!C290-1)</f>
        <v/>
      </c>
      <c r="D290" s="25">
        <f>IF(OR($A290="",'04 Prices'!D290="",'04 Prices'!D291=""),"",'04 Prices'!D291/'04 Prices'!D290-1)</f>
        <v/>
      </c>
      <c r="E290" s="25">
        <f>IF(OR($A290="",'04 Prices'!E290="",'04 Prices'!E291=""),"",'04 Prices'!E291/'04 Prices'!E290-1)</f>
        <v/>
      </c>
      <c r="F290" s="25">
        <f>IF(OR($A290="",'04 Prices'!F290="",'04 Prices'!F291=""),"",'04 Prices'!F291/'04 Prices'!F290-1)</f>
        <v/>
      </c>
      <c r="G290" s="25">
        <f>IF(OR($A290="",'04 Prices'!G290="",'04 Prices'!G291=""),"",'04 Prices'!G291/'04 Prices'!G290-1)</f>
        <v/>
      </c>
      <c r="H290" s="25">
        <f>IF(OR($A290="",'04 Prices'!H290="",'04 Prices'!H291=""),"",'04 Prices'!H291/'04 Prices'!H290-1)</f>
        <v/>
      </c>
    </row>
    <row r="291">
      <c r="A291" s="23">
        <f>IF('04 Prices'!A292="","",'04 Prices'!A292)</f>
        <v/>
      </c>
      <c r="B291" s="25">
        <f>IF(OR($A291="",'04 Prices'!B291="",'04 Prices'!B292=""),"",'04 Prices'!B292/'04 Prices'!B291-1)</f>
        <v/>
      </c>
      <c r="C291" s="25">
        <f>IF(OR($A291="",'04 Prices'!C291="",'04 Prices'!C292=""),"",'04 Prices'!C292/'04 Prices'!C291-1)</f>
        <v/>
      </c>
      <c r="D291" s="25">
        <f>IF(OR($A291="",'04 Prices'!D291="",'04 Prices'!D292=""),"",'04 Prices'!D292/'04 Prices'!D291-1)</f>
        <v/>
      </c>
      <c r="E291" s="25">
        <f>IF(OR($A291="",'04 Prices'!E291="",'04 Prices'!E292=""),"",'04 Prices'!E292/'04 Prices'!E291-1)</f>
        <v/>
      </c>
      <c r="F291" s="25">
        <f>IF(OR($A291="",'04 Prices'!F291="",'04 Prices'!F292=""),"",'04 Prices'!F292/'04 Prices'!F291-1)</f>
        <v/>
      </c>
      <c r="G291" s="25">
        <f>IF(OR($A291="",'04 Prices'!G291="",'04 Prices'!G292=""),"",'04 Prices'!G292/'04 Prices'!G291-1)</f>
        <v/>
      </c>
      <c r="H291" s="25">
        <f>IF(OR($A291="",'04 Prices'!H291="",'04 Prices'!H292=""),"",'04 Prices'!H292/'04 Prices'!H291-1)</f>
        <v/>
      </c>
    </row>
    <row r="292">
      <c r="A292" s="23">
        <f>IF('04 Prices'!A293="","",'04 Prices'!A293)</f>
        <v/>
      </c>
      <c r="B292" s="25">
        <f>IF(OR($A292="",'04 Prices'!B292="",'04 Prices'!B293=""),"",'04 Prices'!B293/'04 Prices'!B292-1)</f>
        <v/>
      </c>
      <c r="C292" s="25">
        <f>IF(OR($A292="",'04 Prices'!C292="",'04 Prices'!C293=""),"",'04 Prices'!C293/'04 Prices'!C292-1)</f>
        <v/>
      </c>
      <c r="D292" s="25">
        <f>IF(OR($A292="",'04 Prices'!D292="",'04 Prices'!D293=""),"",'04 Prices'!D293/'04 Prices'!D292-1)</f>
        <v/>
      </c>
      <c r="E292" s="25">
        <f>IF(OR($A292="",'04 Prices'!E292="",'04 Prices'!E293=""),"",'04 Prices'!E293/'04 Prices'!E292-1)</f>
        <v/>
      </c>
      <c r="F292" s="25">
        <f>IF(OR($A292="",'04 Prices'!F292="",'04 Prices'!F293=""),"",'04 Prices'!F293/'04 Prices'!F292-1)</f>
        <v/>
      </c>
      <c r="G292" s="25">
        <f>IF(OR($A292="",'04 Prices'!G292="",'04 Prices'!G293=""),"",'04 Prices'!G293/'04 Prices'!G292-1)</f>
        <v/>
      </c>
      <c r="H292" s="25">
        <f>IF(OR($A292="",'04 Prices'!H292="",'04 Prices'!H293=""),"",'04 Prices'!H293/'04 Prices'!H292-1)</f>
        <v/>
      </c>
    </row>
    <row r="293">
      <c r="A293" s="23">
        <f>IF('04 Prices'!A294="","",'04 Prices'!A294)</f>
        <v/>
      </c>
      <c r="B293" s="25">
        <f>IF(OR($A293="",'04 Prices'!B293="",'04 Prices'!B294=""),"",'04 Prices'!B294/'04 Prices'!B293-1)</f>
        <v/>
      </c>
      <c r="C293" s="25">
        <f>IF(OR($A293="",'04 Prices'!C293="",'04 Prices'!C294=""),"",'04 Prices'!C294/'04 Prices'!C293-1)</f>
        <v/>
      </c>
      <c r="D293" s="25">
        <f>IF(OR($A293="",'04 Prices'!D293="",'04 Prices'!D294=""),"",'04 Prices'!D294/'04 Prices'!D293-1)</f>
        <v/>
      </c>
      <c r="E293" s="25">
        <f>IF(OR($A293="",'04 Prices'!E293="",'04 Prices'!E294=""),"",'04 Prices'!E294/'04 Prices'!E293-1)</f>
        <v/>
      </c>
      <c r="F293" s="25">
        <f>IF(OR($A293="",'04 Prices'!F293="",'04 Prices'!F294=""),"",'04 Prices'!F294/'04 Prices'!F293-1)</f>
        <v/>
      </c>
      <c r="G293" s="25">
        <f>IF(OR($A293="",'04 Prices'!G293="",'04 Prices'!G294=""),"",'04 Prices'!G294/'04 Prices'!G293-1)</f>
        <v/>
      </c>
      <c r="H293" s="25">
        <f>IF(OR($A293="",'04 Prices'!H293="",'04 Prices'!H294=""),"",'04 Prices'!H294/'04 Prices'!H293-1)</f>
        <v/>
      </c>
    </row>
    <row r="294">
      <c r="A294" s="23">
        <f>IF('04 Prices'!A295="","",'04 Prices'!A295)</f>
        <v/>
      </c>
      <c r="B294" s="25">
        <f>IF(OR($A294="",'04 Prices'!B294="",'04 Prices'!B295=""),"",'04 Prices'!B295/'04 Prices'!B294-1)</f>
        <v/>
      </c>
      <c r="C294" s="25">
        <f>IF(OR($A294="",'04 Prices'!C294="",'04 Prices'!C295=""),"",'04 Prices'!C295/'04 Prices'!C294-1)</f>
        <v/>
      </c>
      <c r="D294" s="25">
        <f>IF(OR($A294="",'04 Prices'!D294="",'04 Prices'!D295=""),"",'04 Prices'!D295/'04 Prices'!D294-1)</f>
        <v/>
      </c>
      <c r="E294" s="25">
        <f>IF(OR($A294="",'04 Prices'!E294="",'04 Prices'!E295=""),"",'04 Prices'!E295/'04 Prices'!E294-1)</f>
        <v/>
      </c>
      <c r="F294" s="25">
        <f>IF(OR($A294="",'04 Prices'!F294="",'04 Prices'!F295=""),"",'04 Prices'!F295/'04 Prices'!F294-1)</f>
        <v/>
      </c>
      <c r="G294" s="25">
        <f>IF(OR($A294="",'04 Prices'!G294="",'04 Prices'!G295=""),"",'04 Prices'!G295/'04 Prices'!G294-1)</f>
        <v/>
      </c>
      <c r="H294" s="25">
        <f>IF(OR($A294="",'04 Prices'!H294="",'04 Prices'!H295=""),"",'04 Prices'!H295/'04 Prices'!H294-1)</f>
        <v/>
      </c>
    </row>
    <row r="295">
      <c r="A295" s="23">
        <f>IF('04 Prices'!A296="","",'04 Prices'!A296)</f>
        <v/>
      </c>
      <c r="B295" s="25">
        <f>IF(OR($A295="",'04 Prices'!B295="",'04 Prices'!B296=""),"",'04 Prices'!B296/'04 Prices'!B295-1)</f>
        <v/>
      </c>
      <c r="C295" s="25">
        <f>IF(OR($A295="",'04 Prices'!C295="",'04 Prices'!C296=""),"",'04 Prices'!C296/'04 Prices'!C295-1)</f>
        <v/>
      </c>
      <c r="D295" s="25">
        <f>IF(OR($A295="",'04 Prices'!D295="",'04 Prices'!D296=""),"",'04 Prices'!D296/'04 Prices'!D295-1)</f>
        <v/>
      </c>
      <c r="E295" s="25">
        <f>IF(OR($A295="",'04 Prices'!E295="",'04 Prices'!E296=""),"",'04 Prices'!E296/'04 Prices'!E295-1)</f>
        <v/>
      </c>
      <c r="F295" s="25">
        <f>IF(OR($A295="",'04 Prices'!F295="",'04 Prices'!F296=""),"",'04 Prices'!F296/'04 Prices'!F295-1)</f>
        <v/>
      </c>
      <c r="G295" s="25">
        <f>IF(OR($A295="",'04 Prices'!G295="",'04 Prices'!G296=""),"",'04 Prices'!G296/'04 Prices'!G295-1)</f>
        <v/>
      </c>
      <c r="H295" s="25">
        <f>IF(OR($A295="",'04 Prices'!H295="",'04 Prices'!H296=""),"",'04 Prices'!H296/'04 Prices'!H295-1)</f>
        <v/>
      </c>
    </row>
    <row r="296">
      <c r="A296" s="23">
        <f>IF('04 Prices'!A297="","",'04 Prices'!A297)</f>
        <v/>
      </c>
      <c r="B296" s="25">
        <f>IF(OR($A296="",'04 Prices'!B296="",'04 Prices'!B297=""),"",'04 Prices'!B297/'04 Prices'!B296-1)</f>
        <v/>
      </c>
      <c r="C296" s="25">
        <f>IF(OR($A296="",'04 Prices'!C296="",'04 Prices'!C297=""),"",'04 Prices'!C297/'04 Prices'!C296-1)</f>
        <v/>
      </c>
      <c r="D296" s="25">
        <f>IF(OR($A296="",'04 Prices'!D296="",'04 Prices'!D297=""),"",'04 Prices'!D297/'04 Prices'!D296-1)</f>
        <v/>
      </c>
      <c r="E296" s="25">
        <f>IF(OR($A296="",'04 Prices'!E296="",'04 Prices'!E297=""),"",'04 Prices'!E297/'04 Prices'!E296-1)</f>
        <v/>
      </c>
      <c r="F296" s="25">
        <f>IF(OR($A296="",'04 Prices'!F296="",'04 Prices'!F297=""),"",'04 Prices'!F297/'04 Prices'!F296-1)</f>
        <v/>
      </c>
      <c r="G296" s="25">
        <f>IF(OR($A296="",'04 Prices'!G296="",'04 Prices'!G297=""),"",'04 Prices'!G297/'04 Prices'!G296-1)</f>
        <v/>
      </c>
      <c r="H296" s="25">
        <f>IF(OR($A296="",'04 Prices'!H296="",'04 Prices'!H297=""),"",'04 Prices'!H297/'04 Prices'!H296-1)</f>
        <v/>
      </c>
    </row>
    <row r="297">
      <c r="A297" s="23">
        <f>IF('04 Prices'!A298="","",'04 Prices'!A298)</f>
        <v/>
      </c>
      <c r="B297" s="25">
        <f>IF(OR($A297="",'04 Prices'!B297="",'04 Prices'!B298=""),"",'04 Prices'!B298/'04 Prices'!B297-1)</f>
        <v/>
      </c>
      <c r="C297" s="25">
        <f>IF(OR($A297="",'04 Prices'!C297="",'04 Prices'!C298=""),"",'04 Prices'!C298/'04 Prices'!C297-1)</f>
        <v/>
      </c>
      <c r="D297" s="25">
        <f>IF(OR($A297="",'04 Prices'!D297="",'04 Prices'!D298=""),"",'04 Prices'!D298/'04 Prices'!D297-1)</f>
        <v/>
      </c>
      <c r="E297" s="25">
        <f>IF(OR($A297="",'04 Prices'!E297="",'04 Prices'!E298=""),"",'04 Prices'!E298/'04 Prices'!E297-1)</f>
        <v/>
      </c>
      <c r="F297" s="25">
        <f>IF(OR($A297="",'04 Prices'!F297="",'04 Prices'!F298=""),"",'04 Prices'!F298/'04 Prices'!F297-1)</f>
        <v/>
      </c>
      <c r="G297" s="25">
        <f>IF(OR($A297="",'04 Prices'!G297="",'04 Prices'!G298=""),"",'04 Prices'!G298/'04 Prices'!G297-1)</f>
        <v/>
      </c>
      <c r="H297" s="25">
        <f>IF(OR($A297="",'04 Prices'!H297="",'04 Prices'!H298=""),"",'04 Prices'!H298/'04 Prices'!H297-1)</f>
        <v/>
      </c>
    </row>
    <row r="298">
      <c r="A298" s="23">
        <f>IF('04 Prices'!A299="","",'04 Prices'!A299)</f>
        <v/>
      </c>
      <c r="B298" s="25">
        <f>IF(OR($A298="",'04 Prices'!B298="",'04 Prices'!B299=""),"",'04 Prices'!B299/'04 Prices'!B298-1)</f>
        <v/>
      </c>
      <c r="C298" s="25">
        <f>IF(OR($A298="",'04 Prices'!C298="",'04 Prices'!C299=""),"",'04 Prices'!C299/'04 Prices'!C298-1)</f>
        <v/>
      </c>
      <c r="D298" s="25">
        <f>IF(OR($A298="",'04 Prices'!D298="",'04 Prices'!D299=""),"",'04 Prices'!D299/'04 Prices'!D298-1)</f>
        <v/>
      </c>
      <c r="E298" s="25">
        <f>IF(OR($A298="",'04 Prices'!E298="",'04 Prices'!E299=""),"",'04 Prices'!E299/'04 Prices'!E298-1)</f>
        <v/>
      </c>
      <c r="F298" s="25">
        <f>IF(OR($A298="",'04 Prices'!F298="",'04 Prices'!F299=""),"",'04 Prices'!F299/'04 Prices'!F298-1)</f>
        <v/>
      </c>
      <c r="G298" s="25">
        <f>IF(OR($A298="",'04 Prices'!G298="",'04 Prices'!G299=""),"",'04 Prices'!G299/'04 Prices'!G298-1)</f>
        <v/>
      </c>
      <c r="H298" s="25">
        <f>IF(OR($A298="",'04 Prices'!H298="",'04 Prices'!H299=""),"",'04 Prices'!H299/'04 Prices'!H298-1)</f>
        <v/>
      </c>
    </row>
    <row r="299">
      <c r="A299" s="23">
        <f>IF('04 Prices'!A300="","",'04 Prices'!A300)</f>
        <v/>
      </c>
      <c r="B299" s="25">
        <f>IF(OR($A299="",'04 Prices'!B299="",'04 Prices'!B300=""),"",'04 Prices'!B300/'04 Prices'!B299-1)</f>
        <v/>
      </c>
      <c r="C299" s="25">
        <f>IF(OR($A299="",'04 Prices'!C299="",'04 Prices'!C300=""),"",'04 Prices'!C300/'04 Prices'!C299-1)</f>
        <v/>
      </c>
      <c r="D299" s="25">
        <f>IF(OR($A299="",'04 Prices'!D299="",'04 Prices'!D300=""),"",'04 Prices'!D300/'04 Prices'!D299-1)</f>
        <v/>
      </c>
      <c r="E299" s="25">
        <f>IF(OR($A299="",'04 Prices'!E299="",'04 Prices'!E300=""),"",'04 Prices'!E300/'04 Prices'!E299-1)</f>
        <v/>
      </c>
      <c r="F299" s="25">
        <f>IF(OR($A299="",'04 Prices'!F299="",'04 Prices'!F300=""),"",'04 Prices'!F300/'04 Prices'!F299-1)</f>
        <v/>
      </c>
      <c r="G299" s="25">
        <f>IF(OR($A299="",'04 Prices'!G299="",'04 Prices'!G300=""),"",'04 Prices'!G300/'04 Prices'!G299-1)</f>
        <v/>
      </c>
      <c r="H299" s="25">
        <f>IF(OR($A299="",'04 Prices'!H299="",'04 Prices'!H300=""),"",'04 Prices'!H300/'04 Prices'!H299-1)</f>
        <v/>
      </c>
    </row>
    <row r="300">
      <c r="A300" s="23">
        <f>IF('04 Prices'!A301="","",'04 Prices'!A301)</f>
        <v/>
      </c>
      <c r="B300" s="25">
        <f>IF(OR($A300="",'04 Prices'!B300="",'04 Prices'!B301=""),"",'04 Prices'!B301/'04 Prices'!B300-1)</f>
        <v/>
      </c>
      <c r="C300" s="25">
        <f>IF(OR($A300="",'04 Prices'!C300="",'04 Prices'!C301=""),"",'04 Prices'!C301/'04 Prices'!C300-1)</f>
        <v/>
      </c>
      <c r="D300" s="25">
        <f>IF(OR($A300="",'04 Prices'!D300="",'04 Prices'!D301=""),"",'04 Prices'!D301/'04 Prices'!D300-1)</f>
        <v/>
      </c>
      <c r="E300" s="25">
        <f>IF(OR($A300="",'04 Prices'!E300="",'04 Prices'!E301=""),"",'04 Prices'!E301/'04 Prices'!E300-1)</f>
        <v/>
      </c>
      <c r="F300" s="25">
        <f>IF(OR($A300="",'04 Prices'!F300="",'04 Prices'!F301=""),"",'04 Prices'!F301/'04 Prices'!F300-1)</f>
        <v/>
      </c>
      <c r="G300" s="25">
        <f>IF(OR($A300="",'04 Prices'!G300="",'04 Prices'!G301=""),"",'04 Prices'!G301/'04 Prices'!G300-1)</f>
        <v/>
      </c>
      <c r="H300" s="25">
        <f>IF(OR($A300="",'04 Prices'!H300="",'04 Prices'!H301=""),"",'04 Prices'!H301/'04 Prices'!H300-1)</f>
        <v/>
      </c>
    </row>
    <row r="301">
      <c r="A301" s="23">
        <f>IF('04 Prices'!A302="","",'04 Prices'!A302)</f>
        <v/>
      </c>
      <c r="B301" s="25">
        <f>IF(OR($A301="",'04 Prices'!B301="",'04 Prices'!B302=""),"",'04 Prices'!B302/'04 Prices'!B301-1)</f>
        <v/>
      </c>
      <c r="C301" s="25">
        <f>IF(OR($A301="",'04 Prices'!C301="",'04 Prices'!C302=""),"",'04 Prices'!C302/'04 Prices'!C301-1)</f>
        <v/>
      </c>
      <c r="D301" s="25">
        <f>IF(OR($A301="",'04 Prices'!D301="",'04 Prices'!D302=""),"",'04 Prices'!D302/'04 Prices'!D301-1)</f>
        <v/>
      </c>
      <c r="E301" s="25">
        <f>IF(OR($A301="",'04 Prices'!E301="",'04 Prices'!E302=""),"",'04 Prices'!E302/'04 Prices'!E301-1)</f>
        <v/>
      </c>
      <c r="F301" s="25">
        <f>IF(OR($A301="",'04 Prices'!F301="",'04 Prices'!F302=""),"",'04 Prices'!F302/'04 Prices'!F301-1)</f>
        <v/>
      </c>
      <c r="G301" s="25">
        <f>IF(OR($A301="",'04 Prices'!G301="",'04 Prices'!G302=""),"",'04 Prices'!G302/'04 Prices'!G301-1)</f>
        <v/>
      </c>
      <c r="H301" s="25">
        <f>IF(OR($A301="",'04 Prices'!H301="",'04 Prices'!H302=""),"",'04 Prices'!H302/'04 Prices'!H301-1)</f>
        <v/>
      </c>
    </row>
    <row r="302">
      <c r="A302" s="23">
        <f>IF('04 Prices'!A303="","",'04 Prices'!A303)</f>
        <v/>
      </c>
      <c r="B302" s="25">
        <f>IF(OR($A302="",'04 Prices'!B302="",'04 Prices'!B303=""),"",'04 Prices'!B303/'04 Prices'!B302-1)</f>
        <v/>
      </c>
      <c r="C302" s="25">
        <f>IF(OR($A302="",'04 Prices'!C302="",'04 Prices'!C303=""),"",'04 Prices'!C303/'04 Prices'!C302-1)</f>
        <v/>
      </c>
      <c r="D302" s="25">
        <f>IF(OR($A302="",'04 Prices'!D302="",'04 Prices'!D303=""),"",'04 Prices'!D303/'04 Prices'!D302-1)</f>
        <v/>
      </c>
      <c r="E302" s="25">
        <f>IF(OR($A302="",'04 Prices'!E302="",'04 Prices'!E303=""),"",'04 Prices'!E303/'04 Prices'!E302-1)</f>
        <v/>
      </c>
      <c r="F302" s="25">
        <f>IF(OR($A302="",'04 Prices'!F302="",'04 Prices'!F303=""),"",'04 Prices'!F303/'04 Prices'!F302-1)</f>
        <v/>
      </c>
      <c r="G302" s="25">
        <f>IF(OR($A302="",'04 Prices'!G302="",'04 Prices'!G303=""),"",'04 Prices'!G303/'04 Prices'!G302-1)</f>
        <v/>
      </c>
      <c r="H302" s="25">
        <f>IF(OR($A302="",'04 Prices'!H302="",'04 Prices'!H303=""),"",'04 Prices'!H303/'04 Prices'!H302-1)</f>
        <v/>
      </c>
    </row>
    <row r="303">
      <c r="A303" s="23">
        <f>IF('04 Prices'!A304="","",'04 Prices'!A304)</f>
        <v/>
      </c>
      <c r="B303" s="25">
        <f>IF(OR($A303="",'04 Prices'!B303="",'04 Prices'!B304=""),"",'04 Prices'!B304/'04 Prices'!B303-1)</f>
        <v/>
      </c>
      <c r="C303" s="25">
        <f>IF(OR($A303="",'04 Prices'!C303="",'04 Prices'!C304=""),"",'04 Prices'!C304/'04 Prices'!C303-1)</f>
        <v/>
      </c>
      <c r="D303" s="25">
        <f>IF(OR($A303="",'04 Prices'!D303="",'04 Prices'!D304=""),"",'04 Prices'!D304/'04 Prices'!D303-1)</f>
        <v/>
      </c>
      <c r="E303" s="25">
        <f>IF(OR($A303="",'04 Prices'!E303="",'04 Prices'!E304=""),"",'04 Prices'!E304/'04 Prices'!E303-1)</f>
        <v/>
      </c>
      <c r="F303" s="25">
        <f>IF(OR($A303="",'04 Prices'!F303="",'04 Prices'!F304=""),"",'04 Prices'!F304/'04 Prices'!F303-1)</f>
        <v/>
      </c>
      <c r="G303" s="25">
        <f>IF(OR($A303="",'04 Prices'!G303="",'04 Prices'!G304=""),"",'04 Prices'!G304/'04 Prices'!G303-1)</f>
        <v/>
      </c>
      <c r="H303" s="25">
        <f>IF(OR($A303="",'04 Prices'!H303="",'04 Prices'!H304=""),"",'04 Prices'!H304/'04 Prices'!H303-1)</f>
        <v/>
      </c>
    </row>
    <row r="304">
      <c r="A304" s="23">
        <f>IF('04 Prices'!A305="","",'04 Prices'!A305)</f>
        <v/>
      </c>
      <c r="B304" s="25">
        <f>IF(OR($A304="",'04 Prices'!B304="",'04 Prices'!B305=""),"",'04 Prices'!B305/'04 Prices'!B304-1)</f>
        <v/>
      </c>
      <c r="C304" s="25">
        <f>IF(OR($A304="",'04 Prices'!C304="",'04 Prices'!C305=""),"",'04 Prices'!C305/'04 Prices'!C304-1)</f>
        <v/>
      </c>
      <c r="D304" s="25">
        <f>IF(OR($A304="",'04 Prices'!D304="",'04 Prices'!D305=""),"",'04 Prices'!D305/'04 Prices'!D304-1)</f>
        <v/>
      </c>
      <c r="E304" s="25">
        <f>IF(OR($A304="",'04 Prices'!E304="",'04 Prices'!E305=""),"",'04 Prices'!E305/'04 Prices'!E304-1)</f>
        <v/>
      </c>
      <c r="F304" s="25">
        <f>IF(OR($A304="",'04 Prices'!F304="",'04 Prices'!F305=""),"",'04 Prices'!F305/'04 Prices'!F304-1)</f>
        <v/>
      </c>
      <c r="G304" s="25">
        <f>IF(OR($A304="",'04 Prices'!G304="",'04 Prices'!G305=""),"",'04 Prices'!G305/'04 Prices'!G304-1)</f>
        <v/>
      </c>
      <c r="H304" s="25">
        <f>IF(OR($A304="",'04 Prices'!H304="",'04 Prices'!H305=""),"",'04 Prices'!H305/'04 Prices'!H304-1)</f>
        <v/>
      </c>
    </row>
    <row r="305">
      <c r="A305" s="23">
        <f>IF('04 Prices'!A306="","",'04 Prices'!A306)</f>
        <v/>
      </c>
      <c r="B305" s="25">
        <f>IF(OR($A305="",'04 Prices'!B305="",'04 Prices'!B306=""),"",'04 Prices'!B306/'04 Prices'!B305-1)</f>
        <v/>
      </c>
      <c r="C305" s="25">
        <f>IF(OR($A305="",'04 Prices'!C305="",'04 Prices'!C306=""),"",'04 Prices'!C306/'04 Prices'!C305-1)</f>
        <v/>
      </c>
      <c r="D305" s="25">
        <f>IF(OR($A305="",'04 Prices'!D305="",'04 Prices'!D306=""),"",'04 Prices'!D306/'04 Prices'!D305-1)</f>
        <v/>
      </c>
      <c r="E305" s="25">
        <f>IF(OR($A305="",'04 Prices'!E305="",'04 Prices'!E306=""),"",'04 Prices'!E306/'04 Prices'!E305-1)</f>
        <v/>
      </c>
      <c r="F305" s="25">
        <f>IF(OR($A305="",'04 Prices'!F305="",'04 Prices'!F306=""),"",'04 Prices'!F306/'04 Prices'!F305-1)</f>
        <v/>
      </c>
      <c r="G305" s="25">
        <f>IF(OR($A305="",'04 Prices'!G305="",'04 Prices'!G306=""),"",'04 Prices'!G306/'04 Prices'!G305-1)</f>
        <v/>
      </c>
      <c r="H305" s="25">
        <f>IF(OR($A305="",'04 Prices'!H305="",'04 Prices'!H306=""),"",'04 Prices'!H306/'04 Prices'!H305-1)</f>
        <v/>
      </c>
    </row>
    <row r="306">
      <c r="A306" s="23">
        <f>IF('04 Prices'!A307="","",'04 Prices'!A307)</f>
        <v/>
      </c>
      <c r="B306" s="25">
        <f>IF(OR($A306="",'04 Prices'!B306="",'04 Prices'!B307=""),"",'04 Prices'!B307/'04 Prices'!B306-1)</f>
        <v/>
      </c>
      <c r="C306" s="25">
        <f>IF(OR($A306="",'04 Prices'!C306="",'04 Prices'!C307=""),"",'04 Prices'!C307/'04 Prices'!C306-1)</f>
        <v/>
      </c>
      <c r="D306" s="25">
        <f>IF(OR($A306="",'04 Prices'!D306="",'04 Prices'!D307=""),"",'04 Prices'!D307/'04 Prices'!D306-1)</f>
        <v/>
      </c>
      <c r="E306" s="25">
        <f>IF(OR($A306="",'04 Prices'!E306="",'04 Prices'!E307=""),"",'04 Prices'!E307/'04 Prices'!E306-1)</f>
        <v/>
      </c>
      <c r="F306" s="25">
        <f>IF(OR($A306="",'04 Prices'!F306="",'04 Prices'!F307=""),"",'04 Prices'!F307/'04 Prices'!F306-1)</f>
        <v/>
      </c>
      <c r="G306" s="25">
        <f>IF(OR($A306="",'04 Prices'!G306="",'04 Prices'!G307=""),"",'04 Prices'!G307/'04 Prices'!G306-1)</f>
        <v/>
      </c>
      <c r="H306" s="25">
        <f>IF(OR($A306="",'04 Prices'!H306="",'04 Prices'!H307=""),"",'04 Prices'!H307/'04 Prices'!H306-1)</f>
        <v/>
      </c>
    </row>
    <row r="307">
      <c r="A307" s="23">
        <f>IF('04 Prices'!A308="","",'04 Prices'!A308)</f>
        <v/>
      </c>
      <c r="B307" s="25">
        <f>IF(OR($A307="",'04 Prices'!B307="",'04 Prices'!B308=""),"",'04 Prices'!B308/'04 Prices'!B307-1)</f>
        <v/>
      </c>
      <c r="C307" s="25">
        <f>IF(OR($A307="",'04 Prices'!C307="",'04 Prices'!C308=""),"",'04 Prices'!C308/'04 Prices'!C307-1)</f>
        <v/>
      </c>
      <c r="D307" s="25">
        <f>IF(OR($A307="",'04 Prices'!D307="",'04 Prices'!D308=""),"",'04 Prices'!D308/'04 Prices'!D307-1)</f>
        <v/>
      </c>
      <c r="E307" s="25">
        <f>IF(OR($A307="",'04 Prices'!E307="",'04 Prices'!E308=""),"",'04 Prices'!E308/'04 Prices'!E307-1)</f>
        <v/>
      </c>
      <c r="F307" s="25">
        <f>IF(OR($A307="",'04 Prices'!F307="",'04 Prices'!F308=""),"",'04 Prices'!F308/'04 Prices'!F307-1)</f>
        <v/>
      </c>
      <c r="G307" s="25">
        <f>IF(OR($A307="",'04 Prices'!G307="",'04 Prices'!G308=""),"",'04 Prices'!G308/'04 Prices'!G307-1)</f>
        <v/>
      </c>
      <c r="H307" s="25">
        <f>IF(OR($A307="",'04 Prices'!H307="",'04 Prices'!H308=""),"",'04 Prices'!H308/'04 Prices'!H307-1)</f>
        <v/>
      </c>
    </row>
    <row r="308">
      <c r="A308" s="23">
        <f>IF('04 Prices'!A309="","",'04 Prices'!A309)</f>
        <v/>
      </c>
      <c r="B308" s="25">
        <f>IF(OR($A308="",'04 Prices'!B308="",'04 Prices'!B309=""),"",'04 Prices'!B309/'04 Prices'!B308-1)</f>
        <v/>
      </c>
      <c r="C308" s="25">
        <f>IF(OR($A308="",'04 Prices'!C308="",'04 Prices'!C309=""),"",'04 Prices'!C309/'04 Prices'!C308-1)</f>
        <v/>
      </c>
      <c r="D308" s="25">
        <f>IF(OR($A308="",'04 Prices'!D308="",'04 Prices'!D309=""),"",'04 Prices'!D309/'04 Prices'!D308-1)</f>
        <v/>
      </c>
      <c r="E308" s="25">
        <f>IF(OR($A308="",'04 Prices'!E308="",'04 Prices'!E309=""),"",'04 Prices'!E309/'04 Prices'!E308-1)</f>
        <v/>
      </c>
      <c r="F308" s="25">
        <f>IF(OR($A308="",'04 Prices'!F308="",'04 Prices'!F309=""),"",'04 Prices'!F309/'04 Prices'!F308-1)</f>
        <v/>
      </c>
      <c r="G308" s="25">
        <f>IF(OR($A308="",'04 Prices'!G308="",'04 Prices'!G309=""),"",'04 Prices'!G309/'04 Prices'!G308-1)</f>
        <v/>
      </c>
      <c r="H308" s="25">
        <f>IF(OR($A308="",'04 Prices'!H308="",'04 Prices'!H309=""),"",'04 Prices'!H309/'04 Prices'!H308-1)</f>
        <v/>
      </c>
    </row>
    <row r="309">
      <c r="A309" s="23">
        <f>IF('04 Prices'!A310="","",'04 Prices'!A310)</f>
        <v/>
      </c>
      <c r="B309" s="25">
        <f>IF(OR($A309="",'04 Prices'!B309="",'04 Prices'!B310=""),"",'04 Prices'!B310/'04 Prices'!B309-1)</f>
        <v/>
      </c>
      <c r="C309" s="25">
        <f>IF(OR($A309="",'04 Prices'!C309="",'04 Prices'!C310=""),"",'04 Prices'!C310/'04 Prices'!C309-1)</f>
        <v/>
      </c>
      <c r="D309" s="25">
        <f>IF(OR($A309="",'04 Prices'!D309="",'04 Prices'!D310=""),"",'04 Prices'!D310/'04 Prices'!D309-1)</f>
        <v/>
      </c>
      <c r="E309" s="25">
        <f>IF(OR($A309="",'04 Prices'!E309="",'04 Prices'!E310=""),"",'04 Prices'!E310/'04 Prices'!E309-1)</f>
        <v/>
      </c>
      <c r="F309" s="25">
        <f>IF(OR($A309="",'04 Prices'!F309="",'04 Prices'!F310=""),"",'04 Prices'!F310/'04 Prices'!F309-1)</f>
        <v/>
      </c>
      <c r="G309" s="25">
        <f>IF(OR($A309="",'04 Prices'!G309="",'04 Prices'!G310=""),"",'04 Prices'!G310/'04 Prices'!G309-1)</f>
        <v/>
      </c>
      <c r="H309" s="25">
        <f>IF(OR($A309="",'04 Prices'!H309="",'04 Prices'!H310=""),"",'04 Prices'!H310/'04 Prices'!H309-1)</f>
        <v/>
      </c>
    </row>
    <row r="310">
      <c r="A310" s="23">
        <f>IF('04 Prices'!A311="","",'04 Prices'!A311)</f>
        <v/>
      </c>
      <c r="B310" s="25">
        <f>IF(OR($A310="",'04 Prices'!B310="",'04 Prices'!B311=""),"",'04 Prices'!B311/'04 Prices'!B310-1)</f>
        <v/>
      </c>
      <c r="C310" s="25">
        <f>IF(OR($A310="",'04 Prices'!C310="",'04 Prices'!C311=""),"",'04 Prices'!C311/'04 Prices'!C310-1)</f>
        <v/>
      </c>
      <c r="D310" s="25">
        <f>IF(OR($A310="",'04 Prices'!D310="",'04 Prices'!D311=""),"",'04 Prices'!D311/'04 Prices'!D310-1)</f>
        <v/>
      </c>
      <c r="E310" s="25">
        <f>IF(OR($A310="",'04 Prices'!E310="",'04 Prices'!E311=""),"",'04 Prices'!E311/'04 Prices'!E310-1)</f>
        <v/>
      </c>
      <c r="F310" s="25">
        <f>IF(OR($A310="",'04 Prices'!F310="",'04 Prices'!F311=""),"",'04 Prices'!F311/'04 Prices'!F310-1)</f>
        <v/>
      </c>
      <c r="G310" s="25">
        <f>IF(OR($A310="",'04 Prices'!G310="",'04 Prices'!G311=""),"",'04 Prices'!G311/'04 Prices'!G310-1)</f>
        <v/>
      </c>
      <c r="H310" s="25">
        <f>IF(OR($A310="",'04 Prices'!H310="",'04 Prices'!H311=""),"",'04 Prices'!H311/'04 Prices'!H310-1)</f>
        <v/>
      </c>
    </row>
    <row r="311">
      <c r="A311" s="23">
        <f>IF('04 Prices'!A312="","",'04 Prices'!A312)</f>
        <v/>
      </c>
      <c r="B311" s="25">
        <f>IF(OR($A311="",'04 Prices'!B311="",'04 Prices'!B312=""),"",'04 Prices'!B312/'04 Prices'!B311-1)</f>
        <v/>
      </c>
      <c r="C311" s="25">
        <f>IF(OR($A311="",'04 Prices'!C311="",'04 Prices'!C312=""),"",'04 Prices'!C312/'04 Prices'!C311-1)</f>
        <v/>
      </c>
      <c r="D311" s="25">
        <f>IF(OR($A311="",'04 Prices'!D311="",'04 Prices'!D312=""),"",'04 Prices'!D312/'04 Prices'!D311-1)</f>
        <v/>
      </c>
      <c r="E311" s="25">
        <f>IF(OR($A311="",'04 Prices'!E311="",'04 Prices'!E312=""),"",'04 Prices'!E312/'04 Prices'!E311-1)</f>
        <v/>
      </c>
      <c r="F311" s="25">
        <f>IF(OR($A311="",'04 Prices'!F311="",'04 Prices'!F312=""),"",'04 Prices'!F312/'04 Prices'!F311-1)</f>
        <v/>
      </c>
      <c r="G311" s="25">
        <f>IF(OR($A311="",'04 Prices'!G311="",'04 Prices'!G312=""),"",'04 Prices'!G312/'04 Prices'!G311-1)</f>
        <v/>
      </c>
      <c r="H311" s="25">
        <f>IF(OR($A311="",'04 Prices'!H311="",'04 Prices'!H312=""),"",'04 Prices'!H312/'04 Prices'!H311-1)</f>
        <v/>
      </c>
    </row>
    <row r="312">
      <c r="A312" s="23">
        <f>IF('04 Prices'!A313="","",'04 Prices'!A313)</f>
        <v/>
      </c>
      <c r="B312" s="25">
        <f>IF(OR($A312="",'04 Prices'!B312="",'04 Prices'!B313=""),"",'04 Prices'!B313/'04 Prices'!B312-1)</f>
        <v/>
      </c>
      <c r="C312" s="25">
        <f>IF(OR($A312="",'04 Prices'!C312="",'04 Prices'!C313=""),"",'04 Prices'!C313/'04 Prices'!C312-1)</f>
        <v/>
      </c>
      <c r="D312" s="25">
        <f>IF(OR($A312="",'04 Prices'!D312="",'04 Prices'!D313=""),"",'04 Prices'!D313/'04 Prices'!D312-1)</f>
        <v/>
      </c>
      <c r="E312" s="25">
        <f>IF(OR($A312="",'04 Prices'!E312="",'04 Prices'!E313=""),"",'04 Prices'!E313/'04 Prices'!E312-1)</f>
        <v/>
      </c>
      <c r="F312" s="25">
        <f>IF(OR($A312="",'04 Prices'!F312="",'04 Prices'!F313=""),"",'04 Prices'!F313/'04 Prices'!F312-1)</f>
        <v/>
      </c>
      <c r="G312" s="25">
        <f>IF(OR($A312="",'04 Prices'!G312="",'04 Prices'!G313=""),"",'04 Prices'!G313/'04 Prices'!G312-1)</f>
        <v/>
      </c>
      <c r="H312" s="25">
        <f>IF(OR($A312="",'04 Prices'!H312="",'04 Prices'!H313=""),"",'04 Prices'!H313/'04 Prices'!H312-1)</f>
        <v/>
      </c>
    </row>
    <row r="313">
      <c r="A313" s="23">
        <f>IF('04 Prices'!A314="","",'04 Prices'!A314)</f>
        <v/>
      </c>
      <c r="B313" s="25">
        <f>IF(OR($A313="",'04 Prices'!B313="",'04 Prices'!B314=""),"",'04 Prices'!B314/'04 Prices'!B313-1)</f>
        <v/>
      </c>
      <c r="C313" s="25">
        <f>IF(OR($A313="",'04 Prices'!C313="",'04 Prices'!C314=""),"",'04 Prices'!C314/'04 Prices'!C313-1)</f>
        <v/>
      </c>
      <c r="D313" s="25">
        <f>IF(OR($A313="",'04 Prices'!D313="",'04 Prices'!D314=""),"",'04 Prices'!D314/'04 Prices'!D313-1)</f>
        <v/>
      </c>
      <c r="E313" s="25">
        <f>IF(OR($A313="",'04 Prices'!E313="",'04 Prices'!E314=""),"",'04 Prices'!E314/'04 Prices'!E313-1)</f>
        <v/>
      </c>
      <c r="F313" s="25">
        <f>IF(OR($A313="",'04 Prices'!F313="",'04 Prices'!F314=""),"",'04 Prices'!F314/'04 Prices'!F313-1)</f>
        <v/>
      </c>
      <c r="G313" s="25">
        <f>IF(OR($A313="",'04 Prices'!G313="",'04 Prices'!G314=""),"",'04 Prices'!G314/'04 Prices'!G313-1)</f>
        <v/>
      </c>
      <c r="H313" s="25">
        <f>IF(OR($A313="",'04 Prices'!H313="",'04 Prices'!H314=""),"",'04 Prices'!H314/'04 Prices'!H313-1)</f>
        <v/>
      </c>
    </row>
    <row r="314">
      <c r="A314" s="23">
        <f>IF('04 Prices'!A315="","",'04 Prices'!A315)</f>
        <v/>
      </c>
      <c r="B314" s="25">
        <f>IF(OR($A314="",'04 Prices'!B314="",'04 Prices'!B315=""),"",'04 Prices'!B315/'04 Prices'!B314-1)</f>
        <v/>
      </c>
      <c r="C314" s="25">
        <f>IF(OR($A314="",'04 Prices'!C314="",'04 Prices'!C315=""),"",'04 Prices'!C315/'04 Prices'!C314-1)</f>
        <v/>
      </c>
      <c r="D314" s="25">
        <f>IF(OR($A314="",'04 Prices'!D314="",'04 Prices'!D315=""),"",'04 Prices'!D315/'04 Prices'!D314-1)</f>
        <v/>
      </c>
      <c r="E314" s="25">
        <f>IF(OR($A314="",'04 Prices'!E314="",'04 Prices'!E315=""),"",'04 Prices'!E315/'04 Prices'!E314-1)</f>
        <v/>
      </c>
      <c r="F314" s="25">
        <f>IF(OR($A314="",'04 Prices'!F314="",'04 Prices'!F315=""),"",'04 Prices'!F315/'04 Prices'!F314-1)</f>
        <v/>
      </c>
      <c r="G314" s="25">
        <f>IF(OR($A314="",'04 Prices'!G314="",'04 Prices'!G315=""),"",'04 Prices'!G315/'04 Prices'!G314-1)</f>
        <v/>
      </c>
      <c r="H314" s="25">
        <f>IF(OR($A314="",'04 Prices'!H314="",'04 Prices'!H315=""),"",'04 Prices'!H315/'04 Prices'!H314-1)</f>
        <v/>
      </c>
    </row>
    <row r="315">
      <c r="A315" s="23">
        <f>IF('04 Prices'!A316="","",'04 Prices'!A316)</f>
        <v/>
      </c>
      <c r="B315" s="25">
        <f>IF(OR($A315="",'04 Prices'!B315="",'04 Prices'!B316=""),"",'04 Prices'!B316/'04 Prices'!B315-1)</f>
        <v/>
      </c>
      <c r="C315" s="25">
        <f>IF(OR($A315="",'04 Prices'!C315="",'04 Prices'!C316=""),"",'04 Prices'!C316/'04 Prices'!C315-1)</f>
        <v/>
      </c>
      <c r="D315" s="25">
        <f>IF(OR($A315="",'04 Prices'!D315="",'04 Prices'!D316=""),"",'04 Prices'!D316/'04 Prices'!D315-1)</f>
        <v/>
      </c>
      <c r="E315" s="25">
        <f>IF(OR($A315="",'04 Prices'!E315="",'04 Prices'!E316=""),"",'04 Prices'!E316/'04 Prices'!E315-1)</f>
        <v/>
      </c>
      <c r="F315" s="25">
        <f>IF(OR($A315="",'04 Prices'!F315="",'04 Prices'!F316=""),"",'04 Prices'!F316/'04 Prices'!F315-1)</f>
        <v/>
      </c>
      <c r="G315" s="25">
        <f>IF(OR($A315="",'04 Prices'!G315="",'04 Prices'!G316=""),"",'04 Prices'!G316/'04 Prices'!G315-1)</f>
        <v/>
      </c>
      <c r="H315" s="25">
        <f>IF(OR($A315="",'04 Prices'!H315="",'04 Prices'!H316=""),"",'04 Prices'!H316/'04 Prices'!H315-1)</f>
        <v/>
      </c>
    </row>
    <row r="316">
      <c r="A316" s="23">
        <f>IF('04 Prices'!A317="","",'04 Prices'!A317)</f>
        <v/>
      </c>
      <c r="B316" s="25">
        <f>IF(OR($A316="",'04 Prices'!B316="",'04 Prices'!B317=""),"",'04 Prices'!B317/'04 Prices'!B316-1)</f>
        <v/>
      </c>
      <c r="C316" s="25">
        <f>IF(OR($A316="",'04 Prices'!C316="",'04 Prices'!C317=""),"",'04 Prices'!C317/'04 Prices'!C316-1)</f>
        <v/>
      </c>
      <c r="D316" s="25">
        <f>IF(OR($A316="",'04 Prices'!D316="",'04 Prices'!D317=""),"",'04 Prices'!D317/'04 Prices'!D316-1)</f>
        <v/>
      </c>
      <c r="E316" s="25">
        <f>IF(OR($A316="",'04 Prices'!E316="",'04 Prices'!E317=""),"",'04 Prices'!E317/'04 Prices'!E316-1)</f>
        <v/>
      </c>
      <c r="F316" s="25">
        <f>IF(OR($A316="",'04 Prices'!F316="",'04 Prices'!F317=""),"",'04 Prices'!F317/'04 Prices'!F316-1)</f>
        <v/>
      </c>
      <c r="G316" s="25">
        <f>IF(OR($A316="",'04 Prices'!G316="",'04 Prices'!G317=""),"",'04 Prices'!G317/'04 Prices'!G316-1)</f>
        <v/>
      </c>
      <c r="H316" s="25">
        <f>IF(OR($A316="",'04 Prices'!H316="",'04 Prices'!H317=""),"",'04 Prices'!H317/'04 Prices'!H316-1)</f>
        <v/>
      </c>
    </row>
    <row r="317">
      <c r="A317" s="23">
        <f>IF('04 Prices'!A318="","",'04 Prices'!A318)</f>
        <v/>
      </c>
      <c r="B317" s="25">
        <f>IF(OR($A317="",'04 Prices'!B317="",'04 Prices'!B318=""),"",'04 Prices'!B318/'04 Prices'!B317-1)</f>
        <v/>
      </c>
      <c r="C317" s="25">
        <f>IF(OR($A317="",'04 Prices'!C317="",'04 Prices'!C318=""),"",'04 Prices'!C318/'04 Prices'!C317-1)</f>
        <v/>
      </c>
      <c r="D317" s="25">
        <f>IF(OR($A317="",'04 Prices'!D317="",'04 Prices'!D318=""),"",'04 Prices'!D318/'04 Prices'!D317-1)</f>
        <v/>
      </c>
      <c r="E317" s="25">
        <f>IF(OR($A317="",'04 Prices'!E317="",'04 Prices'!E318=""),"",'04 Prices'!E318/'04 Prices'!E317-1)</f>
        <v/>
      </c>
      <c r="F317" s="25">
        <f>IF(OR($A317="",'04 Prices'!F317="",'04 Prices'!F318=""),"",'04 Prices'!F318/'04 Prices'!F317-1)</f>
        <v/>
      </c>
      <c r="G317" s="25">
        <f>IF(OR($A317="",'04 Prices'!G317="",'04 Prices'!G318=""),"",'04 Prices'!G318/'04 Prices'!G317-1)</f>
        <v/>
      </c>
      <c r="H317" s="25">
        <f>IF(OR($A317="",'04 Prices'!H317="",'04 Prices'!H318=""),"",'04 Prices'!H318/'04 Prices'!H317-1)</f>
        <v/>
      </c>
    </row>
    <row r="318">
      <c r="A318" s="23">
        <f>IF('04 Prices'!A319="","",'04 Prices'!A319)</f>
        <v/>
      </c>
      <c r="B318" s="25">
        <f>IF(OR($A318="",'04 Prices'!B318="",'04 Prices'!B319=""),"",'04 Prices'!B319/'04 Prices'!B318-1)</f>
        <v/>
      </c>
      <c r="C318" s="25">
        <f>IF(OR($A318="",'04 Prices'!C318="",'04 Prices'!C319=""),"",'04 Prices'!C319/'04 Prices'!C318-1)</f>
        <v/>
      </c>
      <c r="D318" s="25">
        <f>IF(OR($A318="",'04 Prices'!D318="",'04 Prices'!D319=""),"",'04 Prices'!D319/'04 Prices'!D318-1)</f>
        <v/>
      </c>
      <c r="E318" s="25">
        <f>IF(OR($A318="",'04 Prices'!E318="",'04 Prices'!E319=""),"",'04 Prices'!E319/'04 Prices'!E318-1)</f>
        <v/>
      </c>
      <c r="F318" s="25">
        <f>IF(OR($A318="",'04 Prices'!F318="",'04 Prices'!F319=""),"",'04 Prices'!F319/'04 Prices'!F318-1)</f>
        <v/>
      </c>
      <c r="G318" s="25">
        <f>IF(OR($A318="",'04 Prices'!G318="",'04 Prices'!G319=""),"",'04 Prices'!G319/'04 Prices'!G318-1)</f>
        <v/>
      </c>
      <c r="H318" s="25">
        <f>IF(OR($A318="",'04 Prices'!H318="",'04 Prices'!H319=""),"",'04 Prices'!H319/'04 Prices'!H318-1)</f>
        <v/>
      </c>
    </row>
    <row r="319">
      <c r="A319" s="23">
        <f>IF('04 Prices'!A320="","",'04 Prices'!A320)</f>
        <v/>
      </c>
      <c r="B319" s="25">
        <f>IF(OR($A319="",'04 Prices'!B319="",'04 Prices'!B320=""),"",'04 Prices'!B320/'04 Prices'!B319-1)</f>
        <v/>
      </c>
      <c r="C319" s="25">
        <f>IF(OR($A319="",'04 Prices'!C319="",'04 Prices'!C320=""),"",'04 Prices'!C320/'04 Prices'!C319-1)</f>
        <v/>
      </c>
      <c r="D319" s="25">
        <f>IF(OR($A319="",'04 Prices'!D319="",'04 Prices'!D320=""),"",'04 Prices'!D320/'04 Prices'!D319-1)</f>
        <v/>
      </c>
      <c r="E319" s="25">
        <f>IF(OR($A319="",'04 Prices'!E319="",'04 Prices'!E320=""),"",'04 Prices'!E320/'04 Prices'!E319-1)</f>
        <v/>
      </c>
      <c r="F319" s="25">
        <f>IF(OR($A319="",'04 Prices'!F319="",'04 Prices'!F320=""),"",'04 Prices'!F320/'04 Prices'!F319-1)</f>
        <v/>
      </c>
      <c r="G319" s="25">
        <f>IF(OR($A319="",'04 Prices'!G319="",'04 Prices'!G320=""),"",'04 Prices'!G320/'04 Prices'!G319-1)</f>
        <v/>
      </c>
      <c r="H319" s="25">
        <f>IF(OR($A319="",'04 Prices'!H319="",'04 Prices'!H320=""),"",'04 Prices'!H320/'04 Prices'!H319-1)</f>
        <v/>
      </c>
    </row>
    <row r="320">
      <c r="A320" s="23">
        <f>IF('04 Prices'!A321="","",'04 Prices'!A321)</f>
        <v/>
      </c>
      <c r="B320" s="25">
        <f>IF(OR($A320="",'04 Prices'!B320="",'04 Prices'!B321=""),"",'04 Prices'!B321/'04 Prices'!B320-1)</f>
        <v/>
      </c>
      <c r="C320" s="25">
        <f>IF(OR($A320="",'04 Prices'!C320="",'04 Prices'!C321=""),"",'04 Prices'!C321/'04 Prices'!C320-1)</f>
        <v/>
      </c>
      <c r="D320" s="25">
        <f>IF(OR($A320="",'04 Prices'!D320="",'04 Prices'!D321=""),"",'04 Prices'!D321/'04 Prices'!D320-1)</f>
        <v/>
      </c>
      <c r="E320" s="25">
        <f>IF(OR($A320="",'04 Prices'!E320="",'04 Prices'!E321=""),"",'04 Prices'!E321/'04 Prices'!E320-1)</f>
        <v/>
      </c>
      <c r="F320" s="25">
        <f>IF(OR($A320="",'04 Prices'!F320="",'04 Prices'!F321=""),"",'04 Prices'!F321/'04 Prices'!F320-1)</f>
        <v/>
      </c>
      <c r="G320" s="25">
        <f>IF(OR($A320="",'04 Prices'!G320="",'04 Prices'!G321=""),"",'04 Prices'!G321/'04 Prices'!G320-1)</f>
        <v/>
      </c>
      <c r="H320" s="25">
        <f>IF(OR($A320="",'04 Prices'!H320="",'04 Prices'!H321=""),"",'04 Prices'!H321/'04 Prices'!H320-1)</f>
        <v/>
      </c>
    </row>
    <row r="321">
      <c r="A321" s="23">
        <f>IF('04 Prices'!A322="","",'04 Prices'!A322)</f>
        <v/>
      </c>
      <c r="B321" s="25">
        <f>IF(OR($A321="",'04 Prices'!B321="",'04 Prices'!B322=""),"",'04 Prices'!B322/'04 Prices'!B321-1)</f>
        <v/>
      </c>
      <c r="C321" s="25">
        <f>IF(OR($A321="",'04 Prices'!C321="",'04 Prices'!C322=""),"",'04 Prices'!C322/'04 Prices'!C321-1)</f>
        <v/>
      </c>
      <c r="D321" s="25">
        <f>IF(OR($A321="",'04 Prices'!D321="",'04 Prices'!D322=""),"",'04 Prices'!D322/'04 Prices'!D321-1)</f>
        <v/>
      </c>
      <c r="E321" s="25">
        <f>IF(OR($A321="",'04 Prices'!E321="",'04 Prices'!E322=""),"",'04 Prices'!E322/'04 Prices'!E321-1)</f>
        <v/>
      </c>
      <c r="F321" s="25">
        <f>IF(OR($A321="",'04 Prices'!F321="",'04 Prices'!F322=""),"",'04 Prices'!F322/'04 Prices'!F321-1)</f>
        <v/>
      </c>
      <c r="G321" s="25">
        <f>IF(OR($A321="",'04 Prices'!G321="",'04 Prices'!G322=""),"",'04 Prices'!G322/'04 Prices'!G321-1)</f>
        <v/>
      </c>
      <c r="H321" s="25">
        <f>IF(OR($A321="",'04 Prices'!H321="",'04 Prices'!H322=""),"",'04 Prices'!H322/'04 Prices'!H321-1)</f>
        <v/>
      </c>
    </row>
    <row r="322">
      <c r="A322" s="23">
        <f>IF('04 Prices'!A323="","",'04 Prices'!A323)</f>
        <v/>
      </c>
      <c r="B322" s="25">
        <f>IF(OR($A322="",'04 Prices'!B322="",'04 Prices'!B323=""),"",'04 Prices'!B323/'04 Prices'!B322-1)</f>
        <v/>
      </c>
      <c r="C322" s="25">
        <f>IF(OR($A322="",'04 Prices'!C322="",'04 Prices'!C323=""),"",'04 Prices'!C323/'04 Prices'!C322-1)</f>
        <v/>
      </c>
      <c r="D322" s="25">
        <f>IF(OR($A322="",'04 Prices'!D322="",'04 Prices'!D323=""),"",'04 Prices'!D323/'04 Prices'!D322-1)</f>
        <v/>
      </c>
      <c r="E322" s="25">
        <f>IF(OR($A322="",'04 Prices'!E322="",'04 Prices'!E323=""),"",'04 Prices'!E323/'04 Prices'!E322-1)</f>
        <v/>
      </c>
      <c r="F322" s="25">
        <f>IF(OR($A322="",'04 Prices'!F322="",'04 Prices'!F323=""),"",'04 Prices'!F323/'04 Prices'!F322-1)</f>
        <v/>
      </c>
      <c r="G322" s="25">
        <f>IF(OR($A322="",'04 Prices'!G322="",'04 Prices'!G323=""),"",'04 Prices'!G323/'04 Prices'!G322-1)</f>
        <v/>
      </c>
      <c r="H322" s="25">
        <f>IF(OR($A322="",'04 Prices'!H322="",'04 Prices'!H323=""),"",'04 Prices'!H323/'04 Prices'!H322-1)</f>
        <v/>
      </c>
    </row>
    <row r="323">
      <c r="A323" s="23">
        <f>IF('04 Prices'!A324="","",'04 Prices'!A324)</f>
        <v/>
      </c>
      <c r="B323" s="25">
        <f>IF(OR($A323="",'04 Prices'!B323="",'04 Prices'!B324=""),"",'04 Prices'!B324/'04 Prices'!B323-1)</f>
        <v/>
      </c>
      <c r="C323" s="25">
        <f>IF(OR($A323="",'04 Prices'!C323="",'04 Prices'!C324=""),"",'04 Prices'!C324/'04 Prices'!C323-1)</f>
        <v/>
      </c>
      <c r="D323" s="25">
        <f>IF(OR($A323="",'04 Prices'!D323="",'04 Prices'!D324=""),"",'04 Prices'!D324/'04 Prices'!D323-1)</f>
        <v/>
      </c>
      <c r="E323" s="25">
        <f>IF(OR($A323="",'04 Prices'!E323="",'04 Prices'!E324=""),"",'04 Prices'!E324/'04 Prices'!E323-1)</f>
        <v/>
      </c>
      <c r="F323" s="25">
        <f>IF(OR($A323="",'04 Prices'!F323="",'04 Prices'!F324=""),"",'04 Prices'!F324/'04 Prices'!F323-1)</f>
        <v/>
      </c>
      <c r="G323" s="25">
        <f>IF(OR($A323="",'04 Prices'!G323="",'04 Prices'!G324=""),"",'04 Prices'!G324/'04 Prices'!G323-1)</f>
        <v/>
      </c>
      <c r="H323" s="25">
        <f>IF(OR($A323="",'04 Prices'!H323="",'04 Prices'!H324=""),"",'04 Prices'!H324/'04 Prices'!H323-1)</f>
        <v/>
      </c>
    </row>
    <row r="324">
      <c r="A324" s="23">
        <f>IF('04 Prices'!A325="","",'04 Prices'!A325)</f>
        <v/>
      </c>
      <c r="B324" s="25">
        <f>IF(OR($A324="",'04 Prices'!B324="",'04 Prices'!B325=""),"",'04 Prices'!B325/'04 Prices'!B324-1)</f>
        <v/>
      </c>
      <c r="C324" s="25">
        <f>IF(OR($A324="",'04 Prices'!C324="",'04 Prices'!C325=""),"",'04 Prices'!C325/'04 Prices'!C324-1)</f>
        <v/>
      </c>
      <c r="D324" s="25">
        <f>IF(OR($A324="",'04 Prices'!D324="",'04 Prices'!D325=""),"",'04 Prices'!D325/'04 Prices'!D324-1)</f>
        <v/>
      </c>
      <c r="E324" s="25">
        <f>IF(OR($A324="",'04 Prices'!E324="",'04 Prices'!E325=""),"",'04 Prices'!E325/'04 Prices'!E324-1)</f>
        <v/>
      </c>
      <c r="F324" s="25">
        <f>IF(OR($A324="",'04 Prices'!F324="",'04 Prices'!F325=""),"",'04 Prices'!F325/'04 Prices'!F324-1)</f>
        <v/>
      </c>
      <c r="G324" s="25">
        <f>IF(OR($A324="",'04 Prices'!G324="",'04 Prices'!G325=""),"",'04 Prices'!G325/'04 Prices'!G324-1)</f>
        <v/>
      </c>
      <c r="H324" s="25">
        <f>IF(OR($A324="",'04 Prices'!H324="",'04 Prices'!H325=""),"",'04 Prices'!H325/'04 Prices'!H324-1)</f>
        <v/>
      </c>
    </row>
    <row r="325">
      <c r="A325" s="23">
        <f>IF('04 Prices'!A326="","",'04 Prices'!A326)</f>
        <v/>
      </c>
      <c r="B325" s="25">
        <f>IF(OR($A325="",'04 Prices'!B325="",'04 Prices'!B326=""),"",'04 Prices'!B326/'04 Prices'!B325-1)</f>
        <v/>
      </c>
      <c r="C325" s="25">
        <f>IF(OR($A325="",'04 Prices'!C325="",'04 Prices'!C326=""),"",'04 Prices'!C326/'04 Prices'!C325-1)</f>
        <v/>
      </c>
      <c r="D325" s="25">
        <f>IF(OR($A325="",'04 Prices'!D325="",'04 Prices'!D326=""),"",'04 Prices'!D326/'04 Prices'!D325-1)</f>
        <v/>
      </c>
      <c r="E325" s="25">
        <f>IF(OR($A325="",'04 Prices'!E325="",'04 Prices'!E326=""),"",'04 Prices'!E326/'04 Prices'!E325-1)</f>
        <v/>
      </c>
      <c r="F325" s="25">
        <f>IF(OR($A325="",'04 Prices'!F325="",'04 Prices'!F326=""),"",'04 Prices'!F326/'04 Prices'!F325-1)</f>
        <v/>
      </c>
      <c r="G325" s="25">
        <f>IF(OR($A325="",'04 Prices'!G325="",'04 Prices'!G326=""),"",'04 Prices'!G326/'04 Prices'!G325-1)</f>
        <v/>
      </c>
      <c r="H325" s="25">
        <f>IF(OR($A325="",'04 Prices'!H325="",'04 Prices'!H326=""),"",'04 Prices'!H326/'04 Prices'!H325-1)</f>
        <v/>
      </c>
    </row>
    <row r="326">
      <c r="A326" s="23">
        <f>IF('04 Prices'!A327="","",'04 Prices'!A327)</f>
        <v/>
      </c>
      <c r="B326" s="25">
        <f>IF(OR($A326="",'04 Prices'!B326="",'04 Prices'!B327=""),"",'04 Prices'!B327/'04 Prices'!B326-1)</f>
        <v/>
      </c>
      <c r="C326" s="25">
        <f>IF(OR($A326="",'04 Prices'!C326="",'04 Prices'!C327=""),"",'04 Prices'!C327/'04 Prices'!C326-1)</f>
        <v/>
      </c>
      <c r="D326" s="25">
        <f>IF(OR($A326="",'04 Prices'!D326="",'04 Prices'!D327=""),"",'04 Prices'!D327/'04 Prices'!D326-1)</f>
        <v/>
      </c>
      <c r="E326" s="25">
        <f>IF(OR($A326="",'04 Prices'!E326="",'04 Prices'!E327=""),"",'04 Prices'!E327/'04 Prices'!E326-1)</f>
        <v/>
      </c>
      <c r="F326" s="25">
        <f>IF(OR($A326="",'04 Prices'!F326="",'04 Prices'!F327=""),"",'04 Prices'!F327/'04 Prices'!F326-1)</f>
        <v/>
      </c>
      <c r="G326" s="25">
        <f>IF(OR($A326="",'04 Prices'!G326="",'04 Prices'!G327=""),"",'04 Prices'!G327/'04 Prices'!G326-1)</f>
        <v/>
      </c>
      <c r="H326" s="25">
        <f>IF(OR($A326="",'04 Prices'!H326="",'04 Prices'!H327=""),"",'04 Prices'!H327/'04 Prices'!H326-1)</f>
        <v/>
      </c>
    </row>
    <row r="327">
      <c r="A327" s="23">
        <f>IF('04 Prices'!A328="","",'04 Prices'!A328)</f>
        <v/>
      </c>
      <c r="B327" s="25">
        <f>IF(OR($A327="",'04 Prices'!B327="",'04 Prices'!B328=""),"",'04 Prices'!B328/'04 Prices'!B327-1)</f>
        <v/>
      </c>
      <c r="C327" s="25">
        <f>IF(OR($A327="",'04 Prices'!C327="",'04 Prices'!C328=""),"",'04 Prices'!C328/'04 Prices'!C327-1)</f>
        <v/>
      </c>
      <c r="D327" s="25">
        <f>IF(OR($A327="",'04 Prices'!D327="",'04 Prices'!D328=""),"",'04 Prices'!D328/'04 Prices'!D327-1)</f>
        <v/>
      </c>
      <c r="E327" s="25">
        <f>IF(OR($A327="",'04 Prices'!E327="",'04 Prices'!E328=""),"",'04 Prices'!E328/'04 Prices'!E327-1)</f>
        <v/>
      </c>
      <c r="F327" s="25">
        <f>IF(OR($A327="",'04 Prices'!F327="",'04 Prices'!F328=""),"",'04 Prices'!F328/'04 Prices'!F327-1)</f>
        <v/>
      </c>
      <c r="G327" s="25">
        <f>IF(OR($A327="",'04 Prices'!G327="",'04 Prices'!G328=""),"",'04 Prices'!G328/'04 Prices'!G327-1)</f>
        <v/>
      </c>
      <c r="H327" s="25">
        <f>IF(OR($A327="",'04 Prices'!H327="",'04 Prices'!H328=""),"",'04 Prices'!H328/'04 Prices'!H327-1)</f>
        <v/>
      </c>
    </row>
    <row r="328">
      <c r="A328" s="23">
        <f>IF('04 Prices'!A329="","",'04 Prices'!A329)</f>
        <v/>
      </c>
      <c r="B328" s="25">
        <f>IF(OR($A328="",'04 Prices'!B328="",'04 Prices'!B329=""),"",'04 Prices'!B329/'04 Prices'!B328-1)</f>
        <v/>
      </c>
      <c r="C328" s="25">
        <f>IF(OR($A328="",'04 Prices'!C328="",'04 Prices'!C329=""),"",'04 Prices'!C329/'04 Prices'!C328-1)</f>
        <v/>
      </c>
      <c r="D328" s="25">
        <f>IF(OR($A328="",'04 Prices'!D328="",'04 Prices'!D329=""),"",'04 Prices'!D329/'04 Prices'!D328-1)</f>
        <v/>
      </c>
      <c r="E328" s="25">
        <f>IF(OR($A328="",'04 Prices'!E328="",'04 Prices'!E329=""),"",'04 Prices'!E329/'04 Prices'!E328-1)</f>
        <v/>
      </c>
      <c r="F328" s="25">
        <f>IF(OR($A328="",'04 Prices'!F328="",'04 Prices'!F329=""),"",'04 Prices'!F329/'04 Prices'!F328-1)</f>
        <v/>
      </c>
      <c r="G328" s="25">
        <f>IF(OR($A328="",'04 Prices'!G328="",'04 Prices'!G329=""),"",'04 Prices'!G329/'04 Prices'!G328-1)</f>
        <v/>
      </c>
      <c r="H328" s="25">
        <f>IF(OR($A328="",'04 Prices'!H328="",'04 Prices'!H329=""),"",'04 Prices'!H329/'04 Prices'!H328-1)</f>
        <v/>
      </c>
    </row>
    <row r="329">
      <c r="A329" s="23">
        <f>IF('04 Prices'!A330="","",'04 Prices'!A330)</f>
        <v/>
      </c>
      <c r="B329" s="25">
        <f>IF(OR($A329="",'04 Prices'!B329="",'04 Prices'!B330=""),"",'04 Prices'!B330/'04 Prices'!B329-1)</f>
        <v/>
      </c>
      <c r="C329" s="25">
        <f>IF(OR($A329="",'04 Prices'!C329="",'04 Prices'!C330=""),"",'04 Prices'!C330/'04 Prices'!C329-1)</f>
        <v/>
      </c>
      <c r="D329" s="25">
        <f>IF(OR($A329="",'04 Prices'!D329="",'04 Prices'!D330=""),"",'04 Prices'!D330/'04 Prices'!D329-1)</f>
        <v/>
      </c>
      <c r="E329" s="25">
        <f>IF(OR($A329="",'04 Prices'!E329="",'04 Prices'!E330=""),"",'04 Prices'!E330/'04 Prices'!E329-1)</f>
        <v/>
      </c>
      <c r="F329" s="25">
        <f>IF(OR($A329="",'04 Prices'!F329="",'04 Prices'!F330=""),"",'04 Prices'!F330/'04 Prices'!F329-1)</f>
        <v/>
      </c>
      <c r="G329" s="25">
        <f>IF(OR($A329="",'04 Prices'!G329="",'04 Prices'!G330=""),"",'04 Prices'!G330/'04 Prices'!G329-1)</f>
        <v/>
      </c>
      <c r="H329" s="25">
        <f>IF(OR($A329="",'04 Prices'!H329="",'04 Prices'!H330=""),"",'04 Prices'!H330/'04 Prices'!H329-1)</f>
        <v/>
      </c>
    </row>
    <row r="330">
      <c r="A330" s="23">
        <f>IF('04 Prices'!A331="","",'04 Prices'!A331)</f>
        <v/>
      </c>
      <c r="B330" s="25">
        <f>IF(OR($A330="",'04 Prices'!B330="",'04 Prices'!B331=""),"",'04 Prices'!B331/'04 Prices'!B330-1)</f>
        <v/>
      </c>
      <c r="C330" s="25">
        <f>IF(OR($A330="",'04 Prices'!C330="",'04 Prices'!C331=""),"",'04 Prices'!C331/'04 Prices'!C330-1)</f>
        <v/>
      </c>
      <c r="D330" s="25">
        <f>IF(OR($A330="",'04 Prices'!D330="",'04 Prices'!D331=""),"",'04 Prices'!D331/'04 Prices'!D330-1)</f>
        <v/>
      </c>
      <c r="E330" s="25">
        <f>IF(OR($A330="",'04 Prices'!E330="",'04 Prices'!E331=""),"",'04 Prices'!E331/'04 Prices'!E330-1)</f>
        <v/>
      </c>
      <c r="F330" s="25">
        <f>IF(OR($A330="",'04 Prices'!F330="",'04 Prices'!F331=""),"",'04 Prices'!F331/'04 Prices'!F330-1)</f>
        <v/>
      </c>
      <c r="G330" s="25">
        <f>IF(OR($A330="",'04 Prices'!G330="",'04 Prices'!G331=""),"",'04 Prices'!G331/'04 Prices'!G330-1)</f>
        <v/>
      </c>
      <c r="H330" s="25">
        <f>IF(OR($A330="",'04 Prices'!H330="",'04 Prices'!H331=""),"",'04 Prices'!H331/'04 Prices'!H330-1)</f>
        <v/>
      </c>
    </row>
    <row r="331">
      <c r="A331" s="23">
        <f>IF('04 Prices'!A332="","",'04 Prices'!A332)</f>
        <v/>
      </c>
      <c r="B331" s="25">
        <f>IF(OR($A331="",'04 Prices'!B331="",'04 Prices'!B332=""),"",'04 Prices'!B332/'04 Prices'!B331-1)</f>
        <v/>
      </c>
      <c r="C331" s="25">
        <f>IF(OR($A331="",'04 Prices'!C331="",'04 Prices'!C332=""),"",'04 Prices'!C332/'04 Prices'!C331-1)</f>
        <v/>
      </c>
      <c r="D331" s="25">
        <f>IF(OR($A331="",'04 Prices'!D331="",'04 Prices'!D332=""),"",'04 Prices'!D332/'04 Prices'!D331-1)</f>
        <v/>
      </c>
      <c r="E331" s="25">
        <f>IF(OR($A331="",'04 Prices'!E331="",'04 Prices'!E332=""),"",'04 Prices'!E332/'04 Prices'!E331-1)</f>
        <v/>
      </c>
      <c r="F331" s="25">
        <f>IF(OR($A331="",'04 Prices'!F331="",'04 Prices'!F332=""),"",'04 Prices'!F332/'04 Prices'!F331-1)</f>
        <v/>
      </c>
      <c r="G331" s="25">
        <f>IF(OR($A331="",'04 Prices'!G331="",'04 Prices'!G332=""),"",'04 Prices'!G332/'04 Prices'!G331-1)</f>
        <v/>
      </c>
      <c r="H331" s="25">
        <f>IF(OR($A331="",'04 Prices'!H331="",'04 Prices'!H332=""),"",'04 Prices'!H332/'04 Prices'!H331-1)</f>
        <v/>
      </c>
    </row>
    <row r="332">
      <c r="A332" s="23">
        <f>IF('04 Prices'!A333="","",'04 Prices'!A333)</f>
        <v/>
      </c>
      <c r="B332" s="25">
        <f>IF(OR($A332="",'04 Prices'!B332="",'04 Prices'!B333=""),"",'04 Prices'!B333/'04 Prices'!B332-1)</f>
        <v/>
      </c>
      <c r="C332" s="25">
        <f>IF(OR($A332="",'04 Prices'!C332="",'04 Prices'!C333=""),"",'04 Prices'!C333/'04 Prices'!C332-1)</f>
        <v/>
      </c>
      <c r="D332" s="25">
        <f>IF(OR($A332="",'04 Prices'!D332="",'04 Prices'!D333=""),"",'04 Prices'!D333/'04 Prices'!D332-1)</f>
        <v/>
      </c>
      <c r="E332" s="25">
        <f>IF(OR($A332="",'04 Prices'!E332="",'04 Prices'!E333=""),"",'04 Prices'!E333/'04 Prices'!E332-1)</f>
        <v/>
      </c>
      <c r="F332" s="25">
        <f>IF(OR($A332="",'04 Prices'!F332="",'04 Prices'!F333=""),"",'04 Prices'!F333/'04 Prices'!F332-1)</f>
        <v/>
      </c>
      <c r="G332" s="25">
        <f>IF(OR($A332="",'04 Prices'!G332="",'04 Prices'!G333=""),"",'04 Prices'!G333/'04 Prices'!G332-1)</f>
        <v/>
      </c>
      <c r="H332" s="25">
        <f>IF(OR($A332="",'04 Prices'!H332="",'04 Prices'!H333=""),"",'04 Prices'!H333/'04 Prices'!H332-1)</f>
        <v/>
      </c>
    </row>
    <row r="333">
      <c r="A333" s="23">
        <f>IF('04 Prices'!A334="","",'04 Prices'!A334)</f>
        <v/>
      </c>
      <c r="B333" s="25">
        <f>IF(OR($A333="",'04 Prices'!B333="",'04 Prices'!B334=""),"",'04 Prices'!B334/'04 Prices'!B333-1)</f>
        <v/>
      </c>
      <c r="C333" s="25">
        <f>IF(OR($A333="",'04 Prices'!C333="",'04 Prices'!C334=""),"",'04 Prices'!C334/'04 Prices'!C333-1)</f>
        <v/>
      </c>
      <c r="D333" s="25">
        <f>IF(OR($A333="",'04 Prices'!D333="",'04 Prices'!D334=""),"",'04 Prices'!D334/'04 Prices'!D333-1)</f>
        <v/>
      </c>
      <c r="E333" s="25">
        <f>IF(OR($A333="",'04 Prices'!E333="",'04 Prices'!E334=""),"",'04 Prices'!E334/'04 Prices'!E333-1)</f>
        <v/>
      </c>
      <c r="F333" s="25">
        <f>IF(OR($A333="",'04 Prices'!F333="",'04 Prices'!F334=""),"",'04 Prices'!F334/'04 Prices'!F333-1)</f>
        <v/>
      </c>
      <c r="G333" s="25">
        <f>IF(OR($A333="",'04 Prices'!G333="",'04 Prices'!G334=""),"",'04 Prices'!G334/'04 Prices'!G333-1)</f>
        <v/>
      </c>
      <c r="H333" s="25">
        <f>IF(OR($A333="",'04 Prices'!H333="",'04 Prices'!H334=""),"",'04 Prices'!H334/'04 Prices'!H333-1)</f>
        <v/>
      </c>
    </row>
    <row r="334">
      <c r="A334" s="23">
        <f>IF('04 Prices'!A335="","",'04 Prices'!A335)</f>
        <v/>
      </c>
      <c r="B334" s="25">
        <f>IF(OR($A334="",'04 Prices'!B334="",'04 Prices'!B335=""),"",'04 Prices'!B335/'04 Prices'!B334-1)</f>
        <v/>
      </c>
      <c r="C334" s="25">
        <f>IF(OR($A334="",'04 Prices'!C334="",'04 Prices'!C335=""),"",'04 Prices'!C335/'04 Prices'!C334-1)</f>
        <v/>
      </c>
      <c r="D334" s="25">
        <f>IF(OR($A334="",'04 Prices'!D334="",'04 Prices'!D335=""),"",'04 Prices'!D335/'04 Prices'!D334-1)</f>
        <v/>
      </c>
      <c r="E334" s="25">
        <f>IF(OR($A334="",'04 Prices'!E334="",'04 Prices'!E335=""),"",'04 Prices'!E335/'04 Prices'!E334-1)</f>
        <v/>
      </c>
      <c r="F334" s="25">
        <f>IF(OR($A334="",'04 Prices'!F334="",'04 Prices'!F335=""),"",'04 Prices'!F335/'04 Prices'!F334-1)</f>
        <v/>
      </c>
      <c r="G334" s="25">
        <f>IF(OR($A334="",'04 Prices'!G334="",'04 Prices'!G335=""),"",'04 Prices'!G335/'04 Prices'!G334-1)</f>
        <v/>
      </c>
      <c r="H334" s="25">
        <f>IF(OR($A334="",'04 Prices'!H334="",'04 Prices'!H335=""),"",'04 Prices'!H335/'04 Prices'!H334-1)</f>
        <v/>
      </c>
    </row>
    <row r="335">
      <c r="A335" s="23">
        <f>IF('04 Prices'!A336="","",'04 Prices'!A336)</f>
        <v/>
      </c>
      <c r="B335" s="25">
        <f>IF(OR($A335="",'04 Prices'!B335="",'04 Prices'!B336=""),"",'04 Prices'!B336/'04 Prices'!B335-1)</f>
        <v/>
      </c>
      <c r="C335" s="25">
        <f>IF(OR($A335="",'04 Prices'!C335="",'04 Prices'!C336=""),"",'04 Prices'!C336/'04 Prices'!C335-1)</f>
        <v/>
      </c>
      <c r="D335" s="25">
        <f>IF(OR($A335="",'04 Prices'!D335="",'04 Prices'!D336=""),"",'04 Prices'!D336/'04 Prices'!D335-1)</f>
        <v/>
      </c>
      <c r="E335" s="25">
        <f>IF(OR($A335="",'04 Prices'!E335="",'04 Prices'!E336=""),"",'04 Prices'!E336/'04 Prices'!E335-1)</f>
        <v/>
      </c>
      <c r="F335" s="25">
        <f>IF(OR($A335="",'04 Prices'!F335="",'04 Prices'!F336=""),"",'04 Prices'!F336/'04 Prices'!F335-1)</f>
        <v/>
      </c>
      <c r="G335" s="25">
        <f>IF(OR($A335="",'04 Prices'!G335="",'04 Prices'!G336=""),"",'04 Prices'!G336/'04 Prices'!G335-1)</f>
        <v/>
      </c>
      <c r="H335" s="25">
        <f>IF(OR($A335="",'04 Prices'!H335="",'04 Prices'!H336=""),"",'04 Prices'!H336/'04 Prices'!H335-1)</f>
        <v/>
      </c>
    </row>
    <row r="336">
      <c r="A336" s="23">
        <f>IF('04 Prices'!A337="","",'04 Prices'!A337)</f>
        <v/>
      </c>
      <c r="B336" s="25">
        <f>IF(OR($A336="",'04 Prices'!B336="",'04 Prices'!B337=""),"",'04 Prices'!B337/'04 Prices'!B336-1)</f>
        <v/>
      </c>
      <c r="C336" s="25">
        <f>IF(OR($A336="",'04 Prices'!C336="",'04 Prices'!C337=""),"",'04 Prices'!C337/'04 Prices'!C336-1)</f>
        <v/>
      </c>
      <c r="D336" s="25">
        <f>IF(OR($A336="",'04 Prices'!D336="",'04 Prices'!D337=""),"",'04 Prices'!D337/'04 Prices'!D336-1)</f>
        <v/>
      </c>
      <c r="E336" s="25">
        <f>IF(OR($A336="",'04 Prices'!E336="",'04 Prices'!E337=""),"",'04 Prices'!E337/'04 Prices'!E336-1)</f>
        <v/>
      </c>
      <c r="F336" s="25">
        <f>IF(OR($A336="",'04 Prices'!F336="",'04 Prices'!F337=""),"",'04 Prices'!F337/'04 Prices'!F336-1)</f>
        <v/>
      </c>
      <c r="G336" s="25">
        <f>IF(OR($A336="",'04 Prices'!G336="",'04 Prices'!G337=""),"",'04 Prices'!G337/'04 Prices'!G336-1)</f>
        <v/>
      </c>
      <c r="H336" s="25">
        <f>IF(OR($A336="",'04 Prices'!H336="",'04 Prices'!H337=""),"",'04 Prices'!H337/'04 Prices'!H336-1)</f>
        <v/>
      </c>
    </row>
    <row r="337">
      <c r="A337" s="23">
        <f>IF('04 Prices'!A338="","",'04 Prices'!A338)</f>
        <v/>
      </c>
      <c r="B337" s="25">
        <f>IF(OR($A337="",'04 Prices'!B337="",'04 Prices'!B338=""),"",'04 Prices'!B338/'04 Prices'!B337-1)</f>
        <v/>
      </c>
      <c r="C337" s="25">
        <f>IF(OR($A337="",'04 Prices'!C337="",'04 Prices'!C338=""),"",'04 Prices'!C338/'04 Prices'!C337-1)</f>
        <v/>
      </c>
      <c r="D337" s="25">
        <f>IF(OR($A337="",'04 Prices'!D337="",'04 Prices'!D338=""),"",'04 Prices'!D338/'04 Prices'!D337-1)</f>
        <v/>
      </c>
      <c r="E337" s="25">
        <f>IF(OR($A337="",'04 Prices'!E337="",'04 Prices'!E338=""),"",'04 Prices'!E338/'04 Prices'!E337-1)</f>
        <v/>
      </c>
      <c r="F337" s="25">
        <f>IF(OR($A337="",'04 Prices'!F337="",'04 Prices'!F338=""),"",'04 Prices'!F338/'04 Prices'!F337-1)</f>
        <v/>
      </c>
      <c r="G337" s="25">
        <f>IF(OR($A337="",'04 Prices'!G337="",'04 Prices'!G338=""),"",'04 Prices'!G338/'04 Prices'!G337-1)</f>
        <v/>
      </c>
      <c r="H337" s="25">
        <f>IF(OR($A337="",'04 Prices'!H337="",'04 Prices'!H338=""),"",'04 Prices'!H338/'04 Prices'!H337-1)</f>
        <v/>
      </c>
    </row>
    <row r="338">
      <c r="A338" s="23">
        <f>IF('04 Prices'!A339="","",'04 Prices'!A339)</f>
        <v/>
      </c>
      <c r="B338" s="25">
        <f>IF(OR($A338="",'04 Prices'!B338="",'04 Prices'!B339=""),"",'04 Prices'!B339/'04 Prices'!B338-1)</f>
        <v/>
      </c>
      <c r="C338" s="25">
        <f>IF(OR($A338="",'04 Prices'!C338="",'04 Prices'!C339=""),"",'04 Prices'!C339/'04 Prices'!C338-1)</f>
        <v/>
      </c>
      <c r="D338" s="25">
        <f>IF(OR($A338="",'04 Prices'!D338="",'04 Prices'!D339=""),"",'04 Prices'!D339/'04 Prices'!D338-1)</f>
        <v/>
      </c>
      <c r="E338" s="25">
        <f>IF(OR($A338="",'04 Prices'!E338="",'04 Prices'!E339=""),"",'04 Prices'!E339/'04 Prices'!E338-1)</f>
        <v/>
      </c>
      <c r="F338" s="25">
        <f>IF(OR($A338="",'04 Prices'!F338="",'04 Prices'!F339=""),"",'04 Prices'!F339/'04 Prices'!F338-1)</f>
        <v/>
      </c>
      <c r="G338" s="25">
        <f>IF(OR($A338="",'04 Prices'!G338="",'04 Prices'!G339=""),"",'04 Prices'!G339/'04 Prices'!G338-1)</f>
        <v/>
      </c>
      <c r="H338" s="25">
        <f>IF(OR($A338="",'04 Prices'!H338="",'04 Prices'!H339=""),"",'04 Prices'!H339/'04 Prices'!H338-1)</f>
        <v/>
      </c>
    </row>
    <row r="339">
      <c r="A339" s="23">
        <f>IF('04 Prices'!A340="","",'04 Prices'!A340)</f>
        <v/>
      </c>
      <c r="B339" s="25">
        <f>IF(OR($A339="",'04 Prices'!B339="",'04 Prices'!B340=""),"",'04 Prices'!B340/'04 Prices'!B339-1)</f>
        <v/>
      </c>
      <c r="C339" s="25">
        <f>IF(OR($A339="",'04 Prices'!C339="",'04 Prices'!C340=""),"",'04 Prices'!C340/'04 Prices'!C339-1)</f>
        <v/>
      </c>
      <c r="D339" s="25">
        <f>IF(OR($A339="",'04 Prices'!D339="",'04 Prices'!D340=""),"",'04 Prices'!D340/'04 Prices'!D339-1)</f>
        <v/>
      </c>
      <c r="E339" s="25">
        <f>IF(OR($A339="",'04 Prices'!E339="",'04 Prices'!E340=""),"",'04 Prices'!E340/'04 Prices'!E339-1)</f>
        <v/>
      </c>
      <c r="F339" s="25">
        <f>IF(OR($A339="",'04 Prices'!F339="",'04 Prices'!F340=""),"",'04 Prices'!F340/'04 Prices'!F339-1)</f>
        <v/>
      </c>
      <c r="G339" s="25">
        <f>IF(OR($A339="",'04 Prices'!G339="",'04 Prices'!G340=""),"",'04 Prices'!G340/'04 Prices'!G339-1)</f>
        <v/>
      </c>
      <c r="H339" s="25">
        <f>IF(OR($A339="",'04 Prices'!H339="",'04 Prices'!H340=""),"",'04 Prices'!H340/'04 Prices'!H339-1)</f>
        <v/>
      </c>
    </row>
    <row r="340">
      <c r="A340" s="23">
        <f>IF('04 Prices'!A341="","",'04 Prices'!A341)</f>
        <v/>
      </c>
      <c r="B340" s="25">
        <f>IF(OR($A340="",'04 Prices'!B340="",'04 Prices'!B341=""),"",'04 Prices'!B341/'04 Prices'!B340-1)</f>
        <v/>
      </c>
      <c r="C340" s="25">
        <f>IF(OR($A340="",'04 Prices'!C340="",'04 Prices'!C341=""),"",'04 Prices'!C341/'04 Prices'!C340-1)</f>
        <v/>
      </c>
      <c r="D340" s="25">
        <f>IF(OR($A340="",'04 Prices'!D340="",'04 Prices'!D341=""),"",'04 Prices'!D341/'04 Prices'!D340-1)</f>
        <v/>
      </c>
      <c r="E340" s="25">
        <f>IF(OR($A340="",'04 Prices'!E340="",'04 Prices'!E341=""),"",'04 Prices'!E341/'04 Prices'!E340-1)</f>
        <v/>
      </c>
      <c r="F340" s="25">
        <f>IF(OR($A340="",'04 Prices'!F340="",'04 Prices'!F341=""),"",'04 Prices'!F341/'04 Prices'!F340-1)</f>
        <v/>
      </c>
      <c r="G340" s="25">
        <f>IF(OR($A340="",'04 Prices'!G340="",'04 Prices'!G341=""),"",'04 Prices'!G341/'04 Prices'!G340-1)</f>
        <v/>
      </c>
      <c r="H340" s="25">
        <f>IF(OR($A340="",'04 Prices'!H340="",'04 Prices'!H341=""),"",'04 Prices'!H341/'04 Prices'!H340-1)</f>
        <v/>
      </c>
    </row>
    <row r="341">
      <c r="A341" s="23">
        <f>IF('04 Prices'!A342="","",'04 Prices'!A342)</f>
        <v/>
      </c>
      <c r="B341" s="25">
        <f>IF(OR($A341="",'04 Prices'!B341="",'04 Prices'!B342=""),"",'04 Prices'!B342/'04 Prices'!B341-1)</f>
        <v/>
      </c>
      <c r="C341" s="25">
        <f>IF(OR($A341="",'04 Prices'!C341="",'04 Prices'!C342=""),"",'04 Prices'!C342/'04 Prices'!C341-1)</f>
        <v/>
      </c>
      <c r="D341" s="25">
        <f>IF(OR($A341="",'04 Prices'!D341="",'04 Prices'!D342=""),"",'04 Prices'!D342/'04 Prices'!D341-1)</f>
        <v/>
      </c>
      <c r="E341" s="25">
        <f>IF(OR($A341="",'04 Prices'!E341="",'04 Prices'!E342=""),"",'04 Prices'!E342/'04 Prices'!E341-1)</f>
        <v/>
      </c>
      <c r="F341" s="25">
        <f>IF(OR($A341="",'04 Prices'!F341="",'04 Prices'!F342=""),"",'04 Prices'!F342/'04 Prices'!F341-1)</f>
        <v/>
      </c>
      <c r="G341" s="25">
        <f>IF(OR($A341="",'04 Prices'!G341="",'04 Prices'!G342=""),"",'04 Prices'!G342/'04 Prices'!G341-1)</f>
        <v/>
      </c>
      <c r="H341" s="25">
        <f>IF(OR($A341="",'04 Prices'!H341="",'04 Prices'!H342=""),"",'04 Prices'!H342/'04 Prices'!H341-1)</f>
        <v/>
      </c>
    </row>
    <row r="342">
      <c r="A342" s="23">
        <f>IF('04 Prices'!A343="","",'04 Prices'!A343)</f>
        <v/>
      </c>
      <c r="B342" s="25">
        <f>IF(OR($A342="",'04 Prices'!B342="",'04 Prices'!B343=""),"",'04 Prices'!B343/'04 Prices'!B342-1)</f>
        <v/>
      </c>
      <c r="C342" s="25">
        <f>IF(OR($A342="",'04 Prices'!C342="",'04 Prices'!C343=""),"",'04 Prices'!C343/'04 Prices'!C342-1)</f>
        <v/>
      </c>
      <c r="D342" s="25">
        <f>IF(OR($A342="",'04 Prices'!D342="",'04 Prices'!D343=""),"",'04 Prices'!D343/'04 Prices'!D342-1)</f>
        <v/>
      </c>
      <c r="E342" s="25">
        <f>IF(OR($A342="",'04 Prices'!E342="",'04 Prices'!E343=""),"",'04 Prices'!E343/'04 Prices'!E342-1)</f>
        <v/>
      </c>
      <c r="F342" s="25">
        <f>IF(OR($A342="",'04 Prices'!F342="",'04 Prices'!F343=""),"",'04 Prices'!F343/'04 Prices'!F342-1)</f>
        <v/>
      </c>
      <c r="G342" s="25">
        <f>IF(OR($A342="",'04 Prices'!G342="",'04 Prices'!G343=""),"",'04 Prices'!G343/'04 Prices'!G342-1)</f>
        <v/>
      </c>
      <c r="H342" s="25">
        <f>IF(OR($A342="",'04 Prices'!H342="",'04 Prices'!H343=""),"",'04 Prices'!H343/'04 Prices'!H342-1)</f>
        <v/>
      </c>
    </row>
    <row r="343">
      <c r="A343" s="23">
        <f>IF('04 Prices'!A344="","",'04 Prices'!A344)</f>
        <v/>
      </c>
      <c r="B343" s="25">
        <f>IF(OR($A343="",'04 Prices'!B343="",'04 Prices'!B344=""),"",'04 Prices'!B344/'04 Prices'!B343-1)</f>
        <v/>
      </c>
      <c r="C343" s="25">
        <f>IF(OR($A343="",'04 Prices'!C343="",'04 Prices'!C344=""),"",'04 Prices'!C344/'04 Prices'!C343-1)</f>
        <v/>
      </c>
      <c r="D343" s="25">
        <f>IF(OR($A343="",'04 Prices'!D343="",'04 Prices'!D344=""),"",'04 Prices'!D344/'04 Prices'!D343-1)</f>
        <v/>
      </c>
      <c r="E343" s="25">
        <f>IF(OR($A343="",'04 Prices'!E343="",'04 Prices'!E344=""),"",'04 Prices'!E344/'04 Prices'!E343-1)</f>
        <v/>
      </c>
      <c r="F343" s="25">
        <f>IF(OR($A343="",'04 Prices'!F343="",'04 Prices'!F344=""),"",'04 Prices'!F344/'04 Prices'!F343-1)</f>
        <v/>
      </c>
      <c r="G343" s="25">
        <f>IF(OR($A343="",'04 Prices'!G343="",'04 Prices'!G344=""),"",'04 Prices'!G344/'04 Prices'!G343-1)</f>
        <v/>
      </c>
      <c r="H343" s="25">
        <f>IF(OR($A343="",'04 Prices'!H343="",'04 Prices'!H344=""),"",'04 Prices'!H344/'04 Prices'!H343-1)</f>
        <v/>
      </c>
    </row>
    <row r="344">
      <c r="A344" s="23">
        <f>IF('04 Prices'!A345="","",'04 Prices'!A345)</f>
        <v/>
      </c>
      <c r="B344" s="25">
        <f>IF(OR($A344="",'04 Prices'!B344="",'04 Prices'!B345=""),"",'04 Prices'!B345/'04 Prices'!B344-1)</f>
        <v/>
      </c>
      <c r="C344" s="25">
        <f>IF(OR($A344="",'04 Prices'!C344="",'04 Prices'!C345=""),"",'04 Prices'!C345/'04 Prices'!C344-1)</f>
        <v/>
      </c>
      <c r="D344" s="25">
        <f>IF(OR($A344="",'04 Prices'!D344="",'04 Prices'!D345=""),"",'04 Prices'!D345/'04 Prices'!D344-1)</f>
        <v/>
      </c>
      <c r="E344" s="25">
        <f>IF(OR($A344="",'04 Prices'!E344="",'04 Prices'!E345=""),"",'04 Prices'!E345/'04 Prices'!E344-1)</f>
        <v/>
      </c>
      <c r="F344" s="25">
        <f>IF(OR($A344="",'04 Prices'!F344="",'04 Prices'!F345=""),"",'04 Prices'!F345/'04 Prices'!F344-1)</f>
        <v/>
      </c>
      <c r="G344" s="25">
        <f>IF(OR($A344="",'04 Prices'!G344="",'04 Prices'!G345=""),"",'04 Prices'!G345/'04 Prices'!G344-1)</f>
        <v/>
      </c>
      <c r="H344" s="25">
        <f>IF(OR($A344="",'04 Prices'!H344="",'04 Prices'!H345=""),"",'04 Prices'!H345/'04 Prices'!H344-1)</f>
        <v/>
      </c>
    </row>
    <row r="345">
      <c r="A345" s="23">
        <f>IF('04 Prices'!A346="","",'04 Prices'!A346)</f>
        <v/>
      </c>
      <c r="B345" s="25">
        <f>IF(OR($A345="",'04 Prices'!B345="",'04 Prices'!B346=""),"",'04 Prices'!B346/'04 Prices'!B345-1)</f>
        <v/>
      </c>
      <c r="C345" s="25">
        <f>IF(OR($A345="",'04 Prices'!C345="",'04 Prices'!C346=""),"",'04 Prices'!C346/'04 Prices'!C345-1)</f>
        <v/>
      </c>
      <c r="D345" s="25">
        <f>IF(OR($A345="",'04 Prices'!D345="",'04 Prices'!D346=""),"",'04 Prices'!D346/'04 Prices'!D345-1)</f>
        <v/>
      </c>
      <c r="E345" s="25">
        <f>IF(OR($A345="",'04 Prices'!E345="",'04 Prices'!E346=""),"",'04 Prices'!E346/'04 Prices'!E345-1)</f>
        <v/>
      </c>
      <c r="F345" s="25">
        <f>IF(OR($A345="",'04 Prices'!F345="",'04 Prices'!F346=""),"",'04 Prices'!F346/'04 Prices'!F345-1)</f>
        <v/>
      </c>
      <c r="G345" s="25">
        <f>IF(OR($A345="",'04 Prices'!G345="",'04 Prices'!G346=""),"",'04 Prices'!G346/'04 Prices'!G345-1)</f>
        <v/>
      </c>
      <c r="H345" s="25">
        <f>IF(OR($A345="",'04 Prices'!H345="",'04 Prices'!H346=""),"",'04 Prices'!H346/'04 Prices'!H345-1)</f>
        <v/>
      </c>
    </row>
    <row r="346">
      <c r="A346" s="23">
        <f>IF('04 Prices'!A347="","",'04 Prices'!A347)</f>
        <v/>
      </c>
      <c r="B346" s="25">
        <f>IF(OR($A346="",'04 Prices'!B346="",'04 Prices'!B347=""),"",'04 Prices'!B347/'04 Prices'!B346-1)</f>
        <v/>
      </c>
      <c r="C346" s="25">
        <f>IF(OR($A346="",'04 Prices'!C346="",'04 Prices'!C347=""),"",'04 Prices'!C347/'04 Prices'!C346-1)</f>
        <v/>
      </c>
      <c r="D346" s="25">
        <f>IF(OR($A346="",'04 Prices'!D346="",'04 Prices'!D347=""),"",'04 Prices'!D347/'04 Prices'!D346-1)</f>
        <v/>
      </c>
      <c r="E346" s="25">
        <f>IF(OR($A346="",'04 Prices'!E346="",'04 Prices'!E347=""),"",'04 Prices'!E347/'04 Prices'!E346-1)</f>
        <v/>
      </c>
      <c r="F346" s="25">
        <f>IF(OR($A346="",'04 Prices'!F346="",'04 Prices'!F347=""),"",'04 Prices'!F347/'04 Prices'!F346-1)</f>
        <v/>
      </c>
      <c r="G346" s="25">
        <f>IF(OR($A346="",'04 Prices'!G346="",'04 Prices'!G347=""),"",'04 Prices'!G347/'04 Prices'!G346-1)</f>
        <v/>
      </c>
      <c r="H346" s="25">
        <f>IF(OR($A346="",'04 Prices'!H346="",'04 Prices'!H347=""),"",'04 Prices'!H347/'04 Prices'!H346-1)</f>
        <v/>
      </c>
    </row>
    <row r="347">
      <c r="A347" s="23">
        <f>IF('04 Prices'!A348="","",'04 Prices'!A348)</f>
        <v/>
      </c>
      <c r="B347" s="25">
        <f>IF(OR($A347="",'04 Prices'!B347="",'04 Prices'!B348=""),"",'04 Prices'!B348/'04 Prices'!B347-1)</f>
        <v/>
      </c>
      <c r="C347" s="25">
        <f>IF(OR($A347="",'04 Prices'!C347="",'04 Prices'!C348=""),"",'04 Prices'!C348/'04 Prices'!C347-1)</f>
        <v/>
      </c>
      <c r="D347" s="25">
        <f>IF(OR($A347="",'04 Prices'!D347="",'04 Prices'!D348=""),"",'04 Prices'!D348/'04 Prices'!D347-1)</f>
        <v/>
      </c>
      <c r="E347" s="25">
        <f>IF(OR($A347="",'04 Prices'!E347="",'04 Prices'!E348=""),"",'04 Prices'!E348/'04 Prices'!E347-1)</f>
        <v/>
      </c>
      <c r="F347" s="25">
        <f>IF(OR($A347="",'04 Prices'!F347="",'04 Prices'!F348=""),"",'04 Prices'!F348/'04 Prices'!F347-1)</f>
        <v/>
      </c>
      <c r="G347" s="25">
        <f>IF(OR($A347="",'04 Prices'!G347="",'04 Prices'!G348=""),"",'04 Prices'!G348/'04 Prices'!G347-1)</f>
        <v/>
      </c>
      <c r="H347" s="25">
        <f>IF(OR($A347="",'04 Prices'!H347="",'04 Prices'!H348=""),"",'04 Prices'!H348/'04 Prices'!H347-1)</f>
        <v/>
      </c>
    </row>
    <row r="348">
      <c r="A348" s="23">
        <f>IF('04 Prices'!A349="","",'04 Prices'!A349)</f>
        <v/>
      </c>
      <c r="B348" s="25">
        <f>IF(OR($A348="",'04 Prices'!B348="",'04 Prices'!B349=""),"",'04 Prices'!B349/'04 Prices'!B348-1)</f>
        <v/>
      </c>
      <c r="C348" s="25">
        <f>IF(OR($A348="",'04 Prices'!C348="",'04 Prices'!C349=""),"",'04 Prices'!C349/'04 Prices'!C348-1)</f>
        <v/>
      </c>
      <c r="D348" s="25">
        <f>IF(OR($A348="",'04 Prices'!D348="",'04 Prices'!D349=""),"",'04 Prices'!D349/'04 Prices'!D348-1)</f>
        <v/>
      </c>
      <c r="E348" s="25">
        <f>IF(OR($A348="",'04 Prices'!E348="",'04 Prices'!E349=""),"",'04 Prices'!E349/'04 Prices'!E348-1)</f>
        <v/>
      </c>
      <c r="F348" s="25">
        <f>IF(OR($A348="",'04 Prices'!F348="",'04 Prices'!F349=""),"",'04 Prices'!F349/'04 Prices'!F348-1)</f>
        <v/>
      </c>
      <c r="G348" s="25">
        <f>IF(OR($A348="",'04 Prices'!G348="",'04 Prices'!G349=""),"",'04 Prices'!G349/'04 Prices'!G348-1)</f>
        <v/>
      </c>
      <c r="H348" s="25">
        <f>IF(OR($A348="",'04 Prices'!H348="",'04 Prices'!H349=""),"",'04 Prices'!H349/'04 Prices'!H348-1)</f>
        <v/>
      </c>
    </row>
    <row r="349">
      <c r="A349" s="23">
        <f>IF('04 Prices'!A350="","",'04 Prices'!A350)</f>
        <v/>
      </c>
      <c r="B349" s="25">
        <f>IF(OR($A349="",'04 Prices'!B349="",'04 Prices'!B350=""),"",'04 Prices'!B350/'04 Prices'!B349-1)</f>
        <v/>
      </c>
      <c r="C349" s="25">
        <f>IF(OR($A349="",'04 Prices'!C349="",'04 Prices'!C350=""),"",'04 Prices'!C350/'04 Prices'!C349-1)</f>
        <v/>
      </c>
      <c r="D349" s="25">
        <f>IF(OR($A349="",'04 Prices'!D349="",'04 Prices'!D350=""),"",'04 Prices'!D350/'04 Prices'!D349-1)</f>
        <v/>
      </c>
      <c r="E349" s="25">
        <f>IF(OR($A349="",'04 Prices'!E349="",'04 Prices'!E350=""),"",'04 Prices'!E350/'04 Prices'!E349-1)</f>
        <v/>
      </c>
      <c r="F349" s="25">
        <f>IF(OR($A349="",'04 Prices'!F349="",'04 Prices'!F350=""),"",'04 Prices'!F350/'04 Prices'!F349-1)</f>
        <v/>
      </c>
      <c r="G349" s="25">
        <f>IF(OR($A349="",'04 Prices'!G349="",'04 Prices'!G350=""),"",'04 Prices'!G350/'04 Prices'!G349-1)</f>
        <v/>
      </c>
      <c r="H349" s="25">
        <f>IF(OR($A349="",'04 Prices'!H349="",'04 Prices'!H350=""),"",'04 Prices'!H350/'04 Prices'!H349-1)</f>
        <v/>
      </c>
    </row>
    <row r="350">
      <c r="A350" s="23">
        <f>IF('04 Prices'!A351="","",'04 Prices'!A351)</f>
        <v/>
      </c>
      <c r="B350" s="25">
        <f>IF(OR($A350="",'04 Prices'!B350="",'04 Prices'!B351=""),"",'04 Prices'!B351/'04 Prices'!B350-1)</f>
        <v/>
      </c>
      <c r="C350" s="25">
        <f>IF(OR($A350="",'04 Prices'!C350="",'04 Prices'!C351=""),"",'04 Prices'!C351/'04 Prices'!C350-1)</f>
        <v/>
      </c>
      <c r="D350" s="25">
        <f>IF(OR($A350="",'04 Prices'!D350="",'04 Prices'!D351=""),"",'04 Prices'!D351/'04 Prices'!D350-1)</f>
        <v/>
      </c>
      <c r="E350" s="25">
        <f>IF(OR($A350="",'04 Prices'!E350="",'04 Prices'!E351=""),"",'04 Prices'!E351/'04 Prices'!E350-1)</f>
        <v/>
      </c>
      <c r="F350" s="25">
        <f>IF(OR($A350="",'04 Prices'!F350="",'04 Prices'!F351=""),"",'04 Prices'!F351/'04 Prices'!F350-1)</f>
        <v/>
      </c>
      <c r="G350" s="25">
        <f>IF(OR($A350="",'04 Prices'!G350="",'04 Prices'!G351=""),"",'04 Prices'!G351/'04 Prices'!G350-1)</f>
        <v/>
      </c>
      <c r="H350" s="25">
        <f>IF(OR($A350="",'04 Prices'!H350="",'04 Prices'!H351=""),"",'04 Prices'!H351/'04 Prices'!H350-1)</f>
        <v/>
      </c>
    </row>
    <row r="351">
      <c r="A351" s="23">
        <f>IF('04 Prices'!A352="","",'04 Prices'!A352)</f>
        <v/>
      </c>
      <c r="B351" s="25">
        <f>IF(OR($A351="",'04 Prices'!B351="",'04 Prices'!B352=""),"",'04 Prices'!B352/'04 Prices'!B351-1)</f>
        <v/>
      </c>
      <c r="C351" s="25">
        <f>IF(OR($A351="",'04 Prices'!C351="",'04 Prices'!C352=""),"",'04 Prices'!C352/'04 Prices'!C351-1)</f>
        <v/>
      </c>
      <c r="D351" s="25">
        <f>IF(OR($A351="",'04 Prices'!D351="",'04 Prices'!D352=""),"",'04 Prices'!D352/'04 Prices'!D351-1)</f>
        <v/>
      </c>
      <c r="E351" s="25">
        <f>IF(OR($A351="",'04 Prices'!E351="",'04 Prices'!E352=""),"",'04 Prices'!E352/'04 Prices'!E351-1)</f>
        <v/>
      </c>
      <c r="F351" s="25">
        <f>IF(OR($A351="",'04 Prices'!F351="",'04 Prices'!F352=""),"",'04 Prices'!F352/'04 Prices'!F351-1)</f>
        <v/>
      </c>
      <c r="G351" s="25">
        <f>IF(OR($A351="",'04 Prices'!G351="",'04 Prices'!G352=""),"",'04 Prices'!G352/'04 Prices'!G351-1)</f>
        <v/>
      </c>
      <c r="H351" s="25">
        <f>IF(OR($A351="",'04 Prices'!H351="",'04 Prices'!H352=""),"",'04 Prices'!H352/'04 Prices'!H351-1)</f>
        <v/>
      </c>
    </row>
    <row r="352">
      <c r="A352" s="23">
        <f>IF('04 Prices'!A353="","",'04 Prices'!A353)</f>
        <v/>
      </c>
      <c r="B352" s="25">
        <f>IF(OR($A352="",'04 Prices'!B352="",'04 Prices'!B353=""),"",'04 Prices'!B353/'04 Prices'!B352-1)</f>
        <v/>
      </c>
      <c r="C352" s="25">
        <f>IF(OR($A352="",'04 Prices'!C352="",'04 Prices'!C353=""),"",'04 Prices'!C353/'04 Prices'!C352-1)</f>
        <v/>
      </c>
      <c r="D352" s="25">
        <f>IF(OR($A352="",'04 Prices'!D352="",'04 Prices'!D353=""),"",'04 Prices'!D353/'04 Prices'!D352-1)</f>
        <v/>
      </c>
      <c r="E352" s="25">
        <f>IF(OR($A352="",'04 Prices'!E352="",'04 Prices'!E353=""),"",'04 Prices'!E353/'04 Prices'!E352-1)</f>
        <v/>
      </c>
      <c r="F352" s="25">
        <f>IF(OR($A352="",'04 Prices'!F352="",'04 Prices'!F353=""),"",'04 Prices'!F353/'04 Prices'!F352-1)</f>
        <v/>
      </c>
      <c r="G352" s="25">
        <f>IF(OR($A352="",'04 Prices'!G352="",'04 Prices'!G353=""),"",'04 Prices'!G353/'04 Prices'!G352-1)</f>
        <v/>
      </c>
      <c r="H352" s="25">
        <f>IF(OR($A352="",'04 Prices'!H352="",'04 Prices'!H353=""),"",'04 Prices'!H353/'04 Prices'!H352-1)</f>
        <v/>
      </c>
    </row>
    <row r="353">
      <c r="A353" s="23">
        <f>IF('04 Prices'!A354="","",'04 Prices'!A354)</f>
        <v/>
      </c>
      <c r="B353" s="25">
        <f>IF(OR($A353="",'04 Prices'!B353="",'04 Prices'!B354=""),"",'04 Prices'!B354/'04 Prices'!B353-1)</f>
        <v/>
      </c>
      <c r="C353" s="25">
        <f>IF(OR($A353="",'04 Prices'!C353="",'04 Prices'!C354=""),"",'04 Prices'!C354/'04 Prices'!C353-1)</f>
        <v/>
      </c>
      <c r="D353" s="25">
        <f>IF(OR($A353="",'04 Prices'!D353="",'04 Prices'!D354=""),"",'04 Prices'!D354/'04 Prices'!D353-1)</f>
        <v/>
      </c>
      <c r="E353" s="25">
        <f>IF(OR($A353="",'04 Prices'!E353="",'04 Prices'!E354=""),"",'04 Prices'!E354/'04 Prices'!E353-1)</f>
        <v/>
      </c>
      <c r="F353" s="25">
        <f>IF(OR($A353="",'04 Prices'!F353="",'04 Prices'!F354=""),"",'04 Prices'!F354/'04 Prices'!F353-1)</f>
        <v/>
      </c>
      <c r="G353" s="25">
        <f>IF(OR($A353="",'04 Prices'!G353="",'04 Prices'!G354=""),"",'04 Prices'!G354/'04 Prices'!G353-1)</f>
        <v/>
      </c>
      <c r="H353" s="25">
        <f>IF(OR($A353="",'04 Prices'!H353="",'04 Prices'!H354=""),"",'04 Prices'!H354/'04 Prices'!H353-1)</f>
        <v/>
      </c>
    </row>
    <row r="354">
      <c r="A354" s="23">
        <f>IF('04 Prices'!A355="","",'04 Prices'!A355)</f>
        <v/>
      </c>
      <c r="B354" s="25">
        <f>IF(OR($A354="",'04 Prices'!B354="",'04 Prices'!B355=""),"",'04 Prices'!B355/'04 Prices'!B354-1)</f>
        <v/>
      </c>
      <c r="C354" s="25">
        <f>IF(OR($A354="",'04 Prices'!C354="",'04 Prices'!C355=""),"",'04 Prices'!C355/'04 Prices'!C354-1)</f>
        <v/>
      </c>
      <c r="D354" s="25">
        <f>IF(OR($A354="",'04 Prices'!D354="",'04 Prices'!D355=""),"",'04 Prices'!D355/'04 Prices'!D354-1)</f>
        <v/>
      </c>
      <c r="E354" s="25">
        <f>IF(OR($A354="",'04 Prices'!E354="",'04 Prices'!E355=""),"",'04 Prices'!E355/'04 Prices'!E354-1)</f>
        <v/>
      </c>
      <c r="F354" s="25">
        <f>IF(OR($A354="",'04 Prices'!F354="",'04 Prices'!F355=""),"",'04 Prices'!F355/'04 Prices'!F354-1)</f>
        <v/>
      </c>
      <c r="G354" s="25">
        <f>IF(OR($A354="",'04 Prices'!G354="",'04 Prices'!G355=""),"",'04 Prices'!G355/'04 Prices'!G354-1)</f>
        <v/>
      </c>
      <c r="H354" s="25">
        <f>IF(OR($A354="",'04 Prices'!H354="",'04 Prices'!H355=""),"",'04 Prices'!H355/'04 Prices'!H354-1)</f>
        <v/>
      </c>
    </row>
    <row r="355">
      <c r="A355" s="23">
        <f>IF('04 Prices'!A356="","",'04 Prices'!A356)</f>
        <v/>
      </c>
      <c r="B355" s="25">
        <f>IF(OR($A355="",'04 Prices'!B355="",'04 Prices'!B356=""),"",'04 Prices'!B356/'04 Prices'!B355-1)</f>
        <v/>
      </c>
      <c r="C355" s="25">
        <f>IF(OR($A355="",'04 Prices'!C355="",'04 Prices'!C356=""),"",'04 Prices'!C356/'04 Prices'!C355-1)</f>
        <v/>
      </c>
      <c r="D355" s="25">
        <f>IF(OR($A355="",'04 Prices'!D355="",'04 Prices'!D356=""),"",'04 Prices'!D356/'04 Prices'!D355-1)</f>
        <v/>
      </c>
      <c r="E355" s="25">
        <f>IF(OR($A355="",'04 Prices'!E355="",'04 Prices'!E356=""),"",'04 Prices'!E356/'04 Prices'!E355-1)</f>
        <v/>
      </c>
      <c r="F355" s="25">
        <f>IF(OR($A355="",'04 Prices'!F355="",'04 Prices'!F356=""),"",'04 Prices'!F356/'04 Prices'!F355-1)</f>
        <v/>
      </c>
      <c r="G355" s="25">
        <f>IF(OR($A355="",'04 Prices'!G355="",'04 Prices'!G356=""),"",'04 Prices'!G356/'04 Prices'!G355-1)</f>
        <v/>
      </c>
      <c r="H355" s="25">
        <f>IF(OR($A355="",'04 Prices'!H355="",'04 Prices'!H356=""),"",'04 Prices'!H356/'04 Prices'!H355-1)</f>
        <v/>
      </c>
    </row>
    <row r="356">
      <c r="A356" s="23">
        <f>IF('04 Prices'!A357="","",'04 Prices'!A357)</f>
        <v/>
      </c>
      <c r="B356" s="25">
        <f>IF(OR($A356="",'04 Prices'!B356="",'04 Prices'!B357=""),"",'04 Prices'!B357/'04 Prices'!B356-1)</f>
        <v/>
      </c>
      <c r="C356" s="25">
        <f>IF(OR($A356="",'04 Prices'!C356="",'04 Prices'!C357=""),"",'04 Prices'!C357/'04 Prices'!C356-1)</f>
        <v/>
      </c>
      <c r="D356" s="25">
        <f>IF(OR($A356="",'04 Prices'!D356="",'04 Prices'!D357=""),"",'04 Prices'!D357/'04 Prices'!D356-1)</f>
        <v/>
      </c>
      <c r="E356" s="25">
        <f>IF(OR($A356="",'04 Prices'!E356="",'04 Prices'!E357=""),"",'04 Prices'!E357/'04 Prices'!E356-1)</f>
        <v/>
      </c>
      <c r="F356" s="25">
        <f>IF(OR($A356="",'04 Prices'!F356="",'04 Prices'!F357=""),"",'04 Prices'!F357/'04 Prices'!F356-1)</f>
        <v/>
      </c>
      <c r="G356" s="25">
        <f>IF(OR($A356="",'04 Prices'!G356="",'04 Prices'!G357=""),"",'04 Prices'!G357/'04 Prices'!G356-1)</f>
        <v/>
      </c>
      <c r="H356" s="25">
        <f>IF(OR($A356="",'04 Prices'!H356="",'04 Prices'!H357=""),"",'04 Prices'!H357/'04 Prices'!H356-1)</f>
        <v/>
      </c>
    </row>
    <row r="357">
      <c r="A357" s="23">
        <f>IF('04 Prices'!A358="","",'04 Prices'!A358)</f>
        <v/>
      </c>
      <c r="B357" s="25">
        <f>IF(OR($A357="",'04 Prices'!B357="",'04 Prices'!B358=""),"",'04 Prices'!B358/'04 Prices'!B357-1)</f>
        <v/>
      </c>
      <c r="C357" s="25">
        <f>IF(OR($A357="",'04 Prices'!C357="",'04 Prices'!C358=""),"",'04 Prices'!C358/'04 Prices'!C357-1)</f>
        <v/>
      </c>
      <c r="D357" s="25">
        <f>IF(OR($A357="",'04 Prices'!D357="",'04 Prices'!D358=""),"",'04 Prices'!D358/'04 Prices'!D357-1)</f>
        <v/>
      </c>
      <c r="E357" s="25">
        <f>IF(OR($A357="",'04 Prices'!E357="",'04 Prices'!E358=""),"",'04 Prices'!E358/'04 Prices'!E357-1)</f>
        <v/>
      </c>
      <c r="F357" s="25">
        <f>IF(OR($A357="",'04 Prices'!F357="",'04 Prices'!F358=""),"",'04 Prices'!F358/'04 Prices'!F357-1)</f>
        <v/>
      </c>
      <c r="G357" s="25">
        <f>IF(OR($A357="",'04 Prices'!G357="",'04 Prices'!G358=""),"",'04 Prices'!G358/'04 Prices'!G357-1)</f>
        <v/>
      </c>
      <c r="H357" s="25">
        <f>IF(OR($A357="",'04 Prices'!H357="",'04 Prices'!H358=""),"",'04 Prices'!H358/'04 Prices'!H357-1)</f>
        <v/>
      </c>
    </row>
    <row r="358">
      <c r="A358" s="23">
        <f>IF('04 Prices'!A359="","",'04 Prices'!A359)</f>
        <v/>
      </c>
      <c r="B358" s="25">
        <f>IF(OR($A358="",'04 Prices'!B358="",'04 Prices'!B359=""),"",'04 Prices'!B359/'04 Prices'!B358-1)</f>
        <v/>
      </c>
      <c r="C358" s="25">
        <f>IF(OR($A358="",'04 Prices'!C358="",'04 Prices'!C359=""),"",'04 Prices'!C359/'04 Prices'!C358-1)</f>
        <v/>
      </c>
      <c r="D358" s="25">
        <f>IF(OR($A358="",'04 Prices'!D358="",'04 Prices'!D359=""),"",'04 Prices'!D359/'04 Prices'!D358-1)</f>
        <v/>
      </c>
      <c r="E358" s="25">
        <f>IF(OR($A358="",'04 Prices'!E358="",'04 Prices'!E359=""),"",'04 Prices'!E359/'04 Prices'!E358-1)</f>
        <v/>
      </c>
      <c r="F358" s="25">
        <f>IF(OR($A358="",'04 Prices'!F358="",'04 Prices'!F359=""),"",'04 Prices'!F359/'04 Prices'!F358-1)</f>
        <v/>
      </c>
      <c r="G358" s="25">
        <f>IF(OR($A358="",'04 Prices'!G358="",'04 Prices'!G359=""),"",'04 Prices'!G359/'04 Prices'!G358-1)</f>
        <v/>
      </c>
      <c r="H358" s="25">
        <f>IF(OR($A358="",'04 Prices'!H358="",'04 Prices'!H359=""),"",'04 Prices'!H359/'04 Prices'!H358-1)</f>
        <v/>
      </c>
    </row>
    <row r="359">
      <c r="A359" s="23">
        <f>IF('04 Prices'!A360="","",'04 Prices'!A360)</f>
        <v/>
      </c>
      <c r="B359" s="25">
        <f>IF(OR($A359="",'04 Prices'!B359="",'04 Prices'!B360=""),"",'04 Prices'!B360/'04 Prices'!B359-1)</f>
        <v/>
      </c>
      <c r="C359" s="25">
        <f>IF(OR($A359="",'04 Prices'!C359="",'04 Prices'!C360=""),"",'04 Prices'!C360/'04 Prices'!C359-1)</f>
        <v/>
      </c>
      <c r="D359" s="25">
        <f>IF(OR($A359="",'04 Prices'!D359="",'04 Prices'!D360=""),"",'04 Prices'!D360/'04 Prices'!D359-1)</f>
        <v/>
      </c>
      <c r="E359" s="25">
        <f>IF(OR($A359="",'04 Prices'!E359="",'04 Prices'!E360=""),"",'04 Prices'!E360/'04 Prices'!E359-1)</f>
        <v/>
      </c>
      <c r="F359" s="25">
        <f>IF(OR($A359="",'04 Prices'!F359="",'04 Prices'!F360=""),"",'04 Prices'!F360/'04 Prices'!F359-1)</f>
        <v/>
      </c>
      <c r="G359" s="25">
        <f>IF(OR($A359="",'04 Prices'!G359="",'04 Prices'!G360=""),"",'04 Prices'!G360/'04 Prices'!G359-1)</f>
        <v/>
      </c>
      <c r="H359" s="25">
        <f>IF(OR($A359="",'04 Prices'!H359="",'04 Prices'!H360=""),"",'04 Prices'!H360/'04 Prices'!H359-1)</f>
        <v/>
      </c>
    </row>
    <row r="360">
      <c r="A360" s="23">
        <f>IF('04 Prices'!A361="","",'04 Prices'!A361)</f>
        <v/>
      </c>
      <c r="B360" s="25">
        <f>IF(OR($A360="",'04 Prices'!B360="",'04 Prices'!B361=""),"",'04 Prices'!B361/'04 Prices'!B360-1)</f>
        <v/>
      </c>
      <c r="C360" s="25">
        <f>IF(OR($A360="",'04 Prices'!C360="",'04 Prices'!C361=""),"",'04 Prices'!C361/'04 Prices'!C360-1)</f>
        <v/>
      </c>
      <c r="D360" s="25">
        <f>IF(OR($A360="",'04 Prices'!D360="",'04 Prices'!D361=""),"",'04 Prices'!D361/'04 Prices'!D360-1)</f>
        <v/>
      </c>
      <c r="E360" s="25">
        <f>IF(OR($A360="",'04 Prices'!E360="",'04 Prices'!E361=""),"",'04 Prices'!E361/'04 Prices'!E360-1)</f>
        <v/>
      </c>
      <c r="F360" s="25">
        <f>IF(OR($A360="",'04 Prices'!F360="",'04 Prices'!F361=""),"",'04 Prices'!F361/'04 Prices'!F360-1)</f>
        <v/>
      </c>
      <c r="G360" s="25">
        <f>IF(OR($A360="",'04 Prices'!G360="",'04 Prices'!G361=""),"",'04 Prices'!G361/'04 Prices'!G360-1)</f>
        <v/>
      </c>
      <c r="H360" s="25">
        <f>IF(OR($A360="",'04 Prices'!H360="",'04 Prices'!H361=""),"",'04 Prices'!H361/'04 Prices'!H360-1)</f>
        <v/>
      </c>
    </row>
    <row r="361">
      <c r="A361" s="23">
        <f>IF('04 Prices'!A362="","",'04 Prices'!A362)</f>
        <v/>
      </c>
      <c r="B361" s="25">
        <f>IF(OR($A361="",'04 Prices'!B361="",'04 Prices'!B362=""),"",'04 Prices'!B362/'04 Prices'!B361-1)</f>
        <v/>
      </c>
      <c r="C361" s="25">
        <f>IF(OR($A361="",'04 Prices'!C361="",'04 Prices'!C362=""),"",'04 Prices'!C362/'04 Prices'!C361-1)</f>
        <v/>
      </c>
      <c r="D361" s="25">
        <f>IF(OR($A361="",'04 Prices'!D361="",'04 Prices'!D362=""),"",'04 Prices'!D362/'04 Prices'!D361-1)</f>
        <v/>
      </c>
      <c r="E361" s="25">
        <f>IF(OR($A361="",'04 Prices'!E361="",'04 Prices'!E362=""),"",'04 Prices'!E362/'04 Prices'!E361-1)</f>
        <v/>
      </c>
      <c r="F361" s="25">
        <f>IF(OR($A361="",'04 Prices'!F361="",'04 Prices'!F362=""),"",'04 Prices'!F362/'04 Prices'!F361-1)</f>
        <v/>
      </c>
      <c r="G361" s="25">
        <f>IF(OR($A361="",'04 Prices'!G361="",'04 Prices'!G362=""),"",'04 Prices'!G362/'04 Prices'!G361-1)</f>
        <v/>
      </c>
      <c r="H361" s="25">
        <f>IF(OR($A361="",'04 Prices'!H361="",'04 Prices'!H362=""),"",'04 Prices'!H362/'04 Prices'!H361-1)</f>
        <v/>
      </c>
    </row>
    <row r="362">
      <c r="A362" s="23">
        <f>IF('04 Prices'!A363="","",'04 Prices'!A363)</f>
        <v/>
      </c>
      <c r="B362" s="25">
        <f>IF(OR($A362="",'04 Prices'!B362="",'04 Prices'!B363=""),"",'04 Prices'!B363/'04 Prices'!B362-1)</f>
        <v/>
      </c>
      <c r="C362" s="25">
        <f>IF(OR($A362="",'04 Prices'!C362="",'04 Prices'!C363=""),"",'04 Prices'!C363/'04 Prices'!C362-1)</f>
        <v/>
      </c>
      <c r="D362" s="25">
        <f>IF(OR($A362="",'04 Prices'!D362="",'04 Prices'!D363=""),"",'04 Prices'!D363/'04 Prices'!D362-1)</f>
        <v/>
      </c>
      <c r="E362" s="25">
        <f>IF(OR($A362="",'04 Prices'!E362="",'04 Prices'!E363=""),"",'04 Prices'!E363/'04 Prices'!E362-1)</f>
        <v/>
      </c>
      <c r="F362" s="25">
        <f>IF(OR($A362="",'04 Prices'!F362="",'04 Prices'!F363=""),"",'04 Prices'!F363/'04 Prices'!F362-1)</f>
        <v/>
      </c>
      <c r="G362" s="25">
        <f>IF(OR($A362="",'04 Prices'!G362="",'04 Prices'!G363=""),"",'04 Prices'!G363/'04 Prices'!G362-1)</f>
        <v/>
      </c>
      <c r="H362" s="25">
        <f>IF(OR($A362="",'04 Prices'!H362="",'04 Prices'!H363=""),"",'04 Prices'!H363/'04 Prices'!H362-1)</f>
        <v/>
      </c>
    </row>
    <row r="363">
      <c r="A363" s="23">
        <f>IF('04 Prices'!A364="","",'04 Prices'!A364)</f>
        <v/>
      </c>
      <c r="B363" s="25">
        <f>IF(OR($A363="",'04 Prices'!B363="",'04 Prices'!B364=""),"",'04 Prices'!B364/'04 Prices'!B363-1)</f>
        <v/>
      </c>
      <c r="C363" s="25">
        <f>IF(OR($A363="",'04 Prices'!C363="",'04 Prices'!C364=""),"",'04 Prices'!C364/'04 Prices'!C363-1)</f>
        <v/>
      </c>
      <c r="D363" s="25">
        <f>IF(OR($A363="",'04 Prices'!D363="",'04 Prices'!D364=""),"",'04 Prices'!D364/'04 Prices'!D363-1)</f>
        <v/>
      </c>
      <c r="E363" s="25">
        <f>IF(OR($A363="",'04 Prices'!E363="",'04 Prices'!E364=""),"",'04 Prices'!E364/'04 Prices'!E363-1)</f>
        <v/>
      </c>
      <c r="F363" s="25">
        <f>IF(OR($A363="",'04 Prices'!F363="",'04 Prices'!F364=""),"",'04 Prices'!F364/'04 Prices'!F363-1)</f>
        <v/>
      </c>
      <c r="G363" s="25">
        <f>IF(OR($A363="",'04 Prices'!G363="",'04 Prices'!G364=""),"",'04 Prices'!G364/'04 Prices'!G363-1)</f>
        <v/>
      </c>
      <c r="H363" s="25">
        <f>IF(OR($A363="",'04 Prices'!H363="",'04 Prices'!H364=""),"",'04 Prices'!H364/'04 Prices'!H363-1)</f>
        <v/>
      </c>
    </row>
    <row r="364">
      <c r="A364" s="23">
        <f>IF('04 Prices'!A365="","",'04 Prices'!A365)</f>
        <v/>
      </c>
      <c r="B364" s="25">
        <f>IF(OR($A364="",'04 Prices'!B364="",'04 Prices'!B365=""),"",'04 Prices'!B365/'04 Prices'!B364-1)</f>
        <v/>
      </c>
      <c r="C364" s="25">
        <f>IF(OR($A364="",'04 Prices'!C364="",'04 Prices'!C365=""),"",'04 Prices'!C365/'04 Prices'!C364-1)</f>
        <v/>
      </c>
      <c r="D364" s="25">
        <f>IF(OR($A364="",'04 Prices'!D364="",'04 Prices'!D365=""),"",'04 Prices'!D365/'04 Prices'!D364-1)</f>
        <v/>
      </c>
      <c r="E364" s="25">
        <f>IF(OR($A364="",'04 Prices'!E364="",'04 Prices'!E365=""),"",'04 Prices'!E365/'04 Prices'!E364-1)</f>
        <v/>
      </c>
      <c r="F364" s="25">
        <f>IF(OR($A364="",'04 Prices'!F364="",'04 Prices'!F365=""),"",'04 Prices'!F365/'04 Prices'!F364-1)</f>
        <v/>
      </c>
      <c r="G364" s="25">
        <f>IF(OR($A364="",'04 Prices'!G364="",'04 Prices'!G365=""),"",'04 Prices'!G365/'04 Prices'!G364-1)</f>
        <v/>
      </c>
      <c r="H364" s="25">
        <f>IF(OR($A364="",'04 Prices'!H364="",'04 Prices'!H365=""),"",'04 Prices'!H365/'04 Prices'!H364-1)</f>
        <v/>
      </c>
    </row>
    <row r="365">
      <c r="A365" s="23">
        <f>IF('04 Prices'!A366="","",'04 Prices'!A366)</f>
        <v/>
      </c>
      <c r="B365" s="25">
        <f>IF(OR($A365="",'04 Prices'!B365="",'04 Prices'!B366=""),"",'04 Prices'!B366/'04 Prices'!B365-1)</f>
        <v/>
      </c>
      <c r="C365" s="25">
        <f>IF(OR($A365="",'04 Prices'!C365="",'04 Prices'!C366=""),"",'04 Prices'!C366/'04 Prices'!C365-1)</f>
        <v/>
      </c>
      <c r="D365" s="25">
        <f>IF(OR($A365="",'04 Prices'!D365="",'04 Prices'!D366=""),"",'04 Prices'!D366/'04 Prices'!D365-1)</f>
        <v/>
      </c>
      <c r="E365" s="25">
        <f>IF(OR($A365="",'04 Prices'!E365="",'04 Prices'!E366=""),"",'04 Prices'!E366/'04 Prices'!E365-1)</f>
        <v/>
      </c>
      <c r="F365" s="25">
        <f>IF(OR($A365="",'04 Prices'!F365="",'04 Prices'!F366=""),"",'04 Prices'!F366/'04 Prices'!F365-1)</f>
        <v/>
      </c>
      <c r="G365" s="25">
        <f>IF(OR($A365="",'04 Prices'!G365="",'04 Prices'!G366=""),"",'04 Prices'!G366/'04 Prices'!G365-1)</f>
        <v/>
      </c>
      <c r="H365" s="25">
        <f>IF(OR($A365="",'04 Prices'!H365="",'04 Prices'!H366=""),"",'04 Prices'!H366/'04 Prices'!H365-1)</f>
        <v/>
      </c>
    </row>
    <row r="366">
      <c r="A366" s="23">
        <f>IF('04 Prices'!A367="","",'04 Prices'!A367)</f>
        <v/>
      </c>
      <c r="B366" s="25">
        <f>IF(OR($A366="",'04 Prices'!B366="",'04 Prices'!B367=""),"",'04 Prices'!B367/'04 Prices'!B366-1)</f>
        <v/>
      </c>
      <c r="C366" s="25">
        <f>IF(OR($A366="",'04 Prices'!C366="",'04 Prices'!C367=""),"",'04 Prices'!C367/'04 Prices'!C366-1)</f>
        <v/>
      </c>
      <c r="D366" s="25">
        <f>IF(OR($A366="",'04 Prices'!D366="",'04 Prices'!D367=""),"",'04 Prices'!D367/'04 Prices'!D366-1)</f>
        <v/>
      </c>
      <c r="E366" s="25">
        <f>IF(OR($A366="",'04 Prices'!E366="",'04 Prices'!E367=""),"",'04 Prices'!E367/'04 Prices'!E366-1)</f>
        <v/>
      </c>
      <c r="F366" s="25">
        <f>IF(OR($A366="",'04 Prices'!F366="",'04 Prices'!F367=""),"",'04 Prices'!F367/'04 Prices'!F366-1)</f>
        <v/>
      </c>
      <c r="G366" s="25">
        <f>IF(OR($A366="",'04 Prices'!G366="",'04 Prices'!G367=""),"",'04 Prices'!G367/'04 Prices'!G366-1)</f>
        <v/>
      </c>
      <c r="H366" s="25">
        <f>IF(OR($A366="",'04 Prices'!H366="",'04 Prices'!H367=""),"",'04 Prices'!H367/'04 Prices'!H366-1)</f>
        <v/>
      </c>
    </row>
    <row r="367">
      <c r="A367" s="23">
        <f>IF('04 Prices'!A368="","",'04 Prices'!A368)</f>
        <v/>
      </c>
      <c r="B367" s="25">
        <f>IF(OR($A367="",'04 Prices'!B367="",'04 Prices'!B368=""),"",'04 Prices'!B368/'04 Prices'!B367-1)</f>
        <v/>
      </c>
      <c r="C367" s="25">
        <f>IF(OR($A367="",'04 Prices'!C367="",'04 Prices'!C368=""),"",'04 Prices'!C368/'04 Prices'!C367-1)</f>
        <v/>
      </c>
      <c r="D367" s="25">
        <f>IF(OR($A367="",'04 Prices'!D367="",'04 Prices'!D368=""),"",'04 Prices'!D368/'04 Prices'!D367-1)</f>
        <v/>
      </c>
      <c r="E367" s="25">
        <f>IF(OR($A367="",'04 Prices'!E367="",'04 Prices'!E368=""),"",'04 Prices'!E368/'04 Prices'!E367-1)</f>
        <v/>
      </c>
      <c r="F367" s="25">
        <f>IF(OR($A367="",'04 Prices'!F367="",'04 Prices'!F368=""),"",'04 Prices'!F368/'04 Prices'!F367-1)</f>
        <v/>
      </c>
      <c r="G367" s="25">
        <f>IF(OR($A367="",'04 Prices'!G367="",'04 Prices'!G368=""),"",'04 Prices'!G368/'04 Prices'!G367-1)</f>
        <v/>
      </c>
      <c r="H367" s="25">
        <f>IF(OR($A367="",'04 Prices'!H367="",'04 Prices'!H368=""),"",'04 Prices'!H368/'04 Prices'!H367-1)</f>
        <v/>
      </c>
    </row>
    <row r="368">
      <c r="A368" s="23">
        <f>IF('04 Prices'!A369="","",'04 Prices'!A369)</f>
        <v/>
      </c>
      <c r="B368" s="25">
        <f>IF(OR($A368="",'04 Prices'!B368="",'04 Prices'!B369=""),"",'04 Prices'!B369/'04 Prices'!B368-1)</f>
        <v/>
      </c>
      <c r="C368" s="25">
        <f>IF(OR($A368="",'04 Prices'!C368="",'04 Prices'!C369=""),"",'04 Prices'!C369/'04 Prices'!C368-1)</f>
        <v/>
      </c>
      <c r="D368" s="25">
        <f>IF(OR($A368="",'04 Prices'!D368="",'04 Prices'!D369=""),"",'04 Prices'!D369/'04 Prices'!D368-1)</f>
        <v/>
      </c>
      <c r="E368" s="25">
        <f>IF(OR($A368="",'04 Prices'!E368="",'04 Prices'!E369=""),"",'04 Prices'!E369/'04 Prices'!E368-1)</f>
        <v/>
      </c>
      <c r="F368" s="25">
        <f>IF(OR($A368="",'04 Prices'!F368="",'04 Prices'!F369=""),"",'04 Prices'!F369/'04 Prices'!F368-1)</f>
        <v/>
      </c>
      <c r="G368" s="25">
        <f>IF(OR($A368="",'04 Prices'!G368="",'04 Prices'!G369=""),"",'04 Prices'!G369/'04 Prices'!G368-1)</f>
        <v/>
      </c>
      <c r="H368" s="25">
        <f>IF(OR($A368="",'04 Prices'!H368="",'04 Prices'!H369=""),"",'04 Prices'!H369/'04 Prices'!H368-1)</f>
        <v/>
      </c>
    </row>
    <row r="369">
      <c r="A369" s="23">
        <f>IF('04 Prices'!A370="","",'04 Prices'!A370)</f>
        <v/>
      </c>
      <c r="B369" s="25">
        <f>IF(OR($A369="",'04 Prices'!B369="",'04 Prices'!B370=""),"",'04 Prices'!B370/'04 Prices'!B369-1)</f>
        <v/>
      </c>
      <c r="C369" s="25">
        <f>IF(OR($A369="",'04 Prices'!C369="",'04 Prices'!C370=""),"",'04 Prices'!C370/'04 Prices'!C369-1)</f>
        <v/>
      </c>
      <c r="D369" s="25">
        <f>IF(OR($A369="",'04 Prices'!D369="",'04 Prices'!D370=""),"",'04 Prices'!D370/'04 Prices'!D369-1)</f>
        <v/>
      </c>
      <c r="E369" s="25">
        <f>IF(OR($A369="",'04 Prices'!E369="",'04 Prices'!E370=""),"",'04 Prices'!E370/'04 Prices'!E369-1)</f>
        <v/>
      </c>
      <c r="F369" s="25">
        <f>IF(OR($A369="",'04 Prices'!F369="",'04 Prices'!F370=""),"",'04 Prices'!F370/'04 Prices'!F369-1)</f>
        <v/>
      </c>
      <c r="G369" s="25">
        <f>IF(OR($A369="",'04 Prices'!G369="",'04 Prices'!G370=""),"",'04 Prices'!G370/'04 Prices'!G369-1)</f>
        <v/>
      </c>
      <c r="H369" s="25">
        <f>IF(OR($A369="",'04 Prices'!H369="",'04 Prices'!H370=""),"",'04 Prices'!H370/'04 Prices'!H369-1)</f>
        <v/>
      </c>
    </row>
    <row r="370">
      <c r="A370" s="23">
        <f>IF('04 Prices'!A371="","",'04 Prices'!A371)</f>
        <v/>
      </c>
      <c r="B370" s="25">
        <f>IF(OR($A370="",'04 Prices'!B370="",'04 Prices'!B371=""),"",'04 Prices'!B371/'04 Prices'!B370-1)</f>
        <v/>
      </c>
      <c r="C370" s="25">
        <f>IF(OR($A370="",'04 Prices'!C370="",'04 Prices'!C371=""),"",'04 Prices'!C371/'04 Prices'!C370-1)</f>
        <v/>
      </c>
      <c r="D370" s="25">
        <f>IF(OR($A370="",'04 Prices'!D370="",'04 Prices'!D371=""),"",'04 Prices'!D371/'04 Prices'!D370-1)</f>
        <v/>
      </c>
      <c r="E370" s="25">
        <f>IF(OR($A370="",'04 Prices'!E370="",'04 Prices'!E371=""),"",'04 Prices'!E371/'04 Prices'!E370-1)</f>
        <v/>
      </c>
      <c r="F370" s="25">
        <f>IF(OR($A370="",'04 Prices'!F370="",'04 Prices'!F371=""),"",'04 Prices'!F371/'04 Prices'!F370-1)</f>
        <v/>
      </c>
      <c r="G370" s="25">
        <f>IF(OR($A370="",'04 Prices'!G370="",'04 Prices'!G371=""),"",'04 Prices'!G371/'04 Prices'!G370-1)</f>
        <v/>
      </c>
      <c r="H370" s="25">
        <f>IF(OR($A370="",'04 Prices'!H370="",'04 Prices'!H371=""),"",'04 Prices'!H371/'04 Prices'!H370-1)</f>
        <v/>
      </c>
    </row>
    <row r="371">
      <c r="A371" s="23">
        <f>IF('04 Prices'!A372="","",'04 Prices'!A372)</f>
        <v/>
      </c>
      <c r="B371" s="25">
        <f>IF(OR($A371="",'04 Prices'!B371="",'04 Prices'!B372=""),"",'04 Prices'!B372/'04 Prices'!B371-1)</f>
        <v/>
      </c>
      <c r="C371" s="25">
        <f>IF(OR($A371="",'04 Prices'!C371="",'04 Prices'!C372=""),"",'04 Prices'!C372/'04 Prices'!C371-1)</f>
        <v/>
      </c>
      <c r="D371" s="25">
        <f>IF(OR($A371="",'04 Prices'!D371="",'04 Prices'!D372=""),"",'04 Prices'!D372/'04 Prices'!D371-1)</f>
        <v/>
      </c>
      <c r="E371" s="25">
        <f>IF(OR($A371="",'04 Prices'!E371="",'04 Prices'!E372=""),"",'04 Prices'!E372/'04 Prices'!E371-1)</f>
        <v/>
      </c>
      <c r="F371" s="25">
        <f>IF(OR($A371="",'04 Prices'!F371="",'04 Prices'!F372=""),"",'04 Prices'!F372/'04 Prices'!F371-1)</f>
        <v/>
      </c>
      <c r="G371" s="25">
        <f>IF(OR($A371="",'04 Prices'!G371="",'04 Prices'!G372=""),"",'04 Prices'!G372/'04 Prices'!G371-1)</f>
        <v/>
      </c>
      <c r="H371" s="25">
        <f>IF(OR($A371="",'04 Prices'!H371="",'04 Prices'!H372=""),"",'04 Prices'!H372/'04 Prices'!H371-1)</f>
        <v/>
      </c>
    </row>
    <row r="372">
      <c r="A372" s="23">
        <f>IF('04 Prices'!A373="","",'04 Prices'!A373)</f>
        <v/>
      </c>
      <c r="B372" s="25">
        <f>IF(OR($A372="",'04 Prices'!B372="",'04 Prices'!B373=""),"",'04 Prices'!B373/'04 Prices'!B372-1)</f>
        <v/>
      </c>
      <c r="C372" s="25">
        <f>IF(OR($A372="",'04 Prices'!C372="",'04 Prices'!C373=""),"",'04 Prices'!C373/'04 Prices'!C372-1)</f>
        <v/>
      </c>
      <c r="D372" s="25">
        <f>IF(OR($A372="",'04 Prices'!D372="",'04 Prices'!D373=""),"",'04 Prices'!D373/'04 Prices'!D372-1)</f>
        <v/>
      </c>
      <c r="E372" s="25">
        <f>IF(OR($A372="",'04 Prices'!E372="",'04 Prices'!E373=""),"",'04 Prices'!E373/'04 Prices'!E372-1)</f>
        <v/>
      </c>
      <c r="F372" s="25">
        <f>IF(OR($A372="",'04 Prices'!F372="",'04 Prices'!F373=""),"",'04 Prices'!F373/'04 Prices'!F372-1)</f>
        <v/>
      </c>
      <c r="G372" s="25">
        <f>IF(OR($A372="",'04 Prices'!G372="",'04 Prices'!G373=""),"",'04 Prices'!G373/'04 Prices'!G372-1)</f>
        <v/>
      </c>
      <c r="H372" s="25">
        <f>IF(OR($A372="",'04 Prices'!H372="",'04 Prices'!H373=""),"",'04 Prices'!H373/'04 Prices'!H372-1)</f>
        <v/>
      </c>
    </row>
    <row r="373">
      <c r="A373" s="23">
        <f>IF('04 Prices'!A374="","",'04 Prices'!A374)</f>
        <v/>
      </c>
      <c r="B373" s="25">
        <f>IF(OR($A373="",'04 Prices'!B373="",'04 Prices'!B374=""),"",'04 Prices'!B374/'04 Prices'!B373-1)</f>
        <v/>
      </c>
      <c r="C373" s="25">
        <f>IF(OR($A373="",'04 Prices'!C373="",'04 Prices'!C374=""),"",'04 Prices'!C374/'04 Prices'!C373-1)</f>
        <v/>
      </c>
      <c r="D373" s="25">
        <f>IF(OR($A373="",'04 Prices'!D373="",'04 Prices'!D374=""),"",'04 Prices'!D374/'04 Prices'!D373-1)</f>
        <v/>
      </c>
      <c r="E373" s="25">
        <f>IF(OR($A373="",'04 Prices'!E373="",'04 Prices'!E374=""),"",'04 Prices'!E374/'04 Prices'!E373-1)</f>
        <v/>
      </c>
      <c r="F373" s="25">
        <f>IF(OR($A373="",'04 Prices'!F373="",'04 Prices'!F374=""),"",'04 Prices'!F374/'04 Prices'!F373-1)</f>
        <v/>
      </c>
      <c r="G373" s="25">
        <f>IF(OR($A373="",'04 Prices'!G373="",'04 Prices'!G374=""),"",'04 Prices'!G374/'04 Prices'!G373-1)</f>
        <v/>
      </c>
      <c r="H373" s="25">
        <f>IF(OR($A373="",'04 Prices'!H373="",'04 Prices'!H374=""),"",'04 Prices'!H374/'04 Prices'!H373-1)</f>
        <v/>
      </c>
    </row>
    <row r="374">
      <c r="A374" s="23">
        <f>IF('04 Prices'!A375="","",'04 Prices'!A375)</f>
        <v/>
      </c>
      <c r="B374" s="25">
        <f>IF(OR($A374="",'04 Prices'!B374="",'04 Prices'!B375=""),"",'04 Prices'!B375/'04 Prices'!B374-1)</f>
        <v/>
      </c>
      <c r="C374" s="25">
        <f>IF(OR($A374="",'04 Prices'!C374="",'04 Prices'!C375=""),"",'04 Prices'!C375/'04 Prices'!C374-1)</f>
        <v/>
      </c>
      <c r="D374" s="25">
        <f>IF(OR($A374="",'04 Prices'!D374="",'04 Prices'!D375=""),"",'04 Prices'!D375/'04 Prices'!D374-1)</f>
        <v/>
      </c>
      <c r="E374" s="25">
        <f>IF(OR($A374="",'04 Prices'!E374="",'04 Prices'!E375=""),"",'04 Prices'!E375/'04 Prices'!E374-1)</f>
        <v/>
      </c>
      <c r="F374" s="25">
        <f>IF(OR($A374="",'04 Prices'!F374="",'04 Prices'!F375=""),"",'04 Prices'!F375/'04 Prices'!F374-1)</f>
        <v/>
      </c>
      <c r="G374" s="25">
        <f>IF(OR($A374="",'04 Prices'!G374="",'04 Prices'!G375=""),"",'04 Prices'!G375/'04 Prices'!G374-1)</f>
        <v/>
      </c>
      <c r="H374" s="25">
        <f>IF(OR($A374="",'04 Prices'!H374="",'04 Prices'!H375=""),"",'04 Prices'!H375/'04 Prices'!H374-1)</f>
        <v/>
      </c>
    </row>
    <row r="375">
      <c r="A375" s="23">
        <f>IF('04 Prices'!A376="","",'04 Prices'!A376)</f>
        <v/>
      </c>
      <c r="B375" s="25">
        <f>IF(OR($A375="",'04 Prices'!B375="",'04 Prices'!B376=""),"",'04 Prices'!B376/'04 Prices'!B375-1)</f>
        <v/>
      </c>
      <c r="C375" s="25">
        <f>IF(OR($A375="",'04 Prices'!C375="",'04 Prices'!C376=""),"",'04 Prices'!C376/'04 Prices'!C375-1)</f>
        <v/>
      </c>
      <c r="D375" s="25">
        <f>IF(OR($A375="",'04 Prices'!D375="",'04 Prices'!D376=""),"",'04 Prices'!D376/'04 Prices'!D375-1)</f>
        <v/>
      </c>
      <c r="E375" s="25">
        <f>IF(OR($A375="",'04 Prices'!E375="",'04 Prices'!E376=""),"",'04 Prices'!E376/'04 Prices'!E375-1)</f>
        <v/>
      </c>
      <c r="F375" s="25">
        <f>IF(OR($A375="",'04 Prices'!F375="",'04 Prices'!F376=""),"",'04 Prices'!F376/'04 Prices'!F375-1)</f>
        <v/>
      </c>
      <c r="G375" s="25">
        <f>IF(OR($A375="",'04 Prices'!G375="",'04 Prices'!G376=""),"",'04 Prices'!G376/'04 Prices'!G375-1)</f>
        <v/>
      </c>
      <c r="H375" s="25">
        <f>IF(OR($A375="",'04 Prices'!H375="",'04 Prices'!H376=""),"",'04 Prices'!H376/'04 Prices'!H375-1)</f>
        <v/>
      </c>
    </row>
    <row r="376">
      <c r="A376" s="23">
        <f>IF('04 Prices'!A377="","",'04 Prices'!A377)</f>
        <v/>
      </c>
      <c r="B376" s="25">
        <f>IF(OR($A376="",'04 Prices'!B376="",'04 Prices'!B377=""),"",'04 Prices'!B377/'04 Prices'!B376-1)</f>
        <v/>
      </c>
      <c r="C376" s="25">
        <f>IF(OR($A376="",'04 Prices'!C376="",'04 Prices'!C377=""),"",'04 Prices'!C377/'04 Prices'!C376-1)</f>
        <v/>
      </c>
      <c r="D376" s="25">
        <f>IF(OR($A376="",'04 Prices'!D376="",'04 Prices'!D377=""),"",'04 Prices'!D377/'04 Prices'!D376-1)</f>
        <v/>
      </c>
      <c r="E376" s="25">
        <f>IF(OR($A376="",'04 Prices'!E376="",'04 Prices'!E377=""),"",'04 Prices'!E377/'04 Prices'!E376-1)</f>
        <v/>
      </c>
      <c r="F376" s="25">
        <f>IF(OR($A376="",'04 Prices'!F376="",'04 Prices'!F377=""),"",'04 Prices'!F377/'04 Prices'!F376-1)</f>
        <v/>
      </c>
      <c r="G376" s="25">
        <f>IF(OR($A376="",'04 Prices'!G376="",'04 Prices'!G377=""),"",'04 Prices'!G377/'04 Prices'!G376-1)</f>
        <v/>
      </c>
      <c r="H376" s="25">
        <f>IF(OR($A376="",'04 Prices'!H376="",'04 Prices'!H377=""),"",'04 Prices'!H377/'04 Prices'!H376-1)</f>
        <v/>
      </c>
    </row>
    <row r="377">
      <c r="A377" s="23">
        <f>IF('04 Prices'!A378="","",'04 Prices'!A378)</f>
        <v/>
      </c>
      <c r="B377" s="25">
        <f>IF(OR($A377="",'04 Prices'!B377="",'04 Prices'!B378=""),"",'04 Prices'!B378/'04 Prices'!B377-1)</f>
        <v/>
      </c>
      <c r="C377" s="25">
        <f>IF(OR($A377="",'04 Prices'!C377="",'04 Prices'!C378=""),"",'04 Prices'!C378/'04 Prices'!C377-1)</f>
        <v/>
      </c>
      <c r="D377" s="25">
        <f>IF(OR($A377="",'04 Prices'!D377="",'04 Prices'!D378=""),"",'04 Prices'!D378/'04 Prices'!D377-1)</f>
        <v/>
      </c>
      <c r="E377" s="25">
        <f>IF(OR($A377="",'04 Prices'!E377="",'04 Prices'!E378=""),"",'04 Prices'!E378/'04 Prices'!E377-1)</f>
        <v/>
      </c>
      <c r="F377" s="25">
        <f>IF(OR($A377="",'04 Prices'!F377="",'04 Prices'!F378=""),"",'04 Prices'!F378/'04 Prices'!F377-1)</f>
        <v/>
      </c>
      <c r="G377" s="25">
        <f>IF(OR($A377="",'04 Prices'!G377="",'04 Prices'!G378=""),"",'04 Prices'!G378/'04 Prices'!G377-1)</f>
        <v/>
      </c>
      <c r="H377" s="25">
        <f>IF(OR($A377="",'04 Prices'!H377="",'04 Prices'!H378=""),"",'04 Prices'!H378/'04 Prices'!H377-1)</f>
        <v/>
      </c>
    </row>
    <row r="378">
      <c r="A378" s="23">
        <f>IF('04 Prices'!A379="","",'04 Prices'!A379)</f>
        <v/>
      </c>
      <c r="B378" s="25">
        <f>IF(OR($A378="",'04 Prices'!B378="",'04 Prices'!B379=""),"",'04 Prices'!B379/'04 Prices'!B378-1)</f>
        <v/>
      </c>
      <c r="C378" s="25">
        <f>IF(OR($A378="",'04 Prices'!C378="",'04 Prices'!C379=""),"",'04 Prices'!C379/'04 Prices'!C378-1)</f>
        <v/>
      </c>
      <c r="D378" s="25">
        <f>IF(OR($A378="",'04 Prices'!D378="",'04 Prices'!D379=""),"",'04 Prices'!D379/'04 Prices'!D378-1)</f>
        <v/>
      </c>
      <c r="E378" s="25">
        <f>IF(OR($A378="",'04 Prices'!E378="",'04 Prices'!E379=""),"",'04 Prices'!E379/'04 Prices'!E378-1)</f>
        <v/>
      </c>
      <c r="F378" s="25">
        <f>IF(OR($A378="",'04 Prices'!F378="",'04 Prices'!F379=""),"",'04 Prices'!F379/'04 Prices'!F378-1)</f>
        <v/>
      </c>
      <c r="G378" s="25">
        <f>IF(OR($A378="",'04 Prices'!G378="",'04 Prices'!G379=""),"",'04 Prices'!G379/'04 Prices'!G378-1)</f>
        <v/>
      </c>
      <c r="H378" s="25">
        <f>IF(OR($A378="",'04 Prices'!H378="",'04 Prices'!H379=""),"",'04 Prices'!H379/'04 Prices'!H378-1)</f>
        <v/>
      </c>
    </row>
    <row r="379">
      <c r="A379" s="23">
        <f>IF('04 Prices'!A380="","",'04 Prices'!A380)</f>
        <v/>
      </c>
      <c r="B379" s="25">
        <f>IF(OR($A379="",'04 Prices'!B379="",'04 Prices'!B380=""),"",'04 Prices'!B380/'04 Prices'!B379-1)</f>
        <v/>
      </c>
      <c r="C379" s="25">
        <f>IF(OR($A379="",'04 Prices'!C379="",'04 Prices'!C380=""),"",'04 Prices'!C380/'04 Prices'!C379-1)</f>
        <v/>
      </c>
      <c r="D379" s="25">
        <f>IF(OR($A379="",'04 Prices'!D379="",'04 Prices'!D380=""),"",'04 Prices'!D380/'04 Prices'!D379-1)</f>
        <v/>
      </c>
      <c r="E379" s="25">
        <f>IF(OR($A379="",'04 Prices'!E379="",'04 Prices'!E380=""),"",'04 Prices'!E380/'04 Prices'!E379-1)</f>
        <v/>
      </c>
      <c r="F379" s="25">
        <f>IF(OR($A379="",'04 Prices'!F379="",'04 Prices'!F380=""),"",'04 Prices'!F380/'04 Prices'!F379-1)</f>
        <v/>
      </c>
      <c r="G379" s="25">
        <f>IF(OR($A379="",'04 Prices'!G379="",'04 Prices'!G380=""),"",'04 Prices'!G380/'04 Prices'!G379-1)</f>
        <v/>
      </c>
      <c r="H379" s="25">
        <f>IF(OR($A379="",'04 Prices'!H379="",'04 Prices'!H380=""),"",'04 Prices'!H380/'04 Prices'!H379-1)</f>
        <v/>
      </c>
    </row>
    <row r="380">
      <c r="A380" s="23">
        <f>IF('04 Prices'!A381="","",'04 Prices'!A381)</f>
        <v/>
      </c>
      <c r="B380" s="25">
        <f>IF(OR($A380="",'04 Prices'!B380="",'04 Prices'!B381=""),"",'04 Prices'!B381/'04 Prices'!B380-1)</f>
        <v/>
      </c>
      <c r="C380" s="25">
        <f>IF(OR($A380="",'04 Prices'!C380="",'04 Prices'!C381=""),"",'04 Prices'!C381/'04 Prices'!C380-1)</f>
        <v/>
      </c>
      <c r="D380" s="25">
        <f>IF(OR($A380="",'04 Prices'!D380="",'04 Prices'!D381=""),"",'04 Prices'!D381/'04 Prices'!D380-1)</f>
        <v/>
      </c>
      <c r="E380" s="25">
        <f>IF(OR($A380="",'04 Prices'!E380="",'04 Prices'!E381=""),"",'04 Prices'!E381/'04 Prices'!E380-1)</f>
        <v/>
      </c>
      <c r="F380" s="25">
        <f>IF(OR($A380="",'04 Prices'!F380="",'04 Prices'!F381=""),"",'04 Prices'!F381/'04 Prices'!F380-1)</f>
        <v/>
      </c>
      <c r="G380" s="25">
        <f>IF(OR($A380="",'04 Prices'!G380="",'04 Prices'!G381=""),"",'04 Prices'!G381/'04 Prices'!G380-1)</f>
        <v/>
      </c>
      <c r="H380" s="25">
        <f>IF(OR($A380="",'04 Prices'!H380="",'04 Prices'!H381=""),"",'04 Prices'!H381/'04 Prices'!H380-1)</f>
        <v/>
      </c>
    </row>
    <row r="381">
      <c r="A381" s="23">
        <f>IF('04 Prices'!A382="","",'04 Prices'!A382)</f>
        <v/>
      </c>
      <c r="B381" s="25">
        <f>IF(OR($A381="",'04 Prices'!B381="",'04 Prices'!B382=""),"",'04 Prices'!B382/'04 Prices'!B381-1)</f>
        <v/>
      </c>
      <c r="C381" s="25">
        <f>IF(OR($A381="",'04 Prices'!C381="",'04 Prices'!C382=""),"",'04 Prices'!C382/'04 Prices'!C381-1)</f>
        <v/>
      </c>
      <c r="D381" s="25">
        <f>IF(OR($A381="",'04 Prices'!D381="",'04 Prices'!D382=""),"",'04 Prices'!D382/'04 Prices'!D381-1)</f>
        <v/>
      </c>
      <c r="E381" s="25">
        <f>IF(OR($A381="",'04 Prices'!E381="",'04 Prices'!E382=""),"",'04 Prices'!E382/'04 Prices'!E381-1)</f>
        <v/>
      </c>
      <c r="F381" s="25">
        <f>IF(OR($A381="",'04 Prices'!F381="",'04 Prices'!F382=""),"",'04 Prices'!F382/'04 Prices'!F381-1)</f>
        <v/>
      </c>
      <c r="G381" s="25">
        <f>IF(OR($A381="",'04 Prices'!G381="",'04 Prices'!G382=""),"",'04 Prices'!G382/'04 Prices'!G381-1)</f>
        <v/>
      </c>
      <c r="H381" s="25">
        <f>IF(OR($A381="",'04 Prices'!H381="",'04 Prices'!H382=""),"",'04 Prices'!H382/'04 Prices'!H381-1)</f>
        <v/>
      </c>
    </row>
    <row r="382">
      <c r="A382" s="23">
        <f>IF('04 Prices'!A383="","",'04 Prices'!A383)</f>
        <v/>
      </c>
      <c r="B382" s="25">
        <f>IF(OR($A382="",'04 Prices'!B382="",'04 Prices'!B383=""),"",'04 Prices'!B383/'04 Prices'!B382-1)</f>
        <v/>
      </c>
      <c r="C382" s="25">
        <f>IF(OR($A382="",'04 Prices'!C382="",'04 Prices'!C383=""),"",'04 Prices'!C383/'04 Prices'!C382-1)</f>
        <v/>
      </c>
      <c r="D382" s="25">
        <f>IF(OR($A382="",'04 Prices'!D382="",'04 Prices'!D383=""),"",'04 Prices'!D383/'04 Prices'!D382-1)</f>
        <v/>
      </c>
      <c r="E382" s="25">
        <f>IF(OR($A382="",'04 Prices'!E382="",'04 Prices'!E383=""),"",'04 Prices'!E383/'04 Prices'!E382-1)</f>
        <v/>
      </c>
      <c r="F382" s="25">
        <f>IF(OR($A382="",'04 Prices'!F382="",'04 Prices'!F383=""),"",'04 Prices'!F383/'04 Prices'!F382-1)</f>
        <v/>
      </c>
      <c r="G382" s="25">
        <f>IF(OR($A382="",'04 Prices'!G382="",'04 Prices'!G383=""),"",'04 Prices'!G383/'04 Prices'!G382-1)</f>
        <v/>
      </c>
      <c r="H382" s="25">
        <f>IF(OR($A382="",'04 Prices'!H382="",'04 Prices'!H383=""),"",'04 Prices'!H383/'04 Prices'!H382-1)</f>
        <v/>
      </c>
    </row>
    <row r="383">
      <c r="A383" s="23">
        <f>IF('04 Prices'!A384="","",'04 Prices'!A384)</f>
        <v/>
      </c>
      <c r="B383" s="25">
        <f>IF(OR($A383="",'04 Prices'!B383="",'04 Prices'!B384=""),"",'04 Prices'!B384/'04 Prices'!B383-1)</f>
        <v/>
      </c>
      <c r="C383" s="25">
        <f>IF(OR($A383="",'04 Prices'!C383="",'04 Prices'!C384=""),"",'04 Prices'!C384/'04 Prices'!C383-1)</f>
        <v/>
      </c>
      <c r="D383" s="25">
        <f>IF(OR($A383="",'04 Prices'!D383="",'04 Prices'!D384=""),"",'04 Prices'!D384/'04 Prices'!D383-1)</f>
        <v/>
      </c>
      <c r="E383" s="25">
        <f>IF(OR($A383="",'04 Prices'!E383="",'04 Prices'!E384=""),"",'04 Prices'!E384/'04 Prices'!E383-1)</f>
        <v/>
      </c>
      <c r="F383" s="25">
        <f>IF(OR($A383="",'04 Prices'!F383="",'04 Prices'!F384=""),"",'04 Prices'!F384/'04 Prices'!F383-1)</f>
        <v/>
      </c>
      <c r="G383" s="25">
        <f>IF(OR($A383="",'04 Prices'!G383="",'04 Prices'!G384=""),"",'04 Prices'!G384/'04 Prices'!G383-1)</f>
        <v/>
      </c>
      <c r="H383" s="25">
        <f>IF(OR($A383="",'04 Prices'!H383="",'04 Prices'!H384=""),"",'04 Prices'!H384/'04 Prices'!H383-1)</f>
        <v/>
      </c>
    </row>
    <row r="384">
      <c r="A384" s="23">
        <f>IF('04 Prices'!A385="","",'04 Prices'!A385)</f>
        <v/>
      </c>
      <c r="B384" s="25">
        <f>IF(OR($A384="",'04 Prices'!B384="",'04 Prices'!B385=""),"",'04 Prices'!B385/'04 Prices'!B384-1)</f>
        <v/>
      </c>
      <c r="C384" s="25">
        <f>IF(OR($A384="",'04 Prices'!C384="",'04 Prices'!C385=""),"",'04 Prices'!C385/'04 Prices'!C384-1)</f>
        <v/>
      </c>
      <c r="D384" s="25">
        <f>IF(OR($A384="",'04 Prices'!D384="",'04 Prices'!D385=""),"",'04 Prices'!D385/'04 Prices'!D384-1)</f>
        <v/>
      </c>
      <c r="E384" s="25">
        <f>IF(OR($A384="",'04 Prices'!E384="",'04 Prices'!E385=""),"",'04 Prices'!E385/'04 Prices'!E384-1)</f>
        <v/>
      </c>
      <c r="F384" s="25">
        <f>IF(OR($A384="",'04 Prices'!F384="",'04 Prices'!F385=""),"",'04 Prices'!F385/'04 Prices'!F384-1)</f>
        <v/>
      </c>
      <c r="G384" s="25">
        <f>IF(OR($A384="",'04 Prices'!G384="",'04 Prices'!G385=""),"",'04 Prices'!G385/'04 Prices'!G384-1)</f>
        <v/>
      </c>
      <c r="H384" s="25">
        <f>IF(OR($A384="",'04 Prices'!H384="",'04 Prices'!H385=""),"",'04 Prices'!H385/'04 Prices'!H384-1)</f>
        <v/>
      </c>
    </row>
    <row r="385">
      <c r="A385" s="23">
        <f>IF('04 Prices'!A386="","",'04 Prices'!A386)</f>
        <v/>
      </c>
      <c r="B385" s="25">
        <f>IF(OR($A385="",'04 Prices'!B385="",'04 Prices'!B386=""),"",'04 Prices'!B386/'04 Prices'!B385-1)</f>
        <v/>
      </c>
      <c r="C385" s="25">
        <f>IF(OR($A385="",'04 Prices'!C385="",'04 Prices'!C386=""),"",'04 Prices'!C386/'04 Prices'!C385-1)</f>
        <v/>
      </c>
      <c r="D385" s="25">
        <f>IF(OR($A385="",'04 Prices'!D385="",'04 Prices'!D386=""),"",'04 Prices'!D386/'04 Prices'!D385-1)</f>
        <v/>
      </c>
      <c r="E385" s="25">
        <f>IF(OR($A385="",'04 Prices'!E385="",'04 Prices'!E386=""),"",'04 Prices'!E386/'04 Prices'!E385-1)</f>
        <v/>
      </c>
      <c r="F385" s="25">
        <f>IF(OR($A385="",'04 Prices'!F385="",'04 Prices'!F386=""),"",'04 Prices'!F386/'04 Prices'!F385-1)</f>
        <v/>
      </c>
      <c r="G385" s="25">
        <f>IF(OR($A385="",'04 Prices'!G385="",'04 Prices'!G386=""),"",'04 Prices'!G386/'04 Prices'!G385-1)</f>
        <v/>
      </c>
      <c r="H385" s="25">
        <f>IF(OR($A385="",'04 Prices'!H385="",'04 Prices'!H386=""),"",'04 Prices'!H386/'04 Prices'!H385-1)</f>
        <v/>
      </c>
    </row>
    <row r="386">
      <c r="A386" s="23">
        <f>IF('04 Prices'!A387="","",'04 Prices'!A387)</f>
        <v/>
      </c>
      <c r="B386" s="25">
        <f>IF(OR($A386="",'04 Prices'!B386="",'04 Prices'!B387=""),"",'04 Prices'!B387/'04 Prices'!B386-1)</f>
        <v/>
      </c>
      <c r="C386" s="25">
        <f>IF(OR($A386="",'04 Prices'!C386="",'04 Prices'!C387=""),"",'04 Prices'!C387/'04 Prices'!C386-1)</f>
        <v/>
      </c>
      <c r="D386" s="25">
        <f>IF(OR($A386="",'04 Prices'!D386="",'04 Prices'!D387=""),"",'04 Prices'!D387/'04 Prices'!D386-1)</f>
        <v/>
      </c>
      <c r="E386" s="25">
        <f>IF(OR($A386="",'04 Prices'!E386="",'04 Prices'!E387=""),"",'04 Prices'!E387/'04 Prices'!E386-1)</f>
        <v/>
      </c>
      <c r="F386" s="25">
        <f>IF(OR($A386="",'04 Prices'!F386="",'04 Prices'!F387=""),"",'04 Prices'!F387/'04 Prices'!F386-1)</f>
        <v/>
      </c>
      <c r="G386" s="25">
        <f>IF(OR($A386="",'04 Prices'!G386="",'04 Prices'!G387=""),"",'04 Prices'!G387/'04 Prices'!G386-1)</f>
        <v/>
      </c>
      <c r="H386" s="25">
        <f>IF(OR($A386="",'04 Prices'!H386="",'04 Prices'!H387=""),"",'04 Prices'!H387/'04 Prices'!H386-1)</f>
        <v/>
      </c>
    </row>
    <row r="387">
      <c r="A387" s="23">
        <f>IF('04 Prices'!A388="","",'04 Prices'!A388)</f>
        <v/>
      </c>
      <c r="B387" s="25">
        <f>IF(OR($A387="",'04 Prices'!B387="",'04 Prices'!B388=""),"",'04 Prices'!B388/'04 Prices'!B387-1)</f>
        <v/>
      </c>
      <c r="C387" s="25">
        <f>IF(OR($A387="",'04 Prices'!C387="",'04 Prices'!C388=""),"",'04 Prices'!C388/'04 Prices'!C387-1)</f>
        <v/>
      </c>
      <c r="D387" s="25">
        <f>IF(OR($A387="",'04 Prices'!D387="",'04 Prices'!D388=""),"",'04 Prices'!D388/'04 Prices'!D387-1)</f>
        <v/>
      </c>
      <c r="E387" s="25">
        <f>IF(OR($A387="",'04 Prices'!E387="",'04 Prices'!E388=""),"",'04 Prices'!E388/'04 Prices'!E387-1)</f>
        <v/>
      </c>
      <c r="F387" s="25">
        <f>IF(OR($A387="",'04 Prices'!F387="",'04 Prices'!F388=""),"",'04 Prices'!F388/'04 Prices'!F387-1)</f>
        <v/>
      </c>
      <c r="G387" s="25">
        <f>IF(OR($A387="",'04 Prices'!G387="",'04 Prices'!G388=""),"",'04 Prices'!G388/'04 Prices'!G387-1)</f>
        <v/>
      </c>
      <c r="H387" s="25">
        <f>IF(OR($A387="",'04 Prices'!H387="",'04 Prices'!H388=""),"",'04 Prices'!H388/'04 Prices'!H387-1)</f>
        <v/>
      </c>
    </row>
    <row r="388">
      <c r="A388" s="23">
        <f>IF('04 Prices'!A389="","",'04 Prices'!A389)</f>
        <v/>
      </c>
      <c r="B388" s="25">
        <f>IF(OR($A388="",'04 Prices'!B388="",'04 Prices'!B389=""),"",'04 Prices'!B389/'04 Prices'!B388-1)</f>
        <v/>
      </c>
      <c r="C388" s="25">
        <f>IF(OR($A388="",'04 Prices'!C388="",'04 Prices'!C389=""),"",'04 Prices'!C389/'04 Prices'!C388-1)</f>
        <v/>
      </c>
      <c r="D388" s="25">
        <f>IF(OR($A388="",'04 Prices'!D388="",'04 Prices'!D389=""),"",'04 Prices'!D389/'04 Prices'!D388-1)</f>
        <v/>
      </c>
      <c r="E388" s="25">
        <f>IF(OR($A388="",'04 Prices'!E388="",'04 Prices'!E389=""),"",'04 Prices'!E389/'04 Prices'!E388-1)</f>
        <v/>
      </c>
      <c r="F388" s="25">
        <f>IF(OR($A388="",'04 Prices'!F388="",'04 Prices'!F389=""),"",'04 Prices'!F389/'04 Prices'!F388-1)</f>
        <v/>
      </c>
      <c r="G388" s="25">
        <f>IF(OR($A388="",'04 Prices'!G388="",'04 Prices'!G389=""),"",'04 Prices'!G389/'04 Prices'!G388-1)</f>
        <v/>
      </c>
      <c r="H388" s="25">
        <f>IF(OR($A388="",'04 Prices'!H388="",'04 Prices'!H389=""),"",'04 Prices'!H389/'04 Prices'!H388-1)</f>
        <v/>
      </c>
    </row>
    <row r="389">
      <c r="A389" s="23">
        <f>IF('04 Prices'!A390="","",'04 Prices'!A390)</f>
        <v/>
      </c>
      <c r="B389" s="25">
        <f>IF(OR($A389="",'04 Prices'!B389="",'04 Prices'!B390=""),"",'04 Prices'!B390/'04 Prices'!B389-1)</f>
        <v/>
      </c>
      <c r="C389" s="25">
        <f>IF(OR($A389="",'04 Prices'!C389="",'04 Prices'!C390=""),"",'04 Prices'!C390/'04 Prices'!C389-1)</f>
        <v/>
      </c>
      <c r="D389" s="25">
        <f>IF(OR($A389="",'04 Prices'!D389="",'04 Prices'!D390=""),"",'04 Prices'!D390/'04 Prices'!D389-1)</f>
        <v/>
      </c>
      <c r="E389" s="25">
        <f>IF(OR($A389="",'04 Prices'!E389="",'04 Prices'!E390=""),"",'04 Prices'!E390/'04 Prices'!E389-1)</f>
        <v/>
      </c>
      <c r="F389" s="25">
        <f>IF(OR($A389="",'04 Prices'!F389="",'04 Prices'!F390=""),"",'04 Prices'!F390/'04 Prices'!F389-1)</f>
        <v/>
      </c>
      <c r="G389" s="25">
        <f>IF(OR($A389="",'04 Prices'!G389="",'04 Prices'!G390=""),"",'04 Prices'!G390/'04 Prices'!G389-1)</f>
        <v/>
      </c>
      <c r="H389" s="25">
        <f>IF(OR($A389="",'04 Prices'!H389="",'04 Prices'!H390=""),"",'04 Prices'!H390/'04 Prices'!H389-1)</f>
        <v/>
      </c>
    </row>
    <row r="390">
      <c r="A390" s="23">
        <f>IF('04 Prices'!A391="","",'04 Prices'!A391)</f>
        <v/>
      </c>
      <c r="B390" s="25">
        <f>IF(OR($A390="",'04 Prices'!B390="",'04 Prices'!B391=""),"",'04 Prices'!B391/'04 Prices'!B390-1)</f>
        <v/>
      </c>
      <c r="C390" s="25">
        <f>IF(OR($A390="",'04 Prices'!C390="",'04 Prices'!C391=""),"",'04 Prices'!C391/'04 Prices'!C390-1)</f>
        <v/>
      </c>
      <c r="D390" s="25">
        <f>IF(OR($A390="",'04 Prices'!D390="",'04 Prices'!D391=""),"",'04 Prices'!D391/'04 Prices'!D390-1)</f>
        <v/>
      </c>
      <c r="E390" s="25">
        <f>IF(OR($A390="",'04 Prices'!E390="",'04 Prices'!E391=""),"",'04 Prices'!E391/'04 Prices'!E390-1)</f>
        <v/>
      </c>
      <c r="F390" s="25">
        <f>IF(OR($A390="",'04 Prices'!F390="",'04 Prices'!F391=""),"",'04 Prices'!F391/'04 Prices'!F390-1)</f>
        <v/>
      </c>
      <c r="G390" s="25">
        <f>IF(OR($A390="",'04 Prices'!G390="",'04 Prices'!G391=""),"",'04 Prices'!G391/'04 Prices'!G390-1)</f>
        <v/>
      </c>
      <c r="H390" s="25">
        <f>IF(OR($A390="",'04 Prices'!H390="",'04 Prices'!H391=""),"",'04 Prices'!H391/'04 Prices'!H390-1)</f>
        <v/>
      </c>
    </row>
    <row r="391">
      <c r="A391" s="23">
        <f>IF('04 Prices'!A392="","",'04 Prices'!A392)</f>
        <v/>
      </c>
      <c r="B391" s="25">
        <f>IF(OR($A391="",'04 Prices'!B391="",'04 Prices'!B392=""),"",'04 Prices'!B392/'04 Prices'!B391-1)</f>
        <v/>
      </c>
      <c r="C391" s="25">
        <f>IF(OR($A391="",'04 Prices'!C391="",'04 Prices'!C392=""),"",'04 Prices'!C392/'04 Prices'!C391-1)</f>
        <v/>
      </c>
      <c r="D391" s="25">
        <f>IF(OR($A391="",'04 Prices'!D391="",'04 Prices'!D392=""),"",'04 Prices'!D392/'04 Prices'!D391-1)</f>
        <v/>
      </c>
      <c r="E391" s="25">
        <f>IF(OR($A391="",'04 Prices'!E391="",'04 Prices'!E392=""),"",'04 Prices'!E392/'04 Prices'!E391-1)</f>
        <v/>
      </c>
      <c r="F391" s="25">
        <f>IF(OR($A391="",'04 Prices'!F391="",'04 Prices'!F392=""),"",'04 Prices'!F392/'04 Prices'!F391-1)</f>
        <v/>
      </c>
      <c r="G391" s="25">
        <f>IF(OR($A391="",'04 Prices'!G391="",'04 Prices'!G392=""),"",'04 Prices'!G392/'04 Prices'!G391-1)</f>
        <v/>
      </c>
      <c r="H391" s="25">
        <f>IF(OR($A391="",'04 Prices'!H391="",'04 Prices'!H392=""),"",'04 Prices'!H392/'04 Prices'!H391-1)</f>
        <v/>
      </c>
    </row>
    <row r="392">
      <c r="A392" s="23">
        <f>IF('04 Prices'!A393="","",'04 Prices'!A393)</f>
        <v/>
      </c>
      <c r="B392" s="25">
        <f>IF(OR($A392="",'04 Prices'!B392="",'04 Prices'!B393=""),"",'04 Prices'!B393/'04 Prices'!B392-1)</f>
        <v/>
      </c>
      <c r="C392" s="25">
        <f>IF(OR($A392="",'04 Prices'!C392="",'04 Prices'!C393=""),"",'04 Prices'!C393/'04 Prices'!C392-1)</f>
        <v/>
      </c>
      <c r="D392" s="25">
        <f>IF(OR($A392="",'04 Prices'!D392="",'04 Prices'!D393=""),"",'04 Prices'!D393/'04 Prices'!D392-1)</f>
        <v/>
      </c>
      <c r="E392" s="25">
        <f>IF(OR($A392="",'04 Prices'!E392="",'04 Prices'!E393=""),"",'04 Prices'!E393/'04 Prices'!E392-1)</f>
        <v/>
      </c>
      <c r="F392" s="25">
        <f>IF(OR($A392="",'04 Prices'!F392="",'04 Prices'!F393=""),"",'04 Prices'!F393/'04 Prices'!F392-1)</f>
        <v/>
      </c>
      <c r="G392" s="25">
        <f>IF(OR($A392="",'04 Prices'!G392="",'04 Prices'!G393=""),"",'04 Prices'!G393/'04 Prices'!G392-1)</f>
        <v/>
      </c>
      <c r="H392" s="25">
        <f>IF(OR($A392="",'04 Prices'!H392="",'04 Prices'!H393=""),"",'04 Prices'!H393/'04 Prices'!H392-1)</f>
        <v/>
      </c>
    </row>
    <row r="393">
      <c r="A393" s="23">
        <f>IF('04 Prices'!A394="","",'04 Prices'!A394)</f>
        <v/>
      </c>
      <c r="B393" s="25">
        <f>IF(OR($A393="",'04 Prices'!B393="",'04 Prices'!B394=""),"",'04 Prices'!B394/'04 Prices'!B393-1)</f>
        <v/>
      </c>
      <c r="C393" s="25">
        <f>IF(OR($A393="",'04 Prices'!C393="",'04 Prices'!C394=""),"",'04 Prices'!C394/'04 Prices'!C393-1)</f>
        <v/>
      </c>
      <c r="D393" s="25">
        <f>IF(OR($A393="",'04 Prices'!D393="",'04 Prices'!D394=""),"",'04 Prices'!D394/'04 Prices'!D393-1)</f>
        <v/>
      </c>
      <c r="E393" s="25">
        <f>IF(OR($A393="",'04 Prices'!E393="",'04 Prices'!E394=""),"",'04 Prices'!E394/'04 Prices'!E393-1)</f>
        <v/>
      </c>
      <c r="F393" s="25">
        <f>IF(OR($A393="",'04 Prices'!F393="",'04 Prices'!F394=""),"",'04 Prices'!F394/'04 Prices'!F393-1)</f>
        <v/>
      </c>
      <c r="G393" s="25">
        <f>IF(OR($A393="",'04 Prices'!G393="",'04 Prices'!G394=""),"",'04 Prices'!G394/'04 Prices'!G393-1)</f>
        <v/>
      </c>
      <c r="H393" s="25">
        <f>IF(OR($A393="",'04 Prices'!H393="",'04 Prices'!H394=""),"",'04 Prices'!H394/'04 Prices'!H393-1)</f>
        <v/>
      </c>
    </row>
    <row r="394">
      <c r="A394" s="23">
        <f>IF('04 Prices'!A395="","",'04 Prices'!A395)</f>
        <v/>
      </c>
      <c r="B394" s="25">
        <f>IF(OR($A394="",'04 Prices'!B394="",'04 Prices'!B395=""),"",'04 Prices'!B395/'04 Prices'!B394-1)</f>
        <v/>
      </c>
      <c r="C394" s="25">
        <f>IF(OR($A394="",'04 Prices'!C394="",'04 Prices'!C395=""),"",'04 Prices'!C395/'04 Prices'!C394-1)</f>
        <v/>
      </c>
      <c r="D394" s="25">
        <f>IF(OR($A394="",'04 Prices'!D394="",'04 Prices'!D395=""),"",'04 Prices'!D395/'04 Prices'!D394-1)</f>
        <v/>
      </c>
      <c r="E394" s="25">
        <f>IF(OR($A394="",'04 Prices'!E394="",'04 Prices'!E395=""),"",'04 Prices'!E395/'04 Prices'!E394-1)</f>
        <v/>
      </c>
      <c r="F394" s="25">
        <f>IF(OR($A394="",'04 Prices'!F394="",'04 Prices'!F395=""),"",'04 Prices'!F395/'04 Prices'!F394-1)</f>
        <v/>
      </c>
      <c r="G394" s="25">
        <f>IF(OR($A394="",'04 Prices'!G394="",'04 Prices'!G395=""),"",'04 Prices'!G395/'04 Prices'!G394-1)</f>
        <v/>
      </c>
      <c r="H394" s="25">
        <f>IF(OR($A394="",'04 Prices'!H394="",'04 Prices'!H395=""),"",'04 Prices'!H395/'04 Prices'!H394-1)</f>
        <v/>
      </c>
    </row>
    <row r="395">
      <c r="A395" s="23">
        <f>IF('04 Prices'!A396="","",'04 Prices'!A396)</f>
        <v/>
      </c>
      <c r="B395" s="25">
        <f>IF(OR($A395="",'04 Prices'!B395="",'04 Prices'!B396=""),"",'04 Prices'!B396/'04 Prices'!B395-1)</f>
        <v/>
      </c>
      <c r="C395" s="25">
        <f>IF(OR($A395="",'04 Prices'!C395="",'04 Prices'!C396=""),"",'04 Prices'!C396/'04 Prices'!C395-1)</f>
        <v/>
      </c>
      <c r="D395" s="25">
        <f>IF(OR($A395="",'04 Prices'!D395="",'04 Prices'!D396=""),"",'04 Prices'!D396/'04 Prices'!D395-1)</f>
        <v/>
      </c>
      <c r="E395" s="25">
        <f>IF(OR($A395="",'04 Prices'!E395="",'04 Prices'!E396=""),"",'04 Prices'!E396/'04 Prices'!E395-1)</f>
        <v/>
      </c>
      <c r="F395" s="25">
        <f>IF(OR($A395="",'04 Prices'!F395="",'04 Prices'!F396=""),"",'04 Prices'!F396/'04 Prices'!F395-1)</f>
        <v/>
      </c>
      <c r="G395" s="25">
        <f>IF(OR($A395="",'04 Prices'!G395="",'04 Prices'!G396=""),"",'04 Prices'!G396/'04 Prices'!G395-1)</f>
        <v/>
      </c>
      <c r="H395" s="25">
        <f>IF(OR($A395="",'04 Prices'!H395="",'04 Prices'!H396=""),"",'04 Prices'!H396/'04 Prices'!H395-1)</f>
        <v/>
      </c>
    </row>
    <row r="396">
      <c r="A396" s="23">
        <f>IF('04 Prices'!A397="","",'04 Prices'!A397)</f>
        <v/>
      </c>
      <c r="B396" s="25">
        <f>IF(OR($A396="",'04 Prices'!B396="",'04 Prices'!B397=""),"",'04 Prices'!B397/'04 Prices'!B396-1)</f>
        <v/>
      </c>
      <c r="C396" s="25">
        <f>IF(OR($A396="",'04 Prices'!C396="",'04 Prices'!C397=""),"",'04 Prices'!C397/'04 Prices'!C396-1)</f>
        <v/>
      </c>
      <c r="D396" s="25">
        <f>IF(OR($A396="",'04 Prices'!D396="",'04 Prices'!D397=""),"",'04 Prices'!D397/'04 Prices'!D396-1)</f>
        <v/>
      </c>
      <c r="E396" s="25">
        <f>IF(OR($A396="",'04 Prices'!E396="",'04 Prices'!E397=""),"",'04 Prices'!E397/'04 Prices'!E396-1)</f>
        <v/>
      </c>
      <c r="F396" s="25">
        <f>IF(OR($A396="",'04 Prices'!F396="",'04 Prices'!F397=""),"",'04 Prices'!F397/'04 Prices'!F396-1)</f>
        <v/>
      </c>
      <c r="G396" s="25">
        <f>IF(OR($A396="",'04 Prices'!G396="",'04 Prices'!G397=""),"",'04 Prices'!G397/'04 Prices'!G396-1)</f>
        <v/>
      </c>
      <c r="H396" s="25">
        <f>IF(OR($A396="",'04 Prices'!H396="",'04 Prices'!H397=""),"",'04 Prices'!H397/'04 Prices'!H396-1)</f>
        <v/>
      </c>
    </row>
    <row r="397">
      <c r="A397" s="23">
        <f>IF('04 Prices'!A398="","",'04 Prices'!A398)</f>
        <v/>
      </c>
      <c r="B397" s="25">
        <f>IF(OR($A397="",'04 Prices'!B397="",'04 Prices'!B398=""),"",'04 Prices'!B398/'04 Prices'!B397-1)</f>
        <v/>
      </c>
      <c r="C397" s="25">
        <f>IF(OR($A397="",'04 Prices'!C397="",'04 Prices'!C398=""),"",'04 Prices'!C398/'04 Prices'!C397-1)</f>
        <v/>
      </c>
      <c r="D397" s="25">
        <f>IF(OR($A397="",'04 Prices'!D397="",'04 Prices'!D398=""),"",'04 Prices'!D398/'04 Prices'!D397-1)</f>
        <v/>
      </c>
      <c r="E397" s="25">
        <f>IF(OR($A397="",'04 Prices'!E397="",'04 Prices'!E398=""),"",'04 Prices'!E398/'04 Prices'!E397-1)</f>
        <v/>
      </c>
      <c r="F397" s="25">
        <f>IF(OR($A397="",'04 Prices'!F397="",'04 Prices'!F398=""),"",'04 Prices'!F398/'04 Prices'!F397-1)</f>
        <v/>
      </c>
      <c r="G397" s="25">
        <f>IF(OR($A397="",'04 Prices'!G397="",'04 Prices'!G398=""),"",'04 Prices'!G398/'04 Prices'!G397-1)</f>
        <v/>
      </c>
      <c r="H397" s="25">
        <f>IF(OR($A397="",'04 Prices'!H397="",'04 Prices'!H398=""),"",'04 Prices'!H398/'04 Prices'!H397-1)</f>
        <v/>
      </c>
    </row>
    <row r="398">
      <c r="A398" s="23">
        <f>IF('04 Prices'!A399="","",'04 Prices'!A399)</f>
        <v/>
      </c>
      <c r="B398" s="25">
        <f>IF(OR($A398="",'04 Prices'!B398="",'04 Prices'!B399=""),"",'04 Prices'!B399/'04 Prices'!B398-1)</f>
        <v/>
      </c>
      <c r="C398" s="25">
        <f>IF(OR($A398="",'04 Prices'!C398="",'04 Prices'!C399=""),"",'04 Prices'!C399/'04 Prices'!C398-1)</f>
        <v/>
      </c>
      <c r="D398" s="25">
        <f>IF(OR($A398="",'04 Prices'!D398="",'04 Prices'!D399=""),"",'04 Prices'!D399/'04 Prices'!D398-1)</f>
        <v/>
      </c>
      <c r="E398" s="25">
        <f>IF(OR($A398="",'04 Prices'!E398="",'04 Prices'!E399=""),"",'04 Prices'!E399/'04 Prices'!E398-1)</f>
        <v/>
      </c>
      <c r="F398" s="25">
        <f>IF(OR($A398="",'04 Prices'!F398="",'04 Prices'!F399=""),"",'04 Prices'!F399/'04 Prices'!F398-1)</f>
        <v/>
      </c>
      <c r="G398" s="25">
        <f>IF(OR($A398="",'04 Prices'!G398="",'04 Prices'!G399=""),"",'04 Prices'!G399/'04 Prices'!G398-1)</f>
        <v/>
      </c>
      <c r="H398" s="25">
        <f>IF(OR($A398="",'04 Prices'!H398="",'04 Prices'!H399=""),"",'04 Prices'!H399/'04 Prices'!H398-1)</f>
        <v/>
      </c>
    </row>
    <row r="399">
      <c r="A399" s="23">
        <f>IF('04 Prices'!A400="","",'04 Prices'!A400)</f>
        <v/>
      </c>
      <c r="B399" s="25">
        <f>IF(OR($A399="",'04 Prices'!B399="",'04 Prices'!B400=""),"",'04 Prices'!B400/'04 Prices'!B399-1)</f>
        <v/>
      </c>
      <c r="C399" s="25">
        <f>IF(OR($A399="",'04 Prices'!C399="",'04 Prices'!C400=""),"",'04 Prices'!C400/'04 Prices'!C399-1)</f>
        <v/>
      </c>
      <c r="D399" s="25">
        <f>IF(OR($A399="",'04 Prices'!D399="",'04 Prices'!D400=""),"",'04 Prices'!D400/'04 Prices'!D399-1)</f>
        <v/>
      </c>
      <c r="E399" s="25">
        <f>IF(OR($A399="",'04 Prices'!E399="",'04 Prices'!E400=""),"",'04 Prices'!E400/'04 Prices'!E399-1)</f>
        <v/>
      </c>
      <c r="F399" s="25">
        <f>IF(OR($A399="",'04 Prices'!F399="",'04 Prices'!F400=""),"",'04 Prices'!F400/'04 Prices'!F399-1)</f>
        <v/>
      </c>
      <c r="G399" s="25">
        <f>IF(OR($A399="",'04 Prices'!G399="",'04 Prices'!G400=""),"",'04 Prices'!G400/'04 Prices'!G399-1)</f>
        <v/>
      </c>
      <c r="H399" s="25">
        <f>IF(OR($A399="",'04 Prices'!H399="",'04 Prices'!H400=""),"",'04 Prices'!H400/'04 Prices'!H399-1)</f>
        <v/>
      </c>
    </row>
    <row r="400">
      <c r="A400" s="23">
        <f>IF('04 Prices'!A401="","",'04 Prices'!A401)</f>
        <v/>
      </c>
      <c r="B400" s="25">
        <f>IF(OR($A400="",'04 Prices'!B400="",'04 Prices'!B401=""),"",'04 Prices'!B401/'04 Prices'!B400-1)</f>
        <v/>
      </c>
      <c r="C400" s="25">
        <f>IF(OR($A400="",'04 Prices'!C400="",'04 Prices'!C401=""),"",'04 Prices'!C401/'04 Prices'!C400-1)</f>
        <v/>
      </c>
      <c r="D400" s="25">
        <f>IF(OR($A400="",'04 Prices'!D400="",'04 Prices'!D401=""),"",'04 Prices'!D401/'04 Prices'!D400-1)</f>
        <v/>
      </c>
      <c r="E400" s="25">
        <f>IF(OR($A400="",'04 Prices'!E400="",'04 Prices'!E401=""),"",'04 Prices'!E401/'04 Prices'!E400-1)</f>
        <v/>
      </c>
      <c r="F400" s="25">
        <f>IF(OR($A400="",'04 Prices'!F400="",'04 Prices'!F401=""),"",'04 Prices'!F401/'04 Prices'!F400-1)</f>
        <v/>
      </c>
      <c r="G400" s="25">
        <f>IF(OR($A400="",'04 Prices'!G400="",'04 Prices'!G401=""),"",'04 Prices'!G401/'04 Prices'!G400-1)</f>
        <v/>
      </c>
      <c r="H400" s="25">
        <f>IF(OR($A400="",'04 Prices'!H400="",'04 Prices'!H401=""),"",'04 Prices'!H401/'04 Prices'!H400-1)</f>
        <v/>
      </c>
    </row>
    <row r="401">
      <c r="A401" s="23">
        <f>IF('04 Prices'!A402="","",'04 Prices'!A402)</f>
        <v/>
      </c>
      <c r="B401" s="25">
        <f>IF(OR($A401="",'04 Prices'!B401="",'04 Prices'!B402=""),"",'04 Prices'!B402/'04 Prices'!B401-1)</f>
        <v/>
      </c>
      <c r="C401" s="25">
        <f>IF(OR($A401="",'04 Prices'!C401="",'04 Prices'!C402=""),"",'04 Prices'!C402/'04 Prices'!C401-1)</f>
        <v/>
      </c>
      <c r="D401" s="25">
        <f>IF(OR($A401="",'04 Prices'!D401="",'04 Prices'!D402=""),"",'04 Prices'!D402/'04 Prices'!D401-1)</f>
        <v/>
      </c>
      <c r="E401" s="25">
        <f>IF(OR($A401="",'04 Prices'!E401="",'04 Prices'!E402=""),"",'04 Prices'!E402/'04 Prices'!E401-1)</f>
        <v/>
      </c>
      <c r="F401" s="25">
        <f>IF(OR($A401="",'04 Prices'!F401="",'04 Prices'!F402=""),"",'04 Prices'!F402/'04 Prices'!F401-1)</f>
        <v/>
      </c>
      <c r="G401" s="25">
        <f>IF(OR($A401="",'04 Prices'!G401="",'04 Prices'!G402=""),"",'04 Prices'!G402/'04 Prices'!G401-1)</f>
        <v/>
      </c>
      <c r="H401" s="25">
        <f>IF(OR($A401="",'04 Prices'!H401="",'04 Prices'!H402=""),"",'04 Prices'!H402/'04 Prices'!H401-1)</f>
        <v/>
      </c>
    </row>
    <row r="402">
      <c r="A402" s="23">
        <f>IF('04 Prices'!A403="","",'04 Prices'!A403)</f>
        <v/>
      </c>
      <c r="B402" s="25">
        <f>IF(OR($A402="",'04 Prices'!B402="",'04 Prices'!B403=""),"",'04 Prices'!B403/'04 Prices'!B402-1)</f>
        <v/>
      </c>
      <c r="C402" s="25">
        <f>IF(OR($A402="",'04 Prices'!C402="",'04 Prices'!C403=""),"",'04 Prices'!C403/'04 Prices'!C402-1)</f>
        <v/>
      </c>
      <c r="D402" s="25">
        <f>IF(OR($A402="",'04 Prices'!D402="",'04 Prices'!D403=""),"",'04 Prices'!D403/'04 Prices'!D402-1)</f>
        <v/>
      </c>
      <c r="E402" s="25">
        <f>IF(OR($A402="",'04 Prices'!E402="",'04 Prices'!E403=""),"",'04 Prices'!E403/'04 Prices'!E402-1)</f>
        <v/>
      </c>
      <c r="F402" s="25">
        <f>IF(OR($A402="",'04 Prices'!F402="",'04 Prices'!F403=""),"",'04 Prices'!F403/'04 Prices'!F402-1)</f>
        <v/>
      </c>
      <c r="G402" s="25">
        <f>IF(OR($A402="",'04 Prices'!G402="",'04 Prices'!G403=""),"",'04 Prices'!G403/'04 Prices'!G402-1)</f>
        <v/>
      </c>
      <c r="H402" s="25">
        <f>IF(OR($A402="",'04 Prices'!H402="",'04 Prices'!H403=""),"",'04 Prices'!H403/'04 Prices'!H402-1)</f>
        <v/>
      </c>
    </row>
    <row r="403">
      <c r="A403" s="23">
        <f>IF('04 Prices'!A404="","",'04 Prices'!A404)</f>
        <v/>
      </c>
      <c r="B403" s="25">
        <f>IF(OR($A403="",'04 Prices'!B403="",'04 Prices'!B404=""),"",'04 Prices'!B404/'04 Prices'!B403-1)</f>
        <v/>
      </c>
      <c r="C403" s="25">
        <f>IF(OR($A403="",'04 Prices'!C403="",'04 Prices'!C404=""),"",'04 Prices'!C404/'04 Prices'!C403-1)</f>
        <v/>
      </c>
      <c r="D403" s="25">
        <f>IF(OR($A403="",'04 Prices'!D403="",'04 Prices'!D404=""),"",'04 Prices'!D404/'04 Prices'!D403-1)</f>
        <v/>
      </c>
      <c r="E403" s="25">
        <f>IF(OR($A403="",'04 Prices'!E403="",'04 Prices'!E404=""),"",'04 Prices'!E404/'04 Prices'!E403-1)</f>
        <v/>
      </c>
      <c r="F403" s="25">
        <f>IF(OR($A403="",'04 Prices'!F403="",'04 Prices'!F404=""),"",'04 Prices'!F404/'04 Prices'!F403-1)</f>
        <v/>
      </c>
      <c r="G403" s="25">
        <f>IF(OR($A403="",'04 Prices'!G403="",'04 Prices'!G404=""),"",'04 Prices'!G404/'04 Prices'!G403-1)</f>
        <v/>
      </c>
      <c r="H403" s="25">
        <f>IF(OR($A403="",'04 Prices'!H403="",'04 Prices'!H404=""),"",'04 Prices'!H404/'04 Prices'!H403-1)</f>
        <v/>
      </c>
    </row>
    <row r="404">
      <c r="A404" s="23">
        <f>IF('04 Prices'!A405="","",'04 Prices'!A405)</f>
        <v/>
      </c>
      <c r="B404" s="25">
        <f>IF(OR($A404="",'04 Prices'!B404="",'04 Prices'!B405=""),"",'04 Prices'!B405/'04 Prices'!B404-1)</f>
        <v/>
      </c>
      <c r="C404" s="25">
        <f>IF(OR($A404="",'04 Prices'!C404="",'04 Prices'!C405=""),"",'04 Prices'!C405/'04 Prices'!C404-1)</f>
        <v/>
      </c>
      <c r="D404" s="25">
        <f>IF(OR($A404="",'04 Prices'!D404="",'04 Prices'!D405=""),"",'04 Prices'!D405/'04 Prices'!D404-1)</f>
        <v/>
      </c>
      <c r="E404" s="25">
        <f>IF(OR($A404="",'04 Prices'!E404="",'04 Prices'!E405=""),"",'04 Prices'!E405/'04 Prices'!E404-1)</f>
        <v/>
      </c>
      <c r="F404" s="25">
        <f>IF(OR($A404="",'04 Prices'!F404="",'04 Prices'!F405=""),"",'04 Prices'!F405/'04 Prices'!F404-1)</f>
        <v/>
      </c>
      <c r="G404" s="25">
        <f>IF(OR($A404="",'04 Prices'!G404="",'04 Prices'!G405=""),"",'04 Prices'!G405/'04 Prices'!G404-1)</f>
        <v/>
      </c>
      <c r="H404" s="25">
        <f>IF(OR($A404="",'04 Prices'!H404="",'04 Prices'!H405=""),"",'04 Prices'!H405/'04 Prices'!H404-1)</f>
        <v/>
      </c>
    </row>
    <row r="405">
      <c r="A405" s="23">
        <f>IF('04 Prices'!A406="","",'04 Prices'!A406)</f>
        <v/>
      </c>
      <c r="B405" s="25">
        <f>IF(OR($A405="",'04 Prices'!B405="",'04 Prices'!B406=""),"",'04 Prices'!B406/'04 Prices'!B405-1)</f>
        <v/>
      </c>
      <c r="C405" s="25">
        <f>IF(OR($A405="",'04 Prices'!C405="",'04 Prices'!C406=""),"",'04 Prices'!C406/'04 Prices'!C405-1)</f>
        <v/>
      </c>
      <c r="D405" s="25">
        <f>IF(OR($A405="",'04 Prices'!D405="",'04 Prices'!D406=""),"",'04 Prices'!D406/'04 Prices'!D405-1)</f>
        <v/>
      </c>
      <c r="E405" s="25">
        <f>IF(OR($A405="",'04 Prices'!E405="",'04 Prices'!E406=""),"",'04 Prices'!E406/'04 Prices'!E405-1)</f>
        <v/>
      </c>
      <c r="F405" s="25">
        <f>IF(OR($A405="",'04 Prices'!F405="",'04 Prices'!F406=""),"",'04 Prices'!F406/'04 Prices'!F405-1)</f>
        <v/>
      </c>
      <c r="G405" s="25">
        <f>IF(OR($A405="",'04 Prices'!G405="",'04 Prices'!G406=""),"",'04 Prices'!G406/'04 Prices'!G405-1)</f>
        <v/>
      </c>
      <c r="H405" s="25">
        <f>IF(OR($A405="",'04 Prices'!H405="",'04 Prices'!H406=""),"",'04 Prices'!H406/'04 Prices'!H405-1)</f>
        <v/>
      </c>
    </row>
    <row r="406">
      <c r="A406" s="23">
        <f>IF('04 Prices'!A407="","",'04 Prices'!A407)</f>
        <v/>
      </c>
      <c r="B406" s="25">
        <f>IF(OR($A406="",'04 Prices'!B406="",'04 Prices'!B407=""),"",'04 Prices'!B407/'04 Prices'!B406-1)</f>
        <v/>
      </c>
      <c r="C406" s="25">
        <f>IF(OR($A406="",'04 Prices'!C406="",'04 Prices'!C407=""),"",'04 Prices'!C407/'04 Prices'!C406-1)</f>
        <v/>
      </c>
      <c r="D406" s="25">
        <f>IF(OR($A406="",'04 Prices'!D406="",'04 Prices'!D407=""),"",'04 Prices'!D407/'04 Prices'!D406-1)</f>
        <v/>
      </c>
      <c r="E406" s="25">
        <f>IF(OR($A406="",'04 Prices'!E406="",'04 Prices'!E407=""),"",'04 Prices'!E407/'04 Prices'!E406-1)</f>
        <v/>
      </c>
      <c r="F406" s="25">
        <f>IF(OR($A406="",'04 Prices'!F406="",'04 Prices'!F407=""),"",'04 Prices'!F407/'04 Prices'!F406-1)</f>
        <v/>
      </c>
      <c r="G406" s="25">
        <f>IF(OR($A406="",'04 Prices'!G406="",'04 Prices'!G407=""),"",'04 Prices'!G407/'04 Prices'!G406-1)</f>
        <v/>
      </c>
      <c r="H406" s="25">
        <f>IF(OR($A406="",'04 Prices'!H406="",'04 Prices'!H407=""),"",'04 Prices'!H407/'04 Prices'!H406-1)</f>
        <v/>
      </c>
    </row>
    <row r="407">
      <c r="A407" s="23">
        <f>IF('04 Prices'!A408="","",'04 Prices'!A408)</f>
        <v/>
      </c>
      <c r="B407" s="25">
        <f>IF(OR($A407="",'04 Prices'!B407="",'04 Prices'!B408=""),"",'04 Prices'!B408/'04 Prices'!B407-1)</f>
        <v/>
      </c>
      <c r="C407" s="25">
        <f>IF(OR($A407="",'04 Prices'!C407="",'04 Prices'!C408=""),"",'04 Prices'!C408/'04 Prices'!C407-1)</f>
        <v/>
      </c>
      <c r="D407" s="25">
        <f>IF(OR($A407="",'04 Prices'!D407="",'04 Prices'!D408=""),"",'04 Prices'!D408/'04 Prices'!D407-1)</f>
        <v/>
      </c>
      <c r="E407" s="25">
        <f>IF(OR($A407="",'04 Prices'!E407="",'04 Prices'!E408=""),"",'04 Prices'!E408/'04 Prices'!E407-1)</f>
        <v/>
      </c>
      <c r="F407" s="25">
        <f>IF(OR($A407="",'04 Prices'!F407="",'04 Prices'!F408=""),"",'04 Prices'!F408/'04 Prices'!F407-1)</f>
        <v/>
      </c>
      <c r="G407" s="25">
        <f>IF(OR($A407="",'04 Prices'!G407="",'04 Prices'!G408=""),"",'04 Prices'!G408/'04 Prices'!G407-1)</f>
        <v/>
      </c>
      <c r="H407" s="25">
        <f>IF(OR($A407="",'04 Prices'!H407="",'04 Prices'!H408=""),"",'04 Prices'!H408/'04 Prices'!H407-1)</f>
        <v/>
      </c>
    </row>
    <row r="408">
      <c r="A408" s="23">
        <f>IF('04 Prices'!A409="","",'04 Prices'!A409)</f>
        <v/>
      </c>
      <c r="B408" s="25">
        <f>IF(OR($A408="",'04 Prices'!B408="",'04 Prices'!B409=""),"",'04 Prices'!B409/'04 Prices'!B408-1)</f>
        <v/>
      </c>
      <c r="C408" s="25">
        <f>IF(OR($A408="",'04 Prices'!C408="",'04 Prices'!C409=""),"",'04 Prices'!C409/'04 Prices'!C408-1)</f>
        <v/>
      </c>
      <c r="D408" s="25">
        <f>IF(OR($A408="",'04 Prices'!D408="",'04 Prices'!D409=""),"",'04 Prices'!D409/'04 Prices'!D408-1)</f>
        <v/>
      </c>
      <c r="E408" s="25">
        <f>IF(OR($A408="",'04 Prices'!E408="",'04 Prices'!E409=""),"",'04 Prices'!E409/'04 Prices'!E408-1)</f>
        <v/>
      </c>
      <c r="F408" s="25">
        <f>IF(OR($A408="",'04 Prices'!F408="",'04 Prices'!F409=""),"",'04 Prices'!F409/'04 Prices'!F408-1)</f>
        <v/>
      </c>
      <c r="G408" s="25">
        <f>IF(OR($A408="",'04 Prices'!G408="",'04 Prices'!G409=""),"",'04 Prices'!G409/'04 Prices'!G408-1)</f>
        <v/>
      </c>
      <c r="H408" s="25">
        <f>IF(OR($A408="",'04 Prices'!H408="",'04 Prices'!H409=""),"",'04 Prices'!H409/'04 Prices'!H408-1)</f>
        <v/>
      </c>
    </row>
    <row r="409">
      <c r="A409" s="23">
        <f>IF('04 Prices'!A410="","",'04 Prices'!A410)</f>
        <v/>
      </c>
      <c r="B409" s="25">
        <f>IF(OR($A409="",'04 Prices'!B409="",'04 Prices'!B410=""),"",'04 Prices'!B410/'04 Prices'!B409-1)</f>
        <v/>
      </c>
      <c r="C409" s="25">
        <f>IF(OR($A409="",'04 Prices'!C409="",'04 Prices'!C410=""),"",'04 Prices'!C410/'04 Prices'!C409-1)</f>
        <v/>
      </c>
      <c r="D409" s="25">
        <f>IF(OR($A409="",'04 Prices'!D409="",'04 Prices'!D410=""),"",'04 Prices'!D410/'04 Prices'!D409-1)</f>
        <v/>
      </c>
      <c r="E409" s="25">
        <f>IF(OR($A409="",'04 Prices'!E409="",'04 Prices'!E410=""),"",'04 Prices'!E410/'04 Prices'!E409-1)</f>
        <v/>
      </c>
      <c r="F409" s="25">
        <f>IF(OR($A409="",'04 Prices'!F409="",'04 Prices'!F410=""),"",'04 Prices'!F410/'04 Prices'!F409-1)</f>
        <v/>
      </c>
      <c r="G409" s="25">
        <f>IF(OR($A409="",'04 Prices'!G409="",'04 Prices'!G410=""),"",'04 Prices'!G410/'04 Prices'!G409-1)</f>
        <v/>
      </c>
      <c r="H409" s="25">
        <f>IF(OR($A409="",'04 Prices'!H409="",'04 Prices'!H410=""),"",'04 Prices'!H410/'04 Prices'!H409-1)</f>
        <v/>
      </c>
    </row>
    <row r="410">
      <c r="A410" s="23">
        <f>IF('04 Prices'!A411="","",'04 Prices'!A411)</f>
        <v/>
      </c>
      <c r="B410" s="25">
        <f>IF(OR($A410="",'04 Prices'!B410="",'04 Prices'!B411=""),"",'04 Prices'!B411/'04 Prices'!B410-1)</f>
        <v/>
      </c>
      <c r="C410" s="25">
        <f>IF(OR($A410="",'04 Prices'!C410="",'04 Prices'!C411=""),"",'04 Prices'!C411/'04 Prices'!C410-1)</f>
        <v/>
      </c>
      <c r="D410" s="25">
        <f>IF(OR($A410="",'04 Prices'!D410="",'04 Prices'!D411=""),"",'04 Prices'!D411/'04 Prices'!D410-1)</f>
        <v/>
      </c>
      <c r="E410" s="25">
        <f>IF(OR($A410="",'04 Prices'!E410="",'04 Prices'!E411=""),"",'04 Prices'!E411/'04 Prices'!E410-1)</f>
        <v/>
      </c>
      <c r="F410" s="25">
        <f>IF(OR($A410="",'04 Prices'!F410="",'04 Prices'!F411=""),"",'04 Prices'!F411/'04 Prices'!F410-1)</f>
        <v/>
      </c>
      <c r="G410" s="25">
        <f>IF(OR($A410="",'04 Prices'!G410="",'04 Prices'!G411=""),"",'04 Prices'!G411/'04 Prices'!G410-1)</f>
        <v/>
      </c>
      <c r="H410" s="25">
        <f>IF(OR($A410="",'04 Prices'!H410="",'04 Prices'!H411=""),"",'04 Prices'!H411/'04 Prices'!H410-1)</f>
        <v/>
      </c>
    </row>
    <row r="411">
      <c r="A411" s="23">
        <f>IF('04 Prices'!A412="","",'04 Prices'!A412)</f>
        <v/>
      </c>
      <c r="B411" s="25">
        <f>IF(OR($A411="",'04 Prices'!B411="",'04 Prices'!B412=""),"",'04 Prices'!B412/'04 Prices'!B411-1)</f>
        <v/>
      </c>
      <c r="C411" s="25">
        <f>IF(OR($A411="",'04 Prices'!C411="",'04 Prices'!C412=""),"",'04 Prices'!C412/'04 Prices'!C411-1)</f>
        <v/>
      </c>
      <c r="D411" s="25">
        <f>IF(OR($A411="",'04 Prices'!D411="",'04 Prices'!D412=""),"",'04 Prices'!D412/'04 Prices'!D411-1)</f>
        <v/>
      </c>
      <c r="E411" s="25">
        <f>IF(OR($A411="",'04 Prices'!E411="",'04 Prices'!E412=""),"",'04 Prices'!E412/'04 Prices'!E411-1)</f>
        <v/>
      </c>
      <c r="F411" s="25">
        <f>IF(OR($A411="",'04 Prices'!F411="",'04 Prices'!F412=""),"",'04 Prices'!F412/'04 Prices'!F411-1)</f>
        <v/>
      </c>
      <c r="G411" s="25">
        <f>IF(OR($A411="",'04 Prices'!G411="",'04 Prices'!G412=""),"",'04 Prices'!G412/'04 Prices'!G411-1)</f>
        <v/>
      </c>
      <c r="H411" s="25">
        <f>IF(OR($A411="",'04 Prices'!H411="",'04 Prices'!H412=""),"",'04 Prices'!H412/'04 Prices'!H411-1)</f>
        <v/>
      </c>
    </row>
    <row r="412">
      <c r="A412" s="23">
        <f>IF('04 Prices'!A413="","",'04 Prices'!A413)</f>
        <v/>
      </c>
      <c r="B412" s="25">
        <f>IF(OR($A412="",'04 Prices'!B412="",'04 Prices'!B413=""),"",'04 Prices'!B413/'04 Prices'!B412-1)</f>
        <v/>
      </c>
      <c r="C412" s="25">
        <f>IF(OR($A412="",'04 Prices'!C412="",'04 Prices'!C413=""),"",'04 Prices'!C413/'04 Prices'!C412-1)</f>
        <v/>
      </c>
      <c r="D412" s="25">
        <f>IF(OR($A412="",'04 Prices'!D412="",'04 Prices'!D413=""),"",'04 Prices'!D413/'04 Prices'!D412-1)</f>
        <v/>
      </c>
      <c r="E412" s="25">
        <f>IF(OR($A412="",'04 Prices'!E412="",'04 Prices'!E413=""),"",'04 Prices'!E413/'04 Prices'!E412-1)</f>
        <v/>
      </c>
      <c r="F412" s="25">
        <f>IF(OR($A412="",'04 Prices'!F412="",'04 Prices'!F413=""),"",'04 Prices'!F413/'04 Prices'!F412-1)</f>
        <v/>
      </c>
      <c r="G412" s="25">
        <f>IF(OR($A412="",'04 Prices'!G412="",'04 Prices'!G413=""),"",'04 Prices'!G413/'04 Prices'!G412-1)</f>
        <v/>
      </c>
      <c r="H412" s="25">
        <f>IF(OR($A412="",'04 Prices'!H412="",'04 Prices'!H413=""),"",'04 Prices'!H413/'04 Prices'!H412-1)</f>
        <v/>
      </c>
    </row>
    <row r="413">
      <c r="A413" s="23">
        <f>IF('04 Prices'!A414="","",'04 Prices'!A414)</f>
        <v/>
      </c>
      <c r="B413" s="25">
        <f>IF(OR($A413="",'04 Prices'!B413="",'04 Prices'!B414=""),"",'04 Prices'!B414/'04 Prices'!B413-1)</f>
        <v/>
      </c>
      <c r="C413" s="25">
        <f>IF(OR($A413="",'04 Prices'!C413="",'04 Prices'!C414=""),"",'04 Prices'!C414/'04 Prices'!C413-1)</f>
        <v/>
      </c>
      <c r="D413" s="25">
        <f>IF(OR($A413="",'04 Prices'!D413="",'04 Prices'!D414=""),"",'04 Prices'!D414/'04 Prices'!D413-1)</f>
        <v/>
      </c>
      <c r="E413" s="25">
        <f>IF(OR($A413="",'04 Prices'!E413="",'04 Prices'!E414=""),"",'04 Prices'!E414/'04 Prices'!E413-1)</f>
        <v/>
      </c>
      <c r="F413" s="25">
        <f>IF(OR($A413="",'04 Prices'!F413="",'04 Prices'!F414=""),"",'04 Prices'!F414/'04 Prices'!F413-1)</f>
        <v/>
      </c>
      <c r="G413" s="25">
        <f>IF(OR($A413="",'04 Prices'!G413="",'04 Prices'!G414=""),"",'04 Prices'!G414/'04 Prices'!G413-1)</f>
        <v/>
      </c>
      <c r="H413" s="25">
        <f>IF(OR($A413="",'04 Prices'!H413="",'04 Prices'!H414=""),"",'04 Prices'!H414/'04 Prices'!H413-1)</f>
        <v/>
      </c>
    </row>
    <row r="414">
      <c r="A414" s="23">
        <f>IF('04 Prices'!A415="","",'04 Prices'!A415)</f>
        <v/>
      </c>
      <c r="B414" s="25">
        <f>IF(OR($A414="",'04 Prices'!B414="",'04 Prices'!B415=""),"",'04 Prices'!B415/'04 Prices'!B414-1)</f>
        <v/>
      </c>
      <c r="C414" s="25">
        <f>IF(OR($A414="",'04 Prices'!C414="",'04 Prices'!C415=""),"",'04 Prices'!C415/'04 Prices'!C414-1)</f>
        <v/>
      </c>
      <c r="D414" s="25">
        <f>IF(OR($A414="",'04 Prices'!D414="",'04 Prices'!D415=""),"",'04 Prices'!D415/'04 Prices'!D414-1)</f>
        <v/>
      </c>
      <c r="E414" s="25">
        <f>IF(OR($A414="",'04 Prices'!E414="",'04 Prices'!E415=""),"",'04 Prices'!E415/'04 Prices'!E414-1)</f>
        <v/>
      </c>
      <c r="F414" s="25">
        <f>IF(OR($A414="",'04 Prices'!F414="",'04 Prices'!F415=""),"",'04 Prices'!F415/'04 Prices'!F414-1)</f>
        <v/>
      </c>
      <c r="G414" s="25">
        <f>IF(OR($A414="",'04 Prices'!G414="",'04 Prices'!G415=""),"",'04 Prices'!G415/'04 Prices'!G414-1)</f>
        <v/>
      </c>
      <c r="H414" s="25">
        <f>IF(OR($A414="",'04 Prices'!H414="",'04 Prices'!H415=""),"",'04 Prices'!H415/'04 Prices'!H414-1)</f>
        <v/>
      </c>
    </row>
    <row r="415">
      <c r="A415" s="23">
        <f>IF('04 Prices'!A416="","",'04 Prices'!A416)</f>
        <v/>
      </c>
      <c r="B415" s="25">
        <f>IF(OR($A415="",'04 Prices'!B415="",'04 Prices'!B416=""),"",'04 Prices'!B416/'04 Prices'!B415-1)</f>
        <v/>
      </c>
      <c r="C415" s="25">
        <f>IF(OR($A415="",'04 Prices'!C415="",'04 Prices'!C416=""),"",'04 Prices'!C416/'04 Prices'!C415-1)</f>
        <v/>
      </c>
      <c r="D415" s="25">
        <f>IF(OR($A415="",'04 Prices'!D415="",'04 Prices'!D416=""),"",'04 Prices'!D416/'04 Prices'!D415-1)</f>
        <v/>
      </c>
      <c r="E415" s="25">
        <f>IF(OR($A415="",'04 Prices'!E415="",'04 Prices'!E416=""),"",'04 Prices'!E416/'04 Prices'!E415-1)</f>
        <v/>
      </c>
      <c r="F415" s="25">
        <f>IF(OR($A415="",'04 Prices'!F415="",'04 Prices'!F416=""),"",'04 Prices'!F416/'04 Prices'!F415-1)</f>
        <v/>
      </c>
      <c r="G415" s="25">
        <f>IF(OR($A415="",'04 Prices'!G415="",'04 Prices'!G416=""),"",'04 Prices'!G416/'04 Prices'!G415-1)</f>
        <v/>
      </c>
      <c r="H415" s="25">
        <f>IF(OR($A415="",'04 Prices'!H415="",'04 Prices'!H416=""),"",'04 Prices'!H416/'04 Prices'!H415-1)</f>
        <v/>
      </c>
    </row>
    <row r="416">
      <c r="A416" s="23">
        <f>IF('04 Prices'!A417="","",'04 Prices'!A417)</f>
        <v/>
      </c>
      <c r="B416" s="25">
        <f>IF(OR($A416="",'04 Prices'!B416="",'04 Prices'!B417=""),"",'04 Prices'!B417/'04 Prices'!B416-1)</f>
        <v/>
      </c>
      <c r="C416" s="25">
        <f>IF(OR($A416="",'04 Prices'!C416="",'04 Prices'!C417=""),"",'04 Prices'!C417/'04 Prices'!C416-1)</f>
        <v/>
      </c>
      <c r="D416" s="25">
        <f>IF(OR($A416="",'04 Prices'!D416="",'04 Prices'!D417=""),"",'04 Prices'!D417/'04 Prices'!D416-1)</f>
        <v/>
      </c>
      <c r="E416" s="25">
        <f>IF(OR($A416="",'04 Prices'!E416="",'04 Prices'!E417=""),"",'04 Prices'!E417/'04 Prices'!E416-1)</f>
        <v/>
      </c>
      <c r="F416" s="25">
        <f>IF(OR($A416="",'04 Prices'!F416="",'04 Prices'!F417=""),"",'04 Prices'!F417/'04 Prices'!F416-1)</f>
        <v/>
      </c>
      <c r="G416" s="25">
        <f>IF(OR($A416="",'04 Prices'!G416="",'04 Prices'!G417=""),"",'04 Prices'!G417/'04 Prices'!G416-1)</f>
        <v/>
      </c>
      <c r="H416" s="25">
        <f>IF(OR($A416="",'04 Prices'!H416="",'04 Prices'!H417=""),"",'04 Prices'!H417/'04 Prices'!H416-1)</f>
        <v/>
      </c>
    </row>
    <row r="417">
      <c r="A417" s="23">
        <f>IF('04 Prices'!A418="","",'04 Prices'!A418)</f>
        <v/>
      </c>
      <c r="B417" s="25">
        <f>IF(OR($A417="",'04 Prices'!B417="",'04 Prices'!B418=""),"",'04 Prices'!B418/'04 Prices'!B417-1)</f>
        <v/>
      </c>
      <c r="C417" s="25">
        <f>IF(OR($A417="",'04 Prices'!C417="",'04 Prices'!C418=""),"",'04 Prices'!C418/'04 Prices'!C417-1)</f>
        <v/>
      </c>
      <c r="D417" s="25">
        <f>IF(OR($A417="",'04 Prices'!D417="",'04 Prices'!D418=""),"",'04 Prices'!D418/'04 Prices'!D417-1)</f>
        <v/>
      </c>
      <c r="E417" s="25">
        <f>IF(OR($A417="",'04 Prices'!E417="",'04 Prices'!E418=""),"",'04 Prices'!E418/'04 Prices'!E417-1)</f>
        <v/>
      </c>
      <c r="F417" s="25">
        <f>IF(OR($A417="",'04 Prices'!F417="",'04 Prices'!F418=""),"",'04 Prices'!F418/'04 Prices'!F417-1)</f>
        <v/>
      </c>
      <c r="G417" s="25">
        <f>IF(OR($A417="",'04 Prices'!G417="",'04 Prices'!G418=""),"",'04 Prices'!G418/'04 Prices'!G417-1)</f>
        <v/>
      </c>
      <c r="H417" s="25">
        <f>IF(OR($A417="",'04 Prices'!H417="",'04 Prices'!H418=""),"",'04 Prices'!H418/'04 Prices'!H417-1)</f>
        <v/>
      </c>
    </row>
    <row r="418">
      <c r="A418" s="23">
        <f>IF('04 Prices'!A419="","",'04 Prices'!A419)</f>
        <v/>
      </c>
      <c r="B418" s="25">
        <f>IF(OR($A418="",'04 Prices'!B418="",'04 Prices'!B419=""),"",'04 Prices'!B419/'04 Prices'!B418-1)</f>
        <v/>
      </c>
      <c r="C418" s="25">
        <f>IF(OR($A418="",'04 Prices'!C418="",'04 Prices'!C419=""),"",'04 Prices'!C419/'04 Prices'!C418-1)</f>
        <v/>
      </c>
      <c r="D418" s="25">
        <f>IF(OR($A418="",'04 Prices'!D418="",'04 Prices'!D419=""),"",'04 Prices'!D419/'04 Prices'!D418-1)</f>
        <v/>
      </c>
      <c r="E418" s="25">
        <f>IF(OR($A418="",'04 Prices'!E418="",'04 Prices'!E419=""),"",'04 Prices'!E419/'04 Prices'!E418-1)</f>
        <v/>
      </c>
      <c r="F418" s="25">
        <f>IF(OR($A418="",'04 Prices'!F418="",'04 Prices'!F419=""),"",'04 Prices'!F419/'04 Prices'!F418-1)</f>
        <v/>
      </c>
      <c r="G418" s="25">
        <f>IF(OR($A418="",'04 Prices'!G418="",'04 Prices'!G419=""),"",'04 Prices'!G419/'04 Prices'!G418-1)</f>
        <v/>
      </c>
      <c r="H418" s="25">
        <f>IF(OR($A418="",'04 Prices'!H418="",'04 Prices'!H419=""),"",'04 Prices'!H419/'04 Prices'!H418-1)</f>
        <v/>
      </c>
    </row>
    <row r="419">
      <c r="A419" s="23">
        <f>IF('04 Prices'!A420="","",'04 Prices'!A420)</f>
        <v/>
      </c>
      <c r="B419" s="25">
        <f>IF(OR($A419="",'04 Prices'!B419="",'04 Prices'!B420=""),"",'04 Prices'!B420/'04 Prices'!B419-1)</f>
        <v/>
      </c>
      <c r="C419" s="25">
        <f>IF(OR($A419="",'04 Prices'!C419="",'04 Prices'!C420=""),"",'04 Prices'!C420/'04 Prices'!C419-1)</f>
        <v/>
      </c>
      <c r="D419" s="25">
        <f>IF(OR($A419="",'04 Prices'!D419="",'04 Prices'!D420=""),"",'04 Prices'!D420/'04 Prices'!D419-1)</f>
        <v/>
      </c>
      <c r="E419" s="25">
        <f>IF(OR($A419="",'04 Prices'!E419="",'04 Prices'!E420=""),"",'04 Prices'!E420/'04 Prices'!E419-1)</f>
        <v/>
      </c>
      <c r="F419" s="25">
        <f>IF(OR($A419="",'04 Prices'!F419="",'04 Prices'!F420=""),"",'04 Prices'!F420/'04 Prices'!F419-1)</f>
        <v/>
      </c>
      <c r="G419" s="25">
        <f>IF(OR($A419="",'04 Prices'!G419="",'04 Prices'!G420=""),"",'04 Prices'!G420/'04 Prices'!G419-1)</f>
        <v/>
      </c>
      <c r="H419" s="25">
        <f>IF(OR($A419="",'04 Prices'!H419="",'04 Prices'!H420=""),"",'04 Prices'!H420/'04 Prices'!H419-1)</f>
        <v/>
      </c>
    </row>
    <row r="420">
      <c r="A420" s="23">
        <f>IF('04 Prices'!A421="","",'04 Prices'!A421)</f>
        <v/>
      </c>
      <c r="B420" s="25">
        <f>IF(OR($A420="",'04 Prices'!B420="",'04 Prices'!B421=""),"",'04 Prices'!B421/'04 Prices'!B420-1)</f>
        <v/>
      </c>
      <c r="C420" s="25">
        <f>IF(OR($A420="",'04 Prices'!C420="",'04 Prices'!C421=""),"",'04 Prices'!C421/'04 Prices'!C420-1)</f>
        <v/>
      </c>
      <c r="D420" s="25">
        <f>IF(OR($A420="",'04 Prices'!D420="",'04 Prices'!D421=""),"",'04 Prices'!D421/'04 Prices'!D420-1)</f>
        <v/>
      </c>
      <c r="E420" s="25">
        <f>IF(OR($A420="",'04 Prices'!E420="",'04 Prices'!E421=""),"",'04 Prices'!E421/'04 Prices'!E420-1)</f>
        <v/>
      </c>
      <c r="F420" s="25">
        <f>IF(OR($A420="",'04 Prices'!F420="",'04 Prices'!F421=""),"",'04 Prices'!F421/'04 Prices'!F420-1)</f>
        <v/>
      </c>
      <c r="G420" s="25">
        <f>IF(OR($A420="",'04 Prices'!G420="",'04 Prices'!G421=""),"",'04 Prices'!G421/'04 Prices'!G420-1)</f>
        <v/>
      </c>
      <c r="H420" s="25">
        <f>IF(OR($A420="",'04 Prices'!H420="",'04 Prices'!H421=""),"",'04 Prices'!H421/'04 Prices'!H420-1)</f>
        <v/>
      </c>
    </row>
    <row r="421">
      <c r="A421" s="23">
        <f>IF('04 Prices'!A422="","",'04 Prices'!A422)</f>
        <v/>
      </c>
      <c r="B421" s="25">
        <f>IF(OR($A421="",'04 Prices'!B421="",'04 Prices'!B422=""),"",'04 Prices'!B422/'04 Prices'!B421-1)</f>
        <v/>
      </c>
      <c r="C421" s="25">
        <f>IF(OR($A421="",'04 Prices'!C421="",'04 Prices'!C422=""),"",'04 Prices'!C422/'04 Prices'!C421-1)</f>
        <v/>
      </c>
      <c r="D421" s="25">
        <f>IF(OR($A421="",'04 Prices'!D421="",'04 Prices'!D422=""),"",'04 Prices'!D422/'04 Prices'!D421-1)</f>
        <v/>
      </c>
      <c r="E421" s="25">
        <f>IF(OR($A421="",'04 Prices'!E421="",'04 Prices'!E422=""),"",'04 Prices'!E422/'04 Prices'!E421-1)</f>
        <v/>
      </c>
      <c r="F421" s="25">
        <f>IF(OR($A421="",'04 Prices'!F421="",'04 Prices'!F422=""),"",'04 Prices'!F422/'04 Prices'!F421-1)</f>
        <v/>
      </c>
      <c r="G421" s="25">
        <f>IF(OR($A421="",'04 Prices'!G421="",'04 Prices'!G422=""),"",'04 Prices'!G422/'04 Prices'!G421-1)</f>
        <v/>
      </c>
      <c r="H421" s="25">
        <f>IF(OR($A421="",'04 Prices'!H421="",'04 Prices'!H422=""),"",'04 Prices'!H422/'04 Prices'!H421-1)</f>
        <v/>
      </c>
    </row>
    <row r="422">
      <c r="A422" s="23">
        <f>IF('04 Prices'!A423="","",'04 Prices'!A423)</f>
        <v/>
      </c>
      <c r="B422" s="25">
        <f>IF(OR($A422="",'04 Prices'!B422="",'04 Prices'!B423=""),"",'04 Prices'!B423/'04 Prices'!B422-1)</f>
        <v/>
      </c>
      <c r="C422" s="25">
        <f>IF(OR($A422="",'04 Prices'!C422="",'04 Prices'!C423=""),"",'04 Prices'!C423/'04 Prices'!C422-1)</f>
        <v/>
      </c>
      <c r="D422" s="25">
        <f>IF(OR($A422="",'04 Prices'!D422="",'04 Prices'!D423=""),"",'04 Prices'!D423/'04 Prices'!D422-1)</f>
        <v/>
      </c>
      <c r="E422" s="25">
        <f>IF(OR($A422="",'04 Prices'!E422="",'04 Prices'!E423=""),"",'04 Prices'!E423/'04 Prices'!E422-1)</f>
        <v/>
      </c>
      <c r="F422" s="25">
        <f>IF(OR($A422="",'04 Prices'!F422="",'04 Prices'!F423=""),"",'04 Prices'!F423/'04 Prices'!F422-1)</f>
        <v/>
      </c>
      <c r="G422" s="25">
        <f>IF(OR($A422="",'04 Prices'!G422="",'04 Prices'!G423=""),"",'04 Prices'!G423/'04 Prices'!G422-1)</f>
        <v/>
      </c>
      <c r="H422" s="25">
        <f>IF(OR($A422="",'04 Prices'!H422="",'04 Prices'!H423=""),"",'04 Prices'!H423/'04 Prices'!H422-1)</f>
        <v/>
      </c>
    </row>
    <row r="423">
      <c r="A423" s="23">
        <f>IF('04 Prices'!A424="","",'04 Prices'!A424)</f>
        <v/>
      </c>
      <c r="B423" s="25">
        <f>IF(OR($A423="",'04 Prices'!B423="",'04 Prices'!B424=""),"",'04 Prices'!B424/'04 Prices'!B423-1)</f>
        <v/>
      </c>
      <c r="C423" s="25">
        <f>IF(OR($A423="",'04 Prices'!C423="",'04 Prices'!C424=""),"",'04 Prices'!C424/'04 Prices'!C423-1)</f>
        <v/>
      </c>
      <c r="D423" s="25">
        <f>IF(OR($A423="",'04 Prices'!D423="",'04 Prices'!D424=""),"",'04 Prices'!D424/'04 Prices'!D423-1)</f>
        <v/>
      </c>
      <c r="E423" s="25">
        <f>IF(OR($A423="",'04 Prices'!E423="",'04 Prices'!E424=""),"",'04 Prices'!E424/'04 Prices'!E423-1)</f>
        <v/>
      </c>
      <c r="F423" s="25">
        <f>IF(OR($A423="",'04 Prices'!F423="",'04 Prices'!F424=""),"",'04 Prices'!F424/'04 Prices'!F423-1)</f>
        <v/>
      </c>
      <c r="G423" s="25">
        <f>IF(OR($A423="",'04 Prices'!G423="",'04 Prices'!G424=""),"",'04 Prices'!G424/'04 Prices'!G423-1)</f>
        <v/>
      </c>
      <c r="H423" s="25">
        <f>IF(OR($A423="",'04 Prices'!H423="",'04 Prices'!H424=""),"",'04 Prices'!H424/'04 Prices'!H423-1)</f>
        <v/>
      </c>
    </row>
    <row r="424">
      <c r="A424" s="23">
        <f>IF('04 Prices'!A425="","",'04 Prices'!A425)</f>
        <v/>
      </c>
      <c r="B424" s="25">
        <f>IF(OR($A424="",'04 Prices'!B424="",'04 Prices'!B425=""),"",'04 Prices'!B425/'04 Prices'!B424-1)</f>
        <v/>
      </c>
      <c r="C424" s="25">
        <f>IF(OR($A424="",'04 Prices'!C424="",'04 Prices'!C425=""),"",'04 Prices'!C425/'04 Prices'!C424-1)</f>
        <v/>
      </c>
      <c r="D424" s="25">
        <f>IF(OR($A424="",'04 Prices'!D424="",'04 Prices'!D425=""),"",'04 Prices'!D425/'04 Prices'!D424-1)</f>
        <v/>
      </c>
      <c r="E424" s="25">
        <f>IF(OR($A424="",'04 Prices'!E424="",'04 Prices'!E425=""),"",'04 Prices'!E425/'04 Prices'!E424-1)</f>
        <v/>
      </c>
      <c r="F424" s="25">
        <f>IF(OR($A424="",'04 Prices'!F424="",'04 Prices'!F425=""),"",'04 Prices'!F425/'04 Prices'!F424-1)</f>
        <v/>
      </c>
      <c r="G424" s="25">
        <f>IF(OR($A424="",'04 Prices'!G424="",'04 Prices'!G425=""),"",'04 Prices'!G425/'04 Prices'!G424-1)</f>
        <v/>
      </c>
      <c r="H424" s="25">
        <f>IF(OR($A424="",'04 Prices'!H424="",'04 Prices'!H425=""),"",'04 Prices'!H425/'04 Prices'!H424-1)</f>
        <v/>
      </c>
    </row>
    <row r="425">
      <c r="A425" s="23">
        <f>IF('04 Prices'!A426="","",'04 Prices'!A426)</f>
        <v/>
      </c>
      <c r="B425" s="25">
        <f>IF(OR($A425="",'04 Prices'!B425="",'04 Prices'!B426=""),"",'04 Prices'!B426/'04 Prices'!B425-1)</f>
        <v/>
      </c>
      <c r="C425" s="25">
        <f>IF(OR($A425="",'04 Prices'!C425="",'04 Prices'!C426=""),"",'04 Prices'!C426/'04 Prices'!C425-1)</f>
        <v/>
      </c>
      <c r="D425" s="25">
        <f>IF(OR($A425="",'04 Prices'!D425="",'04 Prices'!D426=""),"",'04 Prices'!D426/'04 Prices'!D425-1)</f>
        <v/>
      </c>
      <c r="E425" s="25">
        <f>IF(OR($A425="",'04 Prices'!E425="",'04 Prices'!E426=""),"",'04 Prices'!E426/'04 Prices'!E425-1)</f>
        <v/>
      </c>
      <c r="F425" s="25">
        <f>IF(OR($A425="",'04 Prices'!F425="",'04 Prices'!F426=""),"",'04 Prices'!F426/'04 Prices'!F425-1)</f>
        <v/>
      </c>
      <c r="G425" s="25">
        <f>IF(OR($A425="",'04 Prices'!G425="",'04 Prices'!G426=""),"",'04 Prices'!G426/'04 Prices'!G425-1)</f>
        <v/>
      </c>
      <c r="H425" s="25">
        <f>IF(OR($A425="",'04 Prices'!H425="",'04 Prices'!H426=""),"",'04 Prices'!H426/'04 Prices'!H425-1)</f>
        <v/>
      </c>
    </row>
    <row r="426">
      <c r="A426" s="23">
        <f>IF('04 Prices'!A427="","",'04 Prices'!A427)</f>
        <v/>
      </c>
      <c r="B426" s="25">
        <f>IF(OR($A426="",'04 Prices'!B426="",'04 Prices'!B427=""),"",'04 Prices'!B427/'04 Prices'!B426-1)</f>
        <v/>
      </c>
      <c r="C426" s="25">
        <f>IF(OR($A426="",'04 Prices'!C426="",'04 Prices'!C427=""),"",'04 Prices'!C427/'04 Prices'!C426-1)</f>
        <v/>
      </c>
      <c r="D426" s="25">
        <f>IF(OR($A426="",'04 Prices'!D426="",'04 Prices'!D427=""),"",'04 Prices'!D427/'04 Prices'!D426-1)</f>
        <v/>
      </c>
      <c r="E426" s="25">
        <f>IF(OR($A426="",'04 Prices'!E426="",'04 Prices'!E427=""),"",'04 Prices'!E427/'04 Prices'!E426-1)</f>
        <v/>
      </c>
      <c r="F426" s="25">
        <f>IF(OR($A426="",'04 Prices'!F426="",'04 Prices'!F427=""),"",'04 Prices'!F427/'04 Prices'!F426-1)</f>
        <v/>
      </c>
      <c r="G426" s="25">
        <f>IF(OR($A426="",'04 Prices'!G426="",'04 Prices'!G427=""),"",'04 Prices'!G427/'04 Prices'!G426-1)</f>
        <v/>
      </c>
      <c r="H426" s="25">
        <f>IF(OR($A426="",'04 Prices'!H426="",'04 Prices'!H427=""),"",'04 Prices'!H427/'04 Prices'!H426-1)</f>
        <v/>
      </c>
    </row>
    <row r="427">
      <c r="A427" s="23">
        <f>IF('04 Prices'!A428="","",'04 Prices'!A428)</f>
        <v/>
      </c>
      <c r="B427" s="25">
        <f>IF(OR($A427="",'04 Prices'!B427="",'04 Prices'!B428=""),"",'04 Prices'!B428/'04 Prices'!B427-1)</f>
        <v/>
      </c>
      <c r="C427" s="25">
        <f>IF(OR($A427="",'04 Prices'!C427="",'04 Prices'!C428=""),"",'04 Prices'!C428/'04 Prices'!C427-1)</f>
        <v/>
      </c>
      <c r="D427" s="25">
        <f>IF(OR($A427="",'04 Prices'!D427="",'04 Prices'!D428=""),"",'04 Prices'!D428/'04 Prices'!D427-1)</f>
        <v/>
      </c>
      <c r="E427" s="25">
        <f>IF(OR($A427="",'04 Prices'!E427="",'04 Prices'!E428=""),"",'04 Prices'!E428/'04 Prices'!E427-1)</f>
        <v/>
      </c>
      <c r="F427" s="25">
        <f>IF(OR($A427="",'04 Prices'!F427="",'04 Prices'!F428=""),"",'04 Prices'!F428/'04 Prices'!F427-1)</f>
        <v/>
      </c>
      <c r="G427" s="25">
        <f>IF(OR($A427="",'04 Prices'!G427="",'04 Prices'!G428=""),"",'04 Prices'!G428/'04 Prices'!G427-1)</f>
        <v/>
      </c>
      <c r="H427" s="25">
        <f>IF(OR($A427="",'04 Prices'!H427="",'04 Prices'!H428=""),"",'04 Prices'!H428/'04 Prices'!H427-1)</f>
        <v/>
      </c>
    </row>
    <row r="428">
      <c r="A428" s="23">
        <f>IF('04 Prices'!A429="","",'04 Prices'!A429)</f>
        <v/>
      </c>
      <c r="B428" s="25">
        <f>IF(OR($A428="",'04 Prices'!B428="",'04 Prices'!B429=""),"",'04 Prices'!B429/'04 Prices'!B428-1)</f>
        <v/>
      </c>
      <c r="C428" s="25">
        <f>IF(OR($A428="",'04 Prices'!C428="",'04 Prices'!C429=""),"",'04 Prices'!C429/'04 Prices'!C428-1)</f>
        <v/>
      </c>
      <c r="D428" s="25">
        <f>IF(OR($A428="",'04 Prices'!D428="",'04 Prices'!D429=""),"",'04 Prices'!D429/'04 Prices'!D428-1)</f>
        <v/>
      </c>
      <c r="E428" s="25">
        <f>IF(OR($A428="",'04 Prices'!E428="",'04 Prices'!E429=""),"",'04 Prices'!E429/'04 Prices'!E428-1)</f>
        <v/>
      </c>
      <c r="F428" s="25">
        <f>IF(OR($A428="",'04 Prices'!F428="",'04 Prices'!F429=""),"",'04 Prices'!F429/'04 Prices'!F428-1)</f>
        <v/>
      </c>
      <c r="G428" s="25">
        <f>IF(OR($A428="",'04 Prices'!G428="",'04 Prices'!G429=""),"",'04 Prices'!G429/'04 Prices'!G428-1)</f>
        <v/>
      </c>
      <c r="H428" s="25">
        <f>IF(OR($A428="",'04 Prices'!H428="",'04 Prices'!H429=""),"",'04 Prices'!H429/'04 Prices'!H428-1)</f>
        <v/>
      </c>
    </row>
    <row r="429">
      <c r="A429" s="23">
        <f>IF('04 Prices'!A430="","",'04 Prices'!A430)</f>
        <v/>
      </c>
      <c r="B429" s="25">
        <f>IF(OR($A429="",'04 Prices'!B429="",'04 Prices'!B430=""),"",'04 Prices'!B430/'04 Prices'!B429-1)</f>
        <v/>
      </c>
      <c r="C429" s="25">
        <f>IF(OR($A429="",'04 Prices'!C429="",'04 Prices'!C430=""),"",'04 Prices'!C430/'04 Prices'!C429-1)</f>
        <v/>
      </c>
      <c r="D429" s="25">
        <f>IF(OR($A429="",'04 Prices'!D429="",'04 Prices'!D430=""),"",'04 Prices'!D430/'04 Prices'!D429-1)</f>
        <v/>
      </c>
      <c r="E429" s="25">
        <f>IF(OR($A429="",'04 Prices'!E429="",'04 Prices'!E430=""),"",'04 Prices'!E430/'04 Prices'!E429-1)</f>
        <v/>
      </c>
      <c r="F429" s="25">
        <f>IF(OR($A429="",'04 Prices'!F429="",'04 Prices'!F430=""),"",'04 Prices'!F430/'04 Prices'!F429-1)</f>
        <v/>
      </c>
      <c r="G429" s="25">
        <f>IF(OR($A429="",'04 Prices'!G429="",'04 Prices'!G430=""),"",'04 Prices'!G430/'04 Prices'!G429-1)</f>
        <v/>
      </c>
      <c r="H429" s="25">
        <f>IF(OR($A429="",'04 Prices'!H429="",'04 Prices'!H430=""),"",'04 Prices'!H430/'04 Prices'!H429-1)</f>
        <v/>
      </c>
    </row>
    <row r="430">
      <c r="A430" s="23">
        <f>IF('04 Prices'!A431="","",'04 Prices'!A431)</f>
        <v/>
      </c>
      <c r="B430" s="25">
        <f>IF(OR($A430="",'04 Prices'!B430="",'04 Prices'!B431=""),"",'04 Prices'!B431/'04 Prices'!B430-1)</f>
        <v/>
      </c>
      <c r="C430" s="25">
        <f>IF(OR($A430="",'04 Prices'!C430="",'04 Prices'!C431=""),"",'04 Prices'!C431/'04 Prices'!C430-1)</f>
        <v/>
      </c>
      <c r="D430" s="25">
        <f>IF(OR($A430="",'04 Prices'!D430="",'04 Prices'!D431=""),"",'04 Prices'!D431/'04 Prices'!D430-1)</f>
        <v/>
      </c>
      <c r="E430" s="25">
        <f>IF(OR($A430="",'04 Prices'!E430="",'04 Prices'!E431=""),"",'04 Prices'!E431/'04 Prices'!E430-1)</f>
        <v/>
      </c>
      <c r="F430" s="25">
        <f>IF(OR($A430="",'04 Prices'!F430="",'04 Prices'!F431=""),"",'04 Prices'!F431/'04 Prices'!F430-1)</f>
        <v/>
      </c>
      <c r="G430" s="25">
        <f>IF(OR($A430="",'04 Prices'!G430="",'04 Prices'!G431=""),"",'04 Prices'!G431/'04 Prices'!G430-1)</f>
        <v/>
      </c>
      <c r="H430" s="25">
        <f>IF(OR($A430="",'04 Prices'!H430="",'04 Prices'!H431=""),"",'04 Prices'!H431/'04 Prices'!H430-1)</f>
        <v/>
      </c>
    </row>
    <row r="431">
      <c r="A431" s="23">
        <f>IF('04 Prices'!A432="","",'04 Prices'!A432)</f>
        <v/>
      </c>
      <c r="B431" s="25">
        <f>IF(OR($A431="",'04 Prices'!B431="",'04 Prices'!B432=""),"",'04 Prices'!B432/'04 Prices'!B431-1)</f>
        <v/>
      </c>
      <c r="C431" s="25">
        <f>IF(OR($A431="",'04 Prices'!C431="",'04 Prices'!C432=""),"",'04 Prices'!C432/'04 Prices'!C431-1)</f>
        <v/>
      </c>
      <c r="D431" s="25">
        <f>IF(OR($A431="",'04 Prices'!D431="",'04 Prices'!D432=""),"",'04 Prices'!D432/'04 Prices'!D431-1)</f>
        <v/>
      </c>
      <c r="E431" s="25">
        <f>IF(OR($A431="",'04 Prices'!E431="",'04 Prices'!E432=""),"",'04 Prices'!E432/'04 Prices'!E431-1)</f>
        <v/>
      </c>
      <c r="F431" s="25">
        <f>IF(OR($A431="",'04 Prices'!F431="",'04 Prices'!F432=""),"",'04 Prices'!F432/'04 Prices'!F431-1)</f>
        <v/>
      </c>
      <c r="G431" s="25">
        <f>IF(OR($A431="",'04 Prices'!G431="",'04 Prices'!G432=""),"",'04 Prices'!G432/'04 Prices'!G431-1)</f>
        <v/>
      </c>
      <c r="H431" s="25">
        <f>IF(OR($A431="",'04 Prices'!H431="",'04 Prices'!H432=""),"",'04 Prices'!H432/'04 Prices'!H431-1)</f>
        <v/>
      </c>
    </row>
    <row r="432">
      <c r="A432" s="23">
        <f>IF('04 Prices'!A433="","",'04 Prices'!A433)</f>
        <v/>
      </c>
      <c r="B432" s="25">
        <f>IF(OR($A432="",'04 Prices'!B432="",'04 Prices'!B433=""),"",'04 Prices'!B433/'04 Prices'!B432-1)</f>
        <v/>
      </c>
      <c r="C432" s="25">
        <f>IF(OR($A432="",'04 Prices'!C432="",'04 Prices'!C433=""),"",'04 Prices'!C433/'04 Prices'!C432-1)</f>
        <v/>
      </c>
      <c r="D432" s="25">
        <f>IF(OR($A432="",'04 Prices'!D432="",'04 Prices'!D433=""),"",'04 Prices'!D433/'04 Prices'!D432-1)</f>
        <v/>
      </c>
      <c r="E432" s="25">
        <f>IF(OR($A432="",'04 Prices'!E432="",'04 Prices'!E433=""),"",'04 Prices'!E433/'04 Prices'!E432-1)</f>
        <v/>
      </c>
      <c r="F432" s="25">
        <f>IF(OR($A432="",'04 Prices'!F432="",'04 Prices'!F433=""),"",'04 Prices'!F433/'04 Prices'!F432-1)</f>
        <v/>
      </c>
      <c r="G432" s="25">
        <f>IF(OR($A432="",'04 Prices'!G432="",'04 Prices'!G433=""),"",'04 Prices'!G433/'04 Prices'!G432-1)</f>
        <v/>
      </c>
      <c r="H432" s="25">
        <f>IF(OR($A432="",'04 Prices'!H432="",'04 Prices'!H433=""),"",'04 Prices'!H433/'04 Prices'!H432-1)</f>
        <v/>
      </c>
    </row>
    <row r="433">
      <c r="A433" s="23">
        <f>IF('04 Prices'!A434="","",'04 Prices'!A434)</f>
        <v/>
      </c>
      <c r="B433" s="25">
        <f>IF(OR($A433="",'04 Prices'!B433="",'04 Prices'!B434=""),"",'04 Prices'!B434/'04 Prices'!B433-1)</f>
        <v/>
      </c>
      <c r="C433" s="25">
        <f>IF(OR($A433="",'04 Prices'!C433="",'04 Prices'!C434=""),"",'04 Prices'!C434/'04 Prices'!C433-1)</f>
        <v/>
      </c>
      <c r="D433" s="25">
        <f>IF(OR($A433="",'04 Prices'!D433="",'04 Prices'!D434=""),"",'04 Prices'!D434/'04 Prices'!D433-1)</f>
        <v/>
      </c>
      <c r="E433" s="25">
        <f>IF(OR($A433="",'04 Prices'!E433="",'04 Prices'!E434=""),"",'04 Prices'!E434/'04 Prices'!E433-1)</f>
        <v/>
      </c>
      <c r="F433" s="25">
        <f>IF(OR($A433="",'04 Prices'!F433="",'04 Prices'!F434=""),"",'04 Prices'!F434/'04 Prices'!F433-1)</f>
        <v/>
      </c>
      <c r="G433" s="25">
        <f>IF(OR($A433="",'04 Prices'!G433="",'04 Prices'!G434=""),"",'04 Prices'!G434/'04 Prices'!G433-1)</f>
        <v/>
      </c>
      <c r="H433" s="25">
        <f>IF(OR($A433="",'04 Prices'!H433="",'04 Prices'!H434=""),"",'04 Prices'!H434/'04 Prices'!H433-1)</f>
        <v/>
      </c>
    </row>
    <row r="434">
      <c r="A434" s="23">
        <f>IF('04 Prices'!A435="","",'04 Prices'!A435)</f>
        <v/>
      </c>
      <c r="B434" s="25">
        <f>IF(OR($A434="",'04 Prices'!B434="",'04 Prices'!B435=""),"",'04 Prices'!B435/'04 Prices'!B434-1)</f>
        <v/>
      </c>
      <c r="C434" s="25">
        <f>IF(OR($A434="",'04 Prices'!C434="",'04 Prices'!C435=""),"",'04 Prices'!C435/'04 Prices'!C434-1)</f>
        <v/>
      </c>
      <c r="D434" s="25">
        <f>IF(OR($A434="",'04 Prices'!D434="",'04 Prices'!D435=""),"",'04 Prices'!D435/'04 Prices'!D434-1)</f>
        <v/>
      </c>
      <c r="E434" s="25">
        <f>IF(OR($A434="",'04 Prices'!E434="",'04 Prices'!E435=""),"",'04 Prices'!E435/'04 Prices'!E434-1)</f>
        <v/>
      </c>
      <c r="F434" s="25">
        <f>IF(OR($A434="",'04 Prices'!F434="",'04 Prices'!F435=""),"",'04 Prices'!F435/'04 Prices'!F434-1)</f>
        <v/>
      </c>
      <c r="G434" s="25">
        <f>IF(OR($A434="",'04 Prices'!G434="",'04 Prices'!G435=""),"",'04 Prices'!G435/'04 Prices'!G434-1)</f>
        <v/>
      </c>
      <c r="H434" s="25">
        <f>IF(OR($A434="",'04 Prices'!H434="",'04 Prices'!H435=""),"",'04 Prices'!H435/'04 Prices'!H434-1)</f>
        <v/>
      </c>
    </row>
    <row r="435">
      <c r="A435" s="23">
        <f>IF('04 Prices'!A436="","",'04 Prices'!A436)</f>
        <v/>
      </c>
      <c r="B435" s="25">
        <f>IF(OR($A435="",'04 Prices'!B435="",'04 Prices'!B436=""),"",'04 Prices'!B436/'04 Prices'!B435-1)</f>
        <v/>
      </c>
      <c r="C435" s="25">
        <f>IF(OR($A435="",'04 Prices'!C435="",'04 Prices'!C436=""),"",'04 Prices'!C436/'04 Prices'!C435-1)</f>
        <v/>
      </c>
      <c r="D435" s="25">
        <f>IF(OR($A435="",'04 Prices'!D435="",'04 Prices'!D436=""),"",'04 Prices'!D436/'04 Prices'!D435-1)</f>
        <v/>
      </c>
      <c r="E435" s="25">
        <f>IF(OR($A435="",'04 Prices'!E435="",'04 Prices'!E436=""),"",'04 Prices'!E436/'04 Prices'!E435-1)</f>
        <v/>
      </c>
      <c r="F435" s="25">
        <f>IF(OR($A435="",'04 Prices'!F435="",'04 Prices'!F436=""),"",'04 Prices'!F436/'04 Prices'!F435-1)</f>
        <v/>
      </c>
      <c r="G435" s="25">
        <f>IF(OR($A435="",'04 Prices'!G435="",'04 Prices'!G436=""),"",'04 Prices'!G436/'04 Prices'!G435-1)</f>
        <v/>
      </c>
      <c r="H435" s="25">
        <f>IF(OR($A435="",'04 Prices'!H435="",'04 Prices'!H436=""),"",'04 Prices'!H436/'04 Prices'!H435-1)</f>
        <v/>
      </c>
    </row>
    <row r="436">
      <c r="A436" s="23">
        <f>IF('04 Prices'!A437="","",'04 Prices'!A437)</f>
        <v/>
      </c>
      <c r="B436" s="25">
        <f>IF(OR($A436="",'04 Prices'!B436="",'04 Prices'!B437=""),"",'04 Prices'!B437/'04 Prices'!B436-1)</f>
        <v/>
      </c>
      <c r="C436" s="25">
        <f>IF(OR($A436="",'04 Prices'!C436="",'04 Prices'!C437=""),"",'04 Prices'!C437/'04 Prices'!C436-1)</f>
        <v/>
      </c>
      <c r="D436" s="25">
        <f>IF(OR($A436="",'04 Prices'!D436="",'04 Prices'!D437=""),"",'04 Prices'!D437/'04 Prices'!D436-1)</f>
        <v/>
      </c>
      <c r="E436" s="25">
        <f>IF(OR($A436="",'04 Prices'!E436="",'04 Prices'!E437=""),"",'04 Prices'!E437/'04 Prices'!E436-1)</f>
        <v/>
      </c>
      <c r="F436" s="25">
        <f>IF(OR($A436="",'04 Prices'!F436="",'04 Prices'!F437=""),"",'04 Prices'!F437/'04 Prices'!F436-1)</f>
        <v/>
      </c>
      <c r="G436" s="25">
        <f>IF(OR($A436="",'04 Prices'!G436="",'04 Prices'!G437=""),"",'04 Prices'!G437/'04 Prices'!G436-1)</f>
        <v/>
      </c>
      <c r="H436" s="25">
        <f>IF(OR($A436="",'04 Prices'!H436="",'04 Prices'!H437=""),"",'04 Prices'!H437/'04 Prices'!H436-1)</f>
        <v/>
      </c>
    </row>
    <row r="437">
      <c r="A437" s="23">
        <f>IF('04 Prices'!A438="","",'04 Prices'!A438)</f>
        <v/>
      </c>
      <c r="B437" s="25">
        <f>IF(OR($A437="",'04 Prices'!B437="",'04 Prices'!B438=""),"",'04 Prices'!B438/'04 Prices'!B437-1)</f>
        <v/>
      </c>
      <c r="C437" s="25">
        <f>IF(OR($A437="",'04 Prices'!C437="",'04 Prices'!C438=""),"",'04 Prices'!C438/'04 Prices'!C437-1)</f>
        <v/>
      </c>
      <c r="D437" s="25">
        <f>IF(OR($A437="",'04 Prices'!D437="",'04 Prices'!D438=""),"",'04 Prices'!D438/'04 Prices'!D437-1)</f>
        <v/>
      </c>
      <c r="E437" s="25">
        <f>IF(OR($A437="",'04 Prices'!E437="",'04 Prices'!E438=""),"",'04 Prices'!E438/'04 Prices'!E437-1)</f>
        <v/>
      </c>
      <c r="F437" s="25">
        <f>IF(OR($A437="",'04 Prices'!F437="",'04 Prices'!F438=""),"",'04 Prices'!F438/'04 Prices'!F437-1)</f>
        <v/>
      </c>
      <c r="G437" s="25">
        <f>IF(OR($A437="",'04 Prices'!G437="",'04 Prices'!G438=""),"",'04 Prices'!G438/'04 Prices'!G437-1)</f>
        <v/>
      </c>
      <c r="H437" s="25">
        <f>IF(OR($A437="",'04 Prices'!H437="",'04 Prices'!H438=""),"",'04 Prices'!H438/'04 Prices'!H437-1)</f>
        <v/>
      </c>
    </row>
    <row r="438">
      <c r="A438" s="23">
        <f>IF('04 Prices'!A439="","",'04 Prices'!A439)</f>
        <v/>
      </c>
      <c r="B438" s="25">
        <f>IF(OR($A438="",'04 Prices'!B438="",'04 Prices'!B439=""),"",'04 Prices'!B439/'04 Prices'!B438-1)</f>
        <v/>
      </c>
      <c r="C438" s="25">
        <f>IF(OR($A438="",'04 Prices'!C438="",'04 Prices'!C439=""),"",'04 Prices'!C439/'04 Prices'!C438-1)</f>
        <v/>
      </c>
      <c r="D438" s="25">
        <f>IF(OR($A438="",'04 Prices'!D438="",'04 Prices'!D439=""),"",'04 Prices'!D439/'04 Prices'!D438-1)</f>
        <v/>
      </c>
      <c r="E438" s="25">
        <f>IF(OR($A438="",'04 Prices'!E438="",'04 Prices'!E439=""),"",'04 Prices'!E439/'04 Prices'!E438-1)</f>
        <v/>
      </c>
      <c r="F438" s="25">
        <f>IF(OR($A438="",'04 Prices'!F438="",'04 Prices'!F439=""),"",'04 Prices'!F439/'04 Prices'!F438-1)</f>
        <v/>
      </c>
      <c r="G438" s="25">
        <f>IF(OR($A438="",'04 Prices'!G438="",'04 Prices'!G439=""),"",'04 Prices'!G439/'04 Prices'!G438-1)</f>
        <v/>
      </c>
      <c r="H438" s="25">
        <f>IF(OR($A438="",'04 Prices'!H438="",'04 Prices'!H439=""),"",'04 Prices'!H439/'04 Prices'!H438-1)</f>
        <v/>
      </c>
    </row>
    <row r="439">
      <c r="A439" s="23">
        <f>IF('04 Prices'!A440="","",'04 Prices'!A440)</f>
        <v/>
      </c>
      <c r="B439" s="25">
        <f>IF(OR($A439="",'04 Prices'!B439="",'04 Prices'!B440=""),"",'04 Prices'!B440/'04 Prices'!B439-1)</f>
        <v/>
      </c>
      <c r="C439" s="25">
        <f>IF(OR($A439="",'04 Prices'!C439="",'04 Prices'!C440=""),"",'04 Prices'!C440/'04 Prices'!C439-1)</f>
        <v/>
      </c>
      <c r="D439" s="25">
        <f>IF(OR($A439="",'04 Prices'!D439="",'04 Prices'!D440=""),"",'04 Prices'!D440/'04 Prices'!D439-1)</f>
        <v/>
      </c>
      <c r="E439" s="25">
        <f>IF(OR($A439="",'04 Prices'!E439="",'04 Prices'!E440=""),"",'04 Prices'!E440/'04 Prices'!E439-1)</f>
        <v/>
      </c>
      <c r="F439" s="25">
        <f>IF(OR($A439="",'04 Prices'!F439="",'04 Prices'!F440=""),"",'04 Prices'!F440/'04 Prices'!F439-1)</f>
        <v/>
      </c>
      <c r="G439" s="25">
        <f>IF(OR($A439="",'04 Prices'!G439="",'04 Prices'!G440=""),"",'04 Prices'!G440/'04 Prices'!G439-1)</f>
        <v/>
      </c>
      <c r="H439" s="25">
        <f>IF(OR($A439="",'04 Prices'!H439="",'04 Prices'!H440=""),"",'04 Prices'!H440/'04 Prices'!H439-1)</f>
        <v/>
      </c>
    </row>
    <row r="440">
      <c r="A440" s="23">
        <f>IF('04 Prices'!A441="","",'04 Prices'!A441)</f>
        <v/>
      </c>
      <c r="B440" s="25">
        <f>IF(OR($A440="",'04 Prices'!B440="",'04 Prices'!B441=""),"",'04 Prices'!B441/'04 Prices'!B440-1)</f>
        <v/>
      </c>
      <c r="C440" s="25">
        <f>IF(OR($A440="",'04 Prices'!C440="",'04 Prices'!C441=""),"",'04 Prices'!C441/'04 Prices'!C440-1)</f>
        <v/>
      </c>
      <c r="D440" s="25">
        <f>IF(OR($A440="",'04 Prices'!D440="",'04 Prices'!D441=""),"",'04 Prices'!D441/'04 Prices'!D440-1)</f>
        <v/>
      </c>
      <c r="E440" s="25">
        <f>IF(OR($A440="",'04 Prices'!E440="",'04 Prices'!E441=""),"",'04 Prices'!E441/'04 Prices'!E440-1)</f>
        <v/>
      </c>
      <c r="F440" s="25">
        <f>IF(OR($A440="",'04 Prices'!F440="",'04 Prices'!F441=""),"",'04 Prices'!F441/'04 Prices'!F440-1)</f>
        <v/>
      </c>
      <c r="G440" s="25">
        <f>IF(OR($A440="",'04 Prices'!G440="",'04 Prices'!G441=""),"",'04 Prices'!G441/'04 Prices'!G440-1)</f>
        <v/>
      </c>
      <c r="H440" s="25">
        <f>IF(OR($A440="",'04 Prices'!H440="",'04 Prices'!H441=""),"",'04 Prices'!H441/'04 Prices'!H440-1)</f>
        <v/>
      </c>
    </row>
    <row r="441">
      <c r="A441" s="23">
        <f>IF('04 Prices'!A442="","",'04 Prices'!A442)</f>
        <v/>
      </c>
      <c r="B441" s="25">
        <f>IF(OR($A441="",'04 Prices'!B441="",'04 Prices'!B442=""),"",'04 Prices'!B442/'04 Prices'!B441-1)</f>
        <v/>
      </c>
      <c r="C441" s="25">
        <f>IF(OR($A441="",'04 Prices'!C441="",'04 Prices'!C442=""),"",'04 Prices'!C442/'04 Prices'!C441-1)</f>
        <v/>
      </c>
      <c r="D441" s="25">
        <f>IF(OR($A441="",'04 Prices'!D441="",'04 Prices'!D442=""),"",'04 Prices'!D442/'04 Prices'!D441-1)</f>
        <v/>
      </c>
      <c r="E441" s="25">
        <f>IF(OR($A441="",'04 Prices'!E441="",'04 Prices'!E442=""),"",'04 Prices'!E442/'04 Prices'!E441-1)</f>
        <v/>
      </c>
      <c r="F441" s="25">
        <f>IF(OR($A441="",'04 Prices'!F441="",'04 Prices'!F442=""),"",'04 Prices'!F442/'04 Prices'!F441-1)</f>
        <v/>
      </c>
      <c r="G441" s="25">
        <f>IF(OR($A441="",'04 Prices'!G441="",'04 Prices'!G442=""),"",'04 Prices'!G442/'04 Prices'!G441-1)</f>
        <v/>
      </c>
      <c r="H441" s="25">
        <f>IF(OR($A441="",'04 Prices'!H441="",'04 Prices'!H442=""),"",'04 Prices'!H442/'04 Prices'!H441-1)</f>
        <v/>
      </c>
    </row>
    <row r="442">
      <c r="A442" s="23">
        <f>IF('04 Prices'!A443="","",'04 Prices'!A443)</f>
        <v/>
      </c>
      <c r="B442" s="25">
        <f>IF(OR($A442="",'04 Prices'!B442="",'04 Prices'!B443=""),"",'04 Prices'!B443/'04 Prices'!B442-1)</f>
        <v/>
      </c>
      <c r="C442" s="25">
        <f>IF(OR($A442="",'04 Prices'!C442="",'04 Prices'!C443=""),"",'04 Prices'!C443/'04 Prices'!C442-1)</f>
        <v/>
      </c>
      <c r="D442" s="25">
        <f>IF(OR($A442="",'04 Prices'!D442="",'04 Prices'!D443=""),"",'04 Prices'!D443/'04 Prices'!D442-1)</f>
        <v/>
      </c>
      <c r="E442" s="25">
        <f>IF(OR($A442="",'04 Prices'!E442="",'04 Prices'!E443=""),"",'04 Prices'!E443/'04 Prices'!E442-1)</f>
        <v/>
      </c>
      <c r="F442" s="25">
        <f>IF(OR($A442="",'04 Prices'!F442="",'04 Prices'!F443=""),"",'04 Prices'!F443/'04 Prices'!F442-1)</f>
        <v/>
      </c>
      <c r="G442" s="25">
        <f>IF(OR($A442="",'04 Prices'!G442="",'04 Prices'!G443=""),"",'04 Prices'!G443/'04 Prices'!G442-1)</f>
        <v/>
      </c>
      <c r="H442" s="25">
        <f>IF(OR($A442="",'04 Prices'!H442="",'04 Prices'!H443=""),"",'04 Prices'!H443/'04 Prices'!H442-1)</f>
        <v/>
      </c>
    </row>
    <row r="443">
      <c r="A443" s="23">
        <f>IF('04 Prices'!A444="","",'04 Prices'!A444)</f>
        <v/>
      </c>
      <c r="B443" s="25">
        <f>IF(OR($A443="",'04 Prices'!B443="",'04 Prices'!B444=""),"",'04 Prices'!B444/'04 Prices'!B443-1)</f>
        <v/>
      </c>
      <c r="C443" s="25">
        <f>IF(OR($A443="",'04 Prices'!C443="",'04 Prices'!C444=""),"",'04 Prices'!C444/'04 Prices'!C443-1)</f>
        <v/>
      </c>
      <c r="D443" s="25">
        <f>IF(OR($A443="",'04 Prices'!D443="",'04 Prices'!D444=""),"",'04 Prices'!D444/'04 Prices'!D443-1)</f>
        <v/>
      </c>
      <c r="E443" s="25">
        <f>IF(OR($A443="",'04 Prices'!E443="",'04 Prices'!E444=""),"",'04 Prices'!E444/'04 Prices'!E443-1)</f>
        <v/>
      </c>
      <c r="F443" s="25">
        <f>IF(OR($A443="",'04 Prices'!F443="",'04 Prices'!F444=""),"",'04 Prices'!F444/'04 Prices'!F443-1)</f>
        <v/>
      </c>
      <c r="G443" s="25">
        <f>IF(OR($A443="",'04 Prices'!G443="",'04 Prices'!G444=""),"",'04 Prices'!G444/'04 Prices'!G443-1)</f>
        <v/>
      </c>
      <c r="H443" s="25">
        <f>IF(OR($A443="",'04 Prices'!H443="",'04 Prices'!H444=""),"",'04 Prices'!H444/'04 Prices'!H443-1)</f>
        <v/>
      </c>
    </row>
    <row r="444">
      <c r="A444" s="23">
        <f>IF('04 Prices'!A445="","",'04 Prices'!A445)</f>
        <v/>
      </c>
      <c r="B444" s="25">
        <f>IF(OR($A444="",'04 Prices'!B444="",'04 Prices'!B445=""),"",'04 Prices'!B445/'04 Prices'!B444-1)</f>
        <v/>
      </c>
      <c r="C444" s="25">
        <f>IF(OR($A444="",'04 Prices'!C444="",'04 Prices'!C445=""),"",'04 Prices'!C445/'04 Prices'!C444-1)</f>
        <v/>
      </c>
      <c r="D444" s="25">
        <f>IF(OR($A444="",'04 Prices'!D444="",'04 Prices'!D445=""),"",'04 Prices'!D445/'04 Prices'!D444-1)</f>
        <v/>
      </c>
      <c r="E444" s="25">
        <f>IF(OR($A444="",'04 Prices'!E444="",'04 Prices'!E445=""),"",'04 Prices'!E445/'04 Prices'!E444-1)</f>
        <v/>
      </c>
      <c r="F444" s="25">
        <f>IF(OR($A444="",'04 Prices'!F444="",'04 Prices'!F445=""),"",'04 Prices'!F445/'04 Prices'!F444-1)</f>
        <v/>
      </c>
      <c r="G444" s="25">
        <f>IF(OR($A444="",'04 Prices'!G444="",'04 Prices'!G445=""),"",'04 Prices'!G445/'04 Prices'!G444-1)</f>
        <v/>
      </c>
      <c r="H444" s="25">
        <f>IF(OR($A444="",'04 Prices'!H444="",'04 Prices'!H445=""),"",'04 Prices'!H445/'04 Prices'!H444-1)</f>
        <v/>
      </c>
    </row>
    <row r="445">
      <c r="A445" s="23">
        <f>IF('04 Prices'!A446="","",'04 Prices'!A446)</f>
        <v/>
      </c>
      <c r="B445" s="25">
        <f>IF(OR($A445="",'04 Prices'!B445="",'04 Prices'!B446=""),"",'04 Prices'!B446/'04 Prices'!B445-1)</f>
        <v/>
      </c>
      <c r="C445" s="25">
        <f>IF(OR($A445="",'04 Prices'!C445="",'04 Prices'!C446=""),"",'04 Prices'!C446/'04 Prices'!C445-1)</f>
        <v/>
      </c>
      <c r="D445" s="25">
        <f>IF(OR($A445="",'04 Prices'!D445="",'04 Prices'!D446=""),"",'04 Prices'!D446/'04 Prices'!D445-1)</f>
        <v/>
      </c>
      <c r="E445" s="25">
        <f>IF(OR($A445="",'04 Prices'!E445="",'04 Prices'!E446=""),"",'04 Prices'!E446/'04 Prices'!E445-1)</f>
        <v/>
      </c>
      <c r="F445" s="25">
        <f>IF(OR($A445="",'04 Prices'!F445="",'04 Prices'!F446=""),"",'04 Prices'!F446/'04 Prices'!F445-1)</f>
        <v/>
      </c>
      <c r="G445" s="25">
        <f>IF(OR($A445="",'04 Prices'!G445="",'04 Prices'!G446=""),"",'04 Prices'!G446/'04 Prices'!G445-1)</f>
        <v/>
      </c>
      <c r="H445" s="25">
        <f>IF(OR($A445="",'04 Prices'!H445="",'04 Prices'!H446=""),"",'04 Prices'!H446/'04 Prices'!H445-1)</f>
        <v/>
      </c>
    </row>
    <row r="446">
      <c r="A446" s="23">
        <f>IF('04 Prices'!A447="","",'04 Prices'!A447)</f>
        <v/>
      </c>
      <c r="B446" s="25">
        <f>IF(OR($A446="",'04 Prices'!B446="",'04 Prices'!B447=""),"",'04 Prices'!B447/'04 Prices'!B446-1)</f>
        <v/>
      </c>
      <c r="C446" s="25">
        <f>IF(OR($A446="",'04 Prices'!C446="",'04 Prices'!C447=""),"",'04 Prices'!C447/'04 Prices'!C446-1)</f>
        <v/>
      </c>
      <c r="D446" s="25">
        <f>IF(OR($A446="",'04 Prices'!D446="",'04 Prices'!D447=""),"",'04 Prices'!D447/'04 Prices'!D446-1)</f>
        <v/>
      </c>
      <c r="E446" s="25">
        <f>IF(OR($A446="",'04 Prices'!E446="",'04 Prices'!E447=""),"",'04 Prices'!E447/'04 Prices'!E446-1)</f>
        <v/>
      </c>
      <c r="F446" s="25">
        <f>IF(OR($A446="",'04 Prices'!F446="",'04 Prices'!F447=""),"",'04 Prices'!F447/'04 Prices'!F446-1)</f>
        <v/>
      </c>
      <c r="G446" s="25">
        <f>IF(OR($A446="",'04 Prices'!G446="",'04 Prices'!G447=""),"",'04 Prices'!G447/'04 Prices'!G446-1)</f>
        <v/>
      </c>
      <c r="H446" s="25">
        <f>IF(OR($A446="",'04 Prices'!H446="",'04 Prices'!H447=""),"",'04 Prices'!H447/'04 Prices'!H446-1)</f>
        <v/>
      </c>
    </row>
    <row r="447">
      <c r="A447" s="23">
        <f>IF('04 Prices'!A448="","",'04 Prices'!A448)</f>
        <v/>
      </c>
      <c r="B447" s="25">
        <f>IF(OR($A447="",'04 Prices'!B447="",'04 Prices'!B448=""),"",'04 Prices'!B448/'04 Prices'!B447-1)</f>
        <v/>
      </c>
      <c r="C447" s="25">
        <f>IF(OR($A447="",'04 Prices'!C447="",'04 Prices'!C448=""),"",'04 Prices'!C448/'04 Prices'!C447-1)</f>
        <v/>
      </c>
      <c r="D447" s="25">
        <f>IF(OR($A447="",'04 Prices'!D447="",'04 Prices'!D448=""),"",'04 Prices'!D448/'04 Prices'!D447-1)</f>
        <v/>
      </c>
      <c r="E447" s="25">
        <f>IF(OR($A447="",'04 Prices'!E447="",'04 Prices'!E448=""),"",'04 Prices'!E448/'04 Prices'!E447-1)</f>
        <v/>
      </c>
      <c r="F447" s="25">
        <f>IF(OR($A447="",'04 Prices'!F447="",'04 Prices'!F448=""),"",'04 Prices'!F448/'04 Prices'!F447-1)</f>
        <v/>
      </c>
      <c r="G447" s="25">
        <f>IF(OR($A447="",'04 Prices'!G447="",'04 Prices'!G448=""),"",'04 Prices'!G448/'04 Prices'!G447-1)</f>
        <v/>
      </c>
      <c r="H447" s="25">
        <f>IF(OR($A447="",'04 Prices'!H447="",'04 Prices'!H448=""),"",'04 Prices'!H448/'04 Prices'!H447-1)</f>
        <v/>
      </c>
    </row>
    <row r="448">
      <c r="A448" s="23">
        <f>IF('04 Prices'!A449="","",'04 Prices'!A449)</f>
        <v/>
      </c>
      <c r="B448" s="25">
        <f>IF(OR($A448="",'04 Prices'!B448="",'04 Prices'!B449=""),"",'04 Prices'!B449/'04 Prices'!B448-1)</f>
        <v/>
      </c>
      <c r="C448" s="25">
        <f>IF(OR($A448="",'04 Prices'!C448="",'04 Prices'!C449=""),"",'04 Prices'!C449/'04 Prices'!C448-1)</f>
        <v/>
      </c>
      <c r="D448" s="25">
        <f>IF(OR($A448="",'04 Prices'!D448="",'04 Prices'!D449=""),"",'04 Prices'!D449/'04 Prices'!D448-1)</f>
        <v/>
      </c>
      <c r="E448" s="25">
        <f>IF(OR($A448="",'04 Prices'!E448="",'04 Prices'!E449=""),"",'04 Prices'!E449/'04 Prices'!E448-1)</f>
        <v/>
      </c>
      <c r="F448" s="25">
        <f>IF(OR($A448="",'04 Prices'!F448="",'04 Prices'!F449=""),"",'04 Prices'!F449/'04 Prices'!F448-1)</f>
        <v/>
      </c>
      <c r="G448" s="25">
        <f>IF(OR($A448="",'04 Prices'!G448="",'04 Prices'!G449=""),"",'04 Prices'!G449/'04 Prices'!G448-1)</f>
        <v/>
      </c>
      <c r="H448" s="25">
        <f>IF(OR($A448="",'04 Prices'!H448="",'04 Prices'!H449=""),"",'04 Prices'!H449/'04 Prices'!H448-1)</f>
        <v/>
      </c>
    </row>
    <row r="449">
      <c r="A449" s="23">
        <f>IF('04 Prices'!A450="","",'04 Prices'!A450)</f>
        <v/>
      </c>
      <c r="B449" s="25">
        <f>IF(OR($A449="",'04 Prices'!B449="",'04 Prices'!B450=""),"",'04 Prices'!B450/'04 Prices'!B449-1)</f>
        <v/>
      </c>
      <c r="C449" s="25">
        <f>IF(OR($A449="",'04 Prices'!C449="",'04 Prices'!C450=""),"",'04 Prices'!C450/'04 Prices'!C449-1)</f>
        <v/>
      </c>
      <c r="D449" s="25">
        <f>IF(OR($A449="",'04 Prices'!D449="",'04 Prices'!D450=""),"",'04 Prices'!D450/'04 Prices'!D449-1)</f>
        <v/>
      </c>
      <c r="E449" s="25">
        <f>IF(OR($A449="",'04 Prices'!E449="",'04 Prices'!E450=""),"",'04 Prices'!E450/'04 Prices'!E449-1)</f>
        <v/>
      </c>
      <c r="F449" s="25">
        <f>IF(OR($A449="",'04 Prices'!F449="",'04 Prices'!F450=""),"",'04 Prices'!F450/'04 Prices'!F449-1)</f>
        <v/>
      </c>
      <c r="G449" s="25">
        <f>IF(OR($A449="",'04 Prices'!G449="",'04 Prices'!G450=""),"",'04 Prices'!G450/'04 Prices'!G449-1)</f>
        <v/>
      </c>
      <c r="H449" s="25">
        <f>IF(OR($A449="",'04 Prices'!H449="",'04 Prices'!H450=""),"",'04 Prices'!H450/'04 Prices'!H449-1)</f>
        <v/>
      </c>
    </row>
    <row r="450">
      <c r="A450" s="23">
        <f>IF('04 Prices'!A451="","",'04 Prices'!A451)</f>
        <v/>
      </c>
      <c r="B450" s="25">
        <f>IF(OR($A450="",'04 Prices'!B450="",'04 Prices'!B451=""),"",'04 Prices'!B451/'04 Prices'!B450-1)</f>
        <v/>
      </c>
      <c r="C450" s="25">
        <f>IF(OR($A450="",'04 Prices'!C450="",'04 Prices'!C451=""),"",'04 Prices'!C451/'04 Prices'!C450-1)</f>
        <v/>
      </c>
      <c r="D450" s="25">
        <f>IF(OR($A450="",'04 Prices'!D450="",'04 Prices'!D451=""),"",'04 Prices'!D451/'04 Prices'!D450-1)</f>
        <v/>
      </c>
      <c r="E450" s="25">
        <f>IF(OR($A450="",'04 Prices'!E450="",'04 Prices'!E451=""),"",'04 Prices'!E451/'04 Prices'!E450-1)</f>
        <v/>
      </c>
      <c r="F450" s="25">
        <f>IF(OR($A450="",'04 Prices'!F450="",'04 Prices'!F451=""),"",'04 Prices'!F451/'04 Prices'!F450-1)</f>
        <v/>
      </c>
      <c r="G450" s="25">
        <f>IF(OR($A450="",'04 Prices'!G450="",'04 Prices'!G451=""),"",'04 Prices'!G451/'04 Prices'!G450-1)</f>
        <v/>
      </c>
      <c r="H450" s="25">
        <f>IF(OR($A450="",'04 Prices'!H450="",'04 Prices'!H451=""),"",'04 Prices'!H451/'04 Prices'!H450-1)</f>
        <v/>
      </c>
    </row>
    <row r="451">
      <c r="A451" s="23">
        <f>IF('04 Prices'!A452="","",'04 Prices'!A452)</f>
        <v/>
      </c>
      <c r="B451" s="25">
        <f>IF(OR($A451="",'04 Prices'!B451="",'04 Prices'!B452=""),"",'04 Prices'!B452/'04 Prices'!B451-1)</f>
        <v/>
      </c>
      <c r="C451" s="25">
        <f>IF(OR($A451="",'04 Prices'!C451="",'04 Prices'!C452=""),"",'04 Prices'!C452/'04 Prices'!C451-1)</f>
        <v/>
      </c>
      <c r="D451" s="25">
        <f>IF(OR($A451="",'04 Prices'!D451="",'04 Prices'!D452=""),"",'04 Prices'!D452/'04 Prices'!D451-1)</f>
        <v/>
      </c>
      <c r="E451" s="25">
        <f>IF(OR($A451="",'04 Prices'!E451="",'04 Prices'!E452=""),"",'04 Prices'!E452/'04 Prices'!E451-1)</f>
        <v/>
      </c>
      <c r="F451" s="25">
        <f>IF(OR($A451="",'04 Prices'!F451="",'04 Prices'!F452=""),"",'04 Prices'!F452/'04 Prices'!F451-1)</f>
        <v/>
      </c>
      <c r="G451" s="25">
        <f>IF(OR($A451="",'04 Prices'!G451="",'04 Prices'!G452=""),"",'04 Prices'!G452/'04 Prices'!G451-1)</f>
        <v/>
      </c>
      <c r="H451" s="25">
        <f>IF(OR($A451="",'04 Prices'!H451="",'04 Prices'!H452=""),"",'04 Prices'!H452/'04 Prices'!H451-1)</f>
        <v/>
      </c>
    </row>
    <row r="452">
      <c r="A452" s="23">
        <f>IF('04 Prices'!A453="","",'04 Prices'!A453)</f>
        <v/>
      </c>
      <c r="B452" s="25">
        <f>IF(OR($A452="",'04 Prices'!B452="",'04 Prices'!B453=""),"",'04 Prices'!B453/'04 Prices'!B452-1)</f>
        <v/>
      </c>
      <c r="C452" s="25">
        <f>IF(OR($A452="",'04 Prices'!C452="",'04 Prices'!C453=""),"",'04 Prices'!C453/'04 Prices'!C452-1)</f>
        <v/>
      </c>
      <c r="D452" s="25">
        <f>IF(OR($A452="",'04 Prices'!D452="",'04 Prices'!D453=""),"",'04 Prices'!D453/'04 Prices'!D452-1)</f>
        <v/>
      </c>
      <c r="E452" s="25">
        <f>IF(OR($A452="",'04 Prices'!E452="",'04 Prices'!E453=""),"",'04 Prices'!E453/'04 Prices'!E452-1)</f>
        <v/>
      </c>
      <c r="F452" s="25">
        <f>IF(OR($A452="",'04 Prices'!F452="",'04 Prices'!F453=""),"",'04 Prices'!F453/'04 Prices'!F452-1)</f>
        <v/>
      </c>
      <c r="G452" s="25">
        <f>IF(OR($A452="",'04 Prices'!G452="",'04 Prices'!G453=""),"",'04 Prices'!G453/'04 Prices'!G452-1)</f>
        <v/>
      </c>
      <c r="H452" s="25">
        <f>IF(OR($A452="",'04 Prices'!H452="",'04 Prices'!H453=""),"",'04 Prices'!H453/'04 Prices'!H452-1)</f>
        <v/>
      </c>
    </row>
    <row r="453">
      <c r="A453" s="23">
        <f>IF('04 Prices'!A454="","",'04 Prices'!A454)</f>
        <v/>
      </c>
      <c r="B453" s="25">
        <f>IF(OR($A453="",'04 Prices'!B453="",'04 Prices'!B454=""),"",'04 Prices'!B454/'04 Prices'!B453-1)</f>
        <v/>
      </c>
      <c r="C453" s="25">
        <f>IF(OR($A453="",'04 Prices'!C453="",'04 Prices'!C454=""),"",'04 Prices'!C454/'04 Prices'!C453-1)</f>
        <v/>
      </c>
      <c r="D453" s="25">
        <f>IF(OR($A453="",'04 Prices'!D453="",'04 Prices'!D454=""),"",'04 Prices'!D454/'04 Prices'!D453-1)</f>
        <v/>
      </c>
      <c r="E453" s="25">
        <f>IF(OR($A453="",'04 Prices'!E453="",'04 Prices'!E454=""),"",'04 Prices'!E454/'04 Prices'!E453-1)</f>
        <v/>
      </c>
      <c r="F453" s="25">
        <f>IF(OR($A453="",'04 Prices'!F453="",'04 Prices'!F454=""),"",'04 Prices'!F454/'04 Prices'!F453-1)</f>
        <v/>
      </c>
      <c r="G453" s="25">
        <f>IF(OR($A453="",'04 Prices'!G453="",'04 Prices'!G454=""),"",'04 Prices'!G454/'04 Prices'!G453-1)</f>
        <v/>
      </c>
      <c r="H453" s="25">
        <f>IF(OR($A453="",'04 Prices'!H453="",'04 Prices'!H454=""),"",'04 Prices'!H454/'04 Prices'!H453-1)</f>
        <v/>
      </c>
    </row>
    <row r="454">
      <c r="A454" s="23">
        <f>IF('04 Prices'!A455="","",'04 Prices'!A455)</f>
        <v/>
      </c>
      <c r="B454" s="25">
        <f>IF(OR($A454="",'04 Prices'!B454="",'04 Prices'!B455=""),"",'04 Prices'!B455/'04 Prices'!B454-1)</f>
        <v/>
      </c>
      <c r="C454" s="25">
        <f>IF(OR($A454="",'04 Prices'!C454="",'04 Prices'!C455=""),"",'04 Prices'!C455/'04 Prices'!C454-1)</f>
        <v/>
      </c>
      <c r="D454" s="25">
        <f>IF(OR($A454="",'04 Prices'!D454="",'04 Prices'!D455=""),"",'04 Prices'!D455/'04 Prices'!D454-1)</f>
        <v/>
      </c>
      <c r="E454" s="25">
        <f>IF(OR($A454="",'04 Prices'!E454="",'04 Prices'!E455=""),"",'04 Prices'!E455/'04 Prices'!E454-1)</f>
        <v/>
      </c>
      <c r="F454" s="25">
        <f>IF(OR($A454="",'04 Prices'!F454="",'04 Prices'!F455=""),"",'04 Prices'!F455/'04 Prices'!F454-1)</f>
        <v/>
      </c>
      <c r="G454" s="25">
        <f>IF(OR($A454="",'04 Prices'!G454="",'04 Prices'!G455=""),"",'04 Prices'!G455/'04 Prices'!G454-1)</f>
        <v/>
      </c>
      <c r="H454" s="25">
        <f>IF(OR($A454="",'04 Prices'!H454="",'04 Prices'!H455=""),"",'04 Prices'!H455/'04 Prices'!H454-1)</f>
        <v/>
      </c>
    </row>
    <row r="455">
      <c r="A455" s="23">
        <f>IF('04 Prices'!A456="","",'04 Prices'!A456)</f>
        <v/>
      </c>
      <c r="B455" s="25">
        <f>IF(OR($A455="",'04 Prices'!B455="",'04 Prices'!B456=""),"",'04 Prices'!B456/'04 Prices'!B455-1)</f>
        <v/>
      </c>
      <c r="C455" s="25">
        <f>IF(OR($A455="",'04 Prices'!C455="",'04 Prices'!C456=""),"",'04 Prices'!C456/'04 Prices'!C455-1)</f>
        <v/>
      </c>
      <c r="D455" s="25">
        <f>IF(OR($A455="",'04 Prices'!D455="",'04 Prices'!D456=""),"",'04 Prices'!D456/'04 Prices'!D455-1)</f>
        <v/>
      </c>
      <c r="E455" s="25">
        <f>IF(OR($A455="",'04 Prices'!E455="",'04 Prices'!E456=""),"",'04 Prices'!E456/'04 Prices'!E455-1)</f>
        <v/>
      </c>
      <c r="F455" s="25">
        <f>IF(OR($A455="",'04 Prices'!F455="",'04 Prices'!F456=""),"",'04 Prices'!F456/'04 Prices'!F455-1)</f>
        <v/>
      </c>
      <c r="G455" s="25">
        <f>IF(OR($A455="",'04 Prices'!G455="",'04 Prices'!G456=""),"",'04 Prices'!G456/'04 Prices'!G455-1)</f>
        <v/>
      </c>
      <c r="H455" s="25">
        <f>IF(OR($A455="",'04 Prices'!H455="",'04 Prices'!H456=""),"",'04 Prices'!H456/'04 Prices'!H455-1)</f>
        <v/>
      </c>
    </row>
    <row r="456">
      <c r="A456" s="23">
        <f>IF('04 Prices'!A457="","",'04 Prices'!A457)</f>
        <v/>
      </c>
      <c r="B456" s="25">
        <f>IF(OR($A456="",'04 Prices'!B456="",'04 Prices'!B457=""),"",'04 Prices'!B457/'04 Prices'!B456-1)</f>
        <v/>
      </c>
      <c r="C456" s="25">
        <f>IF(OR($A456="",'04 Prices'!C456="",'04 Prices'!C457=""),"",'04 Prices'!C457/'04 Prices'!C456-1)</f>
        <v/>
      </c>
      <c r="D456" s="25">
        <f>IF(OR($A456="",'04 Prices'!D456="",'04 Prices'!D457=""),"",'04 Prices'!D457/'04 Prices'!D456-1)</f>
        <v/>
      </c>
      <c r="E456" s="25">
        <f>IF(OR($A456="",'04 Prices'!E456="",'04 Prices'!E457=""),"",'04 Prices'!E457/'04 Prices'!E456-1)</f>
        <v/>
      </c>
      <c r="F456" s="25">
        <f>IF(OR($A456="",'04 Prices'!F456="",'04 Prices'!F457=""),"",'04 Prices'!F457/'04 Prices'!F456-1)</f>
        <v/>
      </c>
      <c r="G456" s="25">
        <f>IF(OR($A456="",'04 Prices'!G456="",'04 Prices'!G457=""),"",'04 Prices'!G457/'04 Prices'!G456-1)</f>
        <v/>
      </c>
      <c r="H456" s="25">
        <f>IF(OR($A456="",'04 Prices'!H456="",'04 Prices'!H457=""),"",'04 Prices'!H457/'04 Prices'!H456-1)</f>
        <v/>
      </c>
    </row>
    <row r="457">
      <c r="A457" s="23">
        <f>IF('04 Prices'!A458="","",'04 Prices'!A458)</f>
        <v/>
      </c>
      <c r="B457" s="25">
        <f>IF(OR($A457="",'04 Prices'!B457="",'04 Prices'!B458=""),"",'04 Prices'!B458/'04 Prices'!B457-1)</f>
        <v/>
      </c>
      <c r="C457" s="25">
        <f>IF(OR($A457="",'04 Prices'!C457="",'04 Prices'!C458=""),"",'04 Prices'!C458/'04 Prices'!C457-1)</f>
        <v/>
      </c>
      <c r="D457" s="25">
        <f>IF(OR($A457="",'04 Prices'!D457="",'04 Prices'!D458=""),"",'04 Prices'!D458/'04 Prices'!D457-1)</f>
        <v/>
      </c>
      <c r="E457" s="25">
        <f>IF(OR($A457="",'04 Prices'!E457="",'04 Prices'!E458=""),"",'04 Prices'!E458/'04 Prices'!E457-1)</f>
        <v/>
      </c>
      <c r="F457" s="25">
        <f>IF(OR($A457="",'04 Prices'!F457="",'04 Prices'!F458=""),"",'04 Prices'!F458/'04 Prices'!F457-1)</f>
        <v/>
      </c>
      <c r="G457" s="25">
        <f>IF(OR($A457="",'04 Prices'!G457="",'04 Prices'!G458=""),"",'04 Prices'!G458/'04 Prices'!G457-1)</f>
        <v/>
      </c>
      <c r="H457" s="25">
        <f>IF(OR($A457="",'04 Prices'!H457="",'04 Prices'!H458=""),"",'04 Prices'!H458/'04 Prices'!H457-1)</f>
        <v/>
      </c>
    </row>
    <row r="458">
      <c r="A458" s="23">
        <f>IF('04 Prices'!A459="","",'04 Prices'!A459)</f>
        <v/>
      </c>
      <c r="B458" s="25">
        <f>IF(OR($A458="",'04 Prices'!B458="",'04 Prices'!B459=""),"",'04 Prices'!B459/'04 Prices'!B458-1)</f>
        <v/>
      </c>
      <c r="C458" s="25">
        <f>IF(OR($A458="",'04 Prices'!C458="",'04 Prices'!C459=""),"",'04 Prices'!C459/'04 Prices'!C458-1)</f>
        <v/>
      </c>
      <c r="D458" s="25">
        <f>IF(OR($A458="",'04 Prices'!D458="",'04 Prices'!D459=""),"",'04 Prices'!D459/'04 Prices'!D458-1)</f>
        <v/>
      </c>
      <c r="E458" s="25">
        <f>IF(OR($A458="",'04 Prices'!E458="",'04 Prices'!E459=""),"",'04 Prices'!E459/'04 Prices'!E458-1)</f>
        <v/>
      </c>
      <c r="F458" s="25">
        <f>IF(OR($A458="",'04 Prices'!F458="",'04 Prices'!F459=""),"",'04 Prices'!F459/'04 Prices'!F458-1)</f>
        <v/>
      </c>
      <c r="G458" s="25">
        <f>IF(OR($A458="",'04 Prices'!G458="",'04 Prices'!G459=""),"",'04 Prices'!G459/'04 Prices'!G458-1)</f>
        <v/>
      </c>
      <c r="H458" s="25">
        <f>IF(OR($A458="",'04 Prices'!H458="",'04 Prices'!H459=""),"",'04 Prices'!H459/'04 Prices'!H458-1)</f>
        <v/>
      </c>
    </row>
    <row r="459">
      <c r="A459" s="23">
        <f>IF('04 Prices'!A460="","",'04 Prices'!A460)</f>
        <v/>
      </c>
      <c r="B459" s="25">
        <f>IF(OR($A459="",'04 Prices'!B459="",'04 Prices'!B460=""),"",'04 Prices'!B460/'04 Prices'!B459-1)</f>
        <v/>
      </c>
      <c r="C459" s="25">
        <f>IF(OR($A459="",'04 Prices'!C459="",'04 Prices'!C460=""),"",'04 Prices'!C460/'04 Prices'!C459-1)</f>
        <v/>
      </c>
      <c r="D459" s="25">
        <f>IF(OR($A459="",'04 Prices'!D459="",'04 Prices'!D460=""),"",'04 Prices'!D460/'04 Prices'!D459-1)</f>
        <v/>
      </c>
      <c r="E459" s="25">
        <f>IF(OR($A459="",'04 Prices'!E459="",'04 Prices'!E460=""),"",'04 Prices'!E460/'04 Prices'!E459-1)</f>
        <v/>
      </c>
      <c r="F459" s="25">
        <f>IF(OR($A459="",'04 Prices'!F459="",'04 Prices'!F460=""),"",'04 Prices'!F460/'04 Prices'!F459-1)</f>
        <v/>
      </c>
      <c r="G459" s="25">
        <f>IF(OR($A459="",'04 Prices'!G459="",'04 Prices'!G460=""),"",'04 Prices'!G460/'04 Prices'!G459-1)</f>
        <v/>
      </c>
      <c r="H459" s="25">
        <f>IF(OR($A459="",'04 Prices'!H459="",'04 Prices'!H460=""),"",'04 Prices'!H460/'04 Prices'!H459-1)</f>
        <v/>
      </c>
    </row>
    <row r="460">
      <c r="A460" s="23">
        <f>IF('04 Prices'!A461="","",'04 Prices'!A461)</f>
        <v/>
      </c>
      <c r="B460" s="25">
        <f>IF(OR($A460="",'04 Prices'!B460="",'04 Prices'!B461=""),"",'04 Prices'!B461/'04 Prices'!B460-1)</f>
        <v/>
      </c>
      <c r="C460" s="25">
        <f>IF(OR($A460="",'04 Prices'!C460="",'04 Prices'!C461=""),"",'04 Prices'!C461/'04 Prices'!C460-1)</f>
        <v/>
      </c>
      <c r="D460" s="25">
        <f>IF(OR($A460="",'04 Prices'!D460="",'04 Prices'!D461=""),"",'04 Prices'!D461/'04 Prices'!D460-1)</f>
        <v/>
      </c>
      <c r="E460" s="25">
        <f>IF(OR($A460="",'04 Prices'!E460="",'04 Prices'!E461=""),"",'04 Prices'!E461/'04 Prices'!E460-1)</f>
        <v/>
      </c>
      <c r="F460" s="25">
        <f>IF(OR($A460="",'04 Prices'!F460="",'04 Prices'!F461=""),"",'04 Prices'!F461/'04 Prices'!F460-1)</f>
        <v/>
      </c>
      <c r="G460" s="25">
        <f>IF(OR($A460="",'04 Prices'!G460="",'04 Prices'!G461=""),"",'04 Prices'!G461/'04 Prices'!G460-1)</f>
        <v/>
      </c>
      <c r="H460" s="25">
        <f>IF(OR($A460="",'04 Prices'!H460="",'04 Prices'!H461=""),"",'04 Prices'!H461/'04 Prices'!H460-1)</f>
        <v/>
      </c>
    </row>
    <row r="461">
      <c r="A461" s="23">
        <f>IF('04 Prices'!A462="","",'04 Prices'!A462)</f>
        <v/>
      </c>
      <c r="B461" s="25">
        <f>IF(OR($A461="",'04 Prices'!B461="",'04 Prices'!B462=""),"",'04 Prices'!B462/'04 Prices'!B461-1)</f>
        <v/>
      </c>
      <c r="C461" s="25">
        <f>IF(OR($A461="",'04 Prices'!C461="",'04 Prices'!C462=""),"",'04 Prices'!C462/'04 Prices'!C461-1)</f>
        <v/>
      </c>
      <c r="D461" s="25">
        <f>IF(OR($A461="",'04 Prices'!D461="",'04 Prices'!D462=""),"",'04 Prices'!D462/'04 Prices'!D461-1)</f>
        <v/>
      </c>
      <c r="E461" s="25">
        <f>IF(OR($A461="",'04 Prices'!E461="",'04 Prices'!E462=""),"",'04 Prices'!E462/'04 Prices'!E461-1)</f>
        <v/>
      </c>
      <c r="F461" s="25">
        <f>IF(OR($A461="",'04 Prices'!F461="",'04 Prices'!F462=""),"",'04 Prices'!F462/'04 Prices'!F461-1)</f>
        <v/>
      </c>
      <c r="G461" s="25">
        <f>IF(OR($A461="",'04 Prices'!G461="",'04 Prices'!G462=""),"",'04 Prices'!G462/'04 Prices'!G461-1)</f>
        <v/>
      </c>
      <c r="H461" s="25">
        <f>IF(OR($A461="",'04 Prices'!H461="",'04 Prices'!H462=""),"",'04 Prices'!H462/'04 Prices'!H461-1)</f>
        <v/>
      </c>
    </row>
    <row r="462">
      <c r="A462" s="23">
        <f>IF('04 Prices'!A463="","",'04 Prices'!A463)</f>
        <v/>
      </c>
      <c r="B462" s="25">
        <f>IF(OR($A462="",'04 Prices'!B462="",'04 Prices'!B463=""),"",'04 Prices'!B463/'04 Prices'!B462-1)</f>
        <v/>
      </c>
      <c r="C462" s="25">
        <f>IF(OR($A462="",'04 Prices'!C462="",'04 Prices'!C463=""),"",'04 Prices'!C463/'04 Prices'!C462-1)</f>
        <v/>
      </c>
      <c r="D462" s="25">
        <f>IF(OR($A462="",'04 Prices'!D462="",'04 Prices'!D463=""),"",'04 Prices'!D463/'04 Prices'!D462-1)</f>
        <v/>
      </c>
      <c r="E462" s="25">
        <f>IF(OR($A462="",'04 Prices'!E462="",'04 Prices'!E463=""),"",'04 Prices'!E463/'04 Prices'!E462-1)</f>
        <v/>
      </c>
      <c r="F462" s="25">
        <f>IF(OR($A462="",'04 Prices'!F462="",'04 Prices'!F463=""),"",'04 Prices'!F463/'04 Prices'!F462-1)</f>
        <v/>
      </c>
      <c r="G462" s="25">
        <f>IF(OR($A462="",'04 Prices'!G462="",'04 Prices'!G463=""),"",'04 Prices'!G463/'04 Prices'!G462-1)</f>
        <v/>
      </c>
      <c r="H462" s="25">
        <f>IF(OR($A462="",'04 Prices'!H462="",'04 Prices'!H463=""),"",'04 Prices'!H463/'04 Prices'!H462-1)</f>
        <v/>
      </c>
    </row>
    <row r="463">
      <c r="A463" s="23">
        <f>IF('04 Prices'!A464="","",'04 Prices'!A464)</f>
        <v/>
      </c>
      <c r="B463" s="25">
        <f>IF(OR($A463="",'04 Prices'!B463="",'04 Prices'!B464=""),"",'04 Prices'!B464/'04 Prices'!B463-1)</f>
        <v/>
      </c>
      <c r="C463" s="25">
        <f>IF(OR($A463="",'04 Prices'!C463="",'04 Prices'!C464=""),"",'04 Prices'!C464/'04 Prices'!C463-1)</f>
        <v/>
      </c>
      <c r="D463" s="25">
        <f>IF(OR($A463="",'04 Prices'!D463="",'04 Prices'!D464=""),"",'04 Prices'!D464/'04 Prices'!D463-1)</f>
        <v/>
      </c>
      <c r="E463" s="25">
        <f>IF(OR($A463="",'04 Prices'!E463="",'04 Prices'!E464=""),"",'04 Prices'!E464/'04 Prices'!E463-1)</f>
        <v/>
      </c>
      <c r="F463" s="25">
        <f>IF(OR($A463="",'04 Prices'!F463="",'04 Prices'!F464=""),"",'04 Prices'!F464/'04 Prices'!F463-1)</f>
        <v/>
      </c>
      <c r="G463" s="25">
        <f>IF(OR($A463="",'04 Prices'!G463="",'04 Prices'!G464=""),"",'04 Prices'!G464/'04 Prices'!G463-1)</f>
        <v/>
      </c>
      <c r="H463" s="25">
        <f>IF(OR($A463="",'04 Prices'!H463="",'04 Prices'!H464=""),"",'04 Prices'!H464/'04 Prices'!H463-1)</f>
        <v/>
      </c>
    </row>
    <row r="464">
      <c r="A464" s="23">
        <f>IF('04 Prices'!A465="","",'04 Prices'!A465)</f>
        <v/>
      </c>
      <c r="B464" s="25">
        <f>IF(OR($A464="",'04 Prices'!B464="",'04 Prices'!B465=""),"",'04 Prices'!B465/'04 Prices'!B464-1)</f>
        <v/>
      </c>
      <c r="C464" s="25">
        <f>IF(OR($A464="",'04 Prices'!C464="",'04 Prices'!C465=""),"",'04 Prices'!C465/'04 Prices'!C464-1)</f>
        <v/>
      </c>
      <c r="D464" s="25">
        <f>IF(OR($A464="",'04 Prices'!D464="",'04 Prices'!D465=""),"",'04 Prices'!D465/'04 Prices'!D464-1)</f>
        <v/>
      </c>
      <c r="E464" s="25">
        <f>IF(OR($A464="",'04 Prices'!E464="",'04 Prices'!E465=""),"",'04 Prices'!E465/'04 Prices'!E464-1)</f>
        <v/>
      </c>
      <c r="F464" s="25">
        <f>IF(OR($A464="",'04 Prices'!F464="",'04 Prices'!F465=""),"",'04 Prices'!F465/'04 Prices'!F464-1)</f>
        <v/>
      </c>
      <c r="G464" s="25">
        <f>IF(OR($A464="",'04 Prices'!G464="",'04 Prices'!G465=""),"",'04 Prices'!G465/'04 Prices'!G464-1)</f>
        <v/>
      </c>
      <c r="H464" s="25">
        <f>IF(OR($A464="",'04 Prices'!H464="",'04 Prices'!H465=""),"",'04 Prices'!H465/'04 Prices'!H464-1)</f>
        <v/>
      </c>
    </row>
    <row r="465">
      <c r="A465" s="23">
        <f>IF('04 Prices'!A466="","",'04 Prices'!A466)</f>
        <v/>
      </c>
      <c r="B465" s="25">
        <f>IF(OR($A465="",'04 Prices'!B465="",'04 Prices'!B466=""),"",'04 Prices'!B466/'04 Prices'!B465-1)</f>
        <v/>
      </c>
      <c r="C465" s="25">
        <f>IF(OR($A465="",'04 Prices'!C465="",'04 Prices'!C466=""),"",'04 Prices'!C466/'04 Prices'!C465-1)</f>
        <v/>
      </c>
      <c r="D465" s="25">
        <f>IF(OR($A465="",'04 Prices'!D465="",'04 Prices'!D466=""),"",'04 Prices'!D466/'04 Prices'!D465-1)</f>
        <v/>
      </c>
      <c r="E465" s="25">
        <f>IF(OR($A465="",'04 Prices'!E465="",'04 Prices'!E466=""),"",'04 Prices'!E466/'04 Prices'!E465-1)</f>
        <v/>
      </c>
      <c r="F465" s="25">
        <f>IF(OR($A465="",'04 Prices'!F465="",'04 Prices'!F466=""),"",'04 Prices'!F466/'04 Prices'!F465-1)</f>
        <v/>
      </c>
      <c r="G465" s="25">
        <f>IF(OR($A465="",'04 Prices'!G465="",'04 Prices'!G466=""),"",'04 Prices'!G466/'04 Prices'!G465-1)</f>
        <v/>
      </c>
      <c r="H465" s="25">
        <f>IF(OR($A465="",'04 Prices'!H465="",'04 Prices'!H466=""),"",'04 Prices'!H466/'04 Prices'!H465-1)</f>
        <v/>
      </c>
    </row>
    <row r="466">
      <c r="A466" s="23">
        <f>IF('04 Prices'!A467="","",'04 Prices'!A467)</f>
        <v/>
      </c>
      <c r="B466" s="25">
        <f>IF(OR($A466="",'04 Prices'!B466="",'04 Prices'!B467=""),"",'04 Prices'!B467/'04 Prices'!B466-1)</f>
        <v/>
      </c>
      <c r="C466" s="25">
        <f>IF(OR($A466="",'04 Prices'!C466="",'04 Prices'!C467=""),"",'04 Prices'!C467/'04 Prices'!C466-1)</f>
        <v/>
      </c>
      <c r="D466" s="25">
        <f>IF(OR($A466="",'04 Prices'!D466="",'04 Prices'!D467=""),"",'04 Prices'!D467/'04 Prices'!D466-1)</f>
        <v/>
      </c>
      <c r="E466" s="25">
        <f>IF(OR($A466="",'04 Prices'!E466="",'04 Prices'!E467=""),"",'04 Prices'!E467/'04 Prices'!E466-1)</f>
        <v/>
      </c>
      <c r="F466" s="25">
        <f>IF(OR($A466="",'04 Prices'!F466="",'04 Prices'!F467=""),"",'04 Prices'!F467/'04 Prices'!F466-1)</f>
        <v/>
      </c>
      <c r="G466" s="25">
        <f>IF(OR($A466="",'04 Prices'!G466="",'04 Prices'!G467=""),"",'04 Prices'!G467/'04 Prices'!G466-1)</f>
        <v/>
      </c>
      <c r="H466" s="25">
        <f>IF(OR($A466="",'04 Prices'!H466="",'04 Prices'!H467=""),"",'04 Prices'!H467/'04 Prices'!H466-1)</f>
        <v/>
      </c>
    </row>
    <row r="467">
      <c r="A467" s="23">
        <f>IF('04 Prices'!A468="","",'04 Prices'!A468)</f>
        <v/>
      </c>
      <c r="B467" s="25">
        <f>IF(OR($A467="",'04 Prices'!B467="",'04 Prices'!B468=""),"",'04 Prices'!B468/'04 Prices'!B467-1)</f>
        <v/>
      </c>
      <c r="C467" s="25">
        <f>IF(OR($A467="",'04 Prices'!C467="",'04 Prices'!C468=""),"",'04 Prices'!C468/'04 Prices'!C467-1)</f>
        <v/>
      </c>
      <c r="D467" s="25">
        <f>IF(OR($A467="",'04 Prices'!D467="",'04 Prices'!D468=""),"",'04 Prices'!D468/'04 Prices'!D467-1)</f>
        <v/>
      </c>
      <c r="E467" s="25">
        <f>IF(OR($A467="",'04 Prices'!E467="",'04 Prices'!E468=""),"",'04 Prices'!E468/'04 Prices'!E467-1)</f>
        <v/>
      </c>
      <c r="F467" s="25">
        <f>IF(OR($A467="",'04 Prices'!F467="",'04 Prices'!F468=""),"",'04 Prices'!F468/'04 Prices'!F467-1)</f>
        <v/>
      </c>
      <c r="G467" s="25">
        <f>IF(OR($A467="",'04 Prices'!G467="",'04 Prices'!G468=""),"",'04 Prices'!G468/'04 Prices'!G467-1)</f>
        <v/>
      </c>
      <c r="H467" s="25">
        <f>IF(OR($A467="",'04 Prices'!H467="",'04 Prices'!H468=""),"",'04 Prices'!H468/'04 Prices'!H467-1)</f>
        <v/>
      </c>
    </row>
    <row r="468">
      <c r="A468" s="23">
        <f>IF('04 Prices'!A469="","",'04 Prices'!A469)</f>
        <v/>
      </c>
      <c r="B468" s="25">
        <f>IF(OR($A468="",'04 Prices'!B468="",'04 Prices'!B469=""),"",'04 Prices'!B469/'04 Prices'!B468-1)</f>
        <v/>
      </c>
      <c r="C468" s="25">
        <f>IF(OR($A468="",'04 Prices'!C468="",'04 Prices'!C469=""),"",'04 Prices'!C469/'04 Prices'!C468-1)</f>
        <v/>
      </c>
      <c r="D468" s="25">
        <f>IF(OR($A468="",'04 Prices'!D468="",'04 Prices'!D469=""),"",'04 Prices'!D469/'04 Prices'!D468-1)</f>
        <v/>
      </c>
      <c r="E468" s="25">
        <f>IF(OR($A468="",'04 Prices'!E468="",'04 Prices'!E469=""),"",'04 Prices'!E469/'04 Prices'!E468-1)</f>
        <v/>
      </c>
      <c r="F468" s="25">
        <f>IF(OR($A468="",'04 Prices'!F468="",'04 Prices'!F469=""),"",'04 Prices'!F469/'04 Prices'!F468-1)</f>
        <v/>
      </c>
      <c r="G468" s="25">
        <f>IF(OR($A468="",'04 Prices'!G468="",'04 Prices'!G469=""),"",'04 Prices'!G469/'04 Prices'!G468-1)</f>
        <v/>
      </c>
      <c r="H468" s="25">
        <f>IF(OR($A468="",'04 Prices'!H468="",'04 Prices'!H469=""),"",'04 Prices'!H469/'04 Prices'!H468-1)</f>
        <v/>
      </c>
    </row>
    <row r="469">
      <c r="A469" s="23">
        <f>IF('04 Prices'!A470="","",'04 Prices'!A470)</f>
        <v/>
      </c>
      <c r="B469" s="25">
        <f>IF(OR($A469="",'04 Prices'!B469="",'04 Prices'!B470=""),"",'04 Prices'!B470/'04 Prices'!B469-1)</f>
        <v/>
      </c>
      <c r="C469" s="25">
        <f>IF(OR($A469="",'04 Prices'!C469="",'04 Prices'!C470=""),"",'04 Prices'!C470/'04 Prices'!C469-1)</f>
        <v/>
      </c>
      <c r="D469" s="25">
        <f>IF(OR($A469="",'04 Prices'!D469="",'04 Prices'!D470=""),"",'04 Prices'!D470/'04 Prices'!D469-1)</f>
        <v/>
      </c>
      <c r="E469" s="25">
        <f>IF(OR($A469="",'04 Prices'!E469="",'04 Prices'!E470=""),"",'04 Prices'!E470/'04 Prices'!E469-1)</f>
        <v/>
      </c>
      <c r="F469" s="25">
        <f>IF(OR($A469="",'04 Prices'!F469="",'04 Prices'!F470=""),"",'04 Prices'!F470/'04 Prices'!F469-1)</f>
        <v/>
      </c>
      <c r="G469" s="25">
        <f>IF(OR($A469="",'04 Prices'!G469="",'04 Prices'!G470=""),"",'04 Prices'!G470/'04 Prices'!G469-1)</f>
        <v/>
      </c>
      <c r="H469" s="25">
        <f>IF(OR($A469="",'04 Prices'!H469="",'04 Prices'!H470=""),"",'04 Prices'!H470/'04 Prices'!H469-1)</f>
        <v/>
      </c>
    </row>
    <row r="470">
      <c r="A470" s="23">
        <f>IF('04 Prices'!A471="","",'04 Prices'!A471)</f>
        <v/>
      </c>
      <c r="B470" s="25">
        <f>IF(OR($A470="",'04 Prices'!B470="",'04 Prices'!B471=""),"",'04 Prices'!B471/'04 Prices'!B470-1)</f>
        <v/>
      </c>
      <c r="C470" s="25">
        <f>IF(OR($A470="",'04 Prices'!C470="",'04 Prices'!C471=""),"",'04 Prices'!C471/'04 Prices'!C470-1)</f>
        <v/>
      </c>
      <c r="D470" s="25">
        <f>IF(OR($A470="",'04 Prices'!D470="",'04 Prices'!D471=""),"",'04 Prices'!D471/'04 Prices'!D470-1)</f>
        <v/>
      </c>
      <c r="E470" s="25">
        <f>IF(OR($A470="",'04 Prices'!E470="",'04 Prices'!E471=""),"",'04 Prices'!E471/'04 Prices'!E470-1)</f>
        <v/>
      </c>
      <c r="F470" s="25">
        <f>IF(OR($A470="",'04 Prices'!F470="",'04 Prices'!F471=""),"",'04 Prices'!F471/'04 Prices'!F470-1)</f>
        <v/>
      </c>
      <c r="G470" s="25">
        <f>IF(OR($A470="",'04 Prices'!G470="",'04 Prices'!G471=""),"",'04 Prices'!G471/'04 Prices'!G470-1)</f>
        <v/>
      </c>
      <c r="H470" s="25">
        <f>IF(OR($A470="",'04 Prices'!H470="",'04 Prices'!H471=""),"",'04 Prices'!H471/'04 Prices'!H470-1)</f>
        <v/>
      </c>
    </row>
    <row r="471">
      <c r="A471" s="23">
        <f>IF('04 Prices'!A472="","",'04 Prices'!A472)</f>
        <v/>
      </c>
      <c r="B471" s="25">
        <f>IF(OR($A471="",'04 Prices'!B471="",'04 Prices'!B472=""),"",'04 Prices'!B472/'04 Prices'!B471-1)</f>
        <v/>
      </c>
      <c r="C471" s="25">
        <f>IF(OR($A471="",'04 Prices'!C471="",'04 Prices'!C472=""),"",'04 Prices'!C472/'04 Prices'!C471-1)</f>
        <v/>
      </c>
      <c r="D471" s="25">
        <f>IF(OR($A471="",'04 Prices'!D471="",'04 Prices'!D472=""),"",'04 Prices'!D472/'04 Prices'!D471-1)</f>
        <v/>
      </c>
      <c r="E471" s="25">
        <f>IF(OR($A471="",'04 Prices'!E471="",'04 Prices'!E472=""),"",'04 Prices'!E472/'04 Prices'!E471-1)</f>
        <v/>
      </c>
      <c r="F471" s="25">
        <f>IF(OR($A471="",'04 Prices'!F471="",'04 Prices'!F472=""),"",'04 Prices'!F472/'04 Prices'!F471-1)</f>
        <v/>
      </c>
      <c r="G471" s="25">
        <f>IF(OR($A471="",'04 Prices'!G471="",'04 Prices'!G472=""),"",'04 Prices'!G472/'04 Prices'!G471-1)</f>
        <v/>
      </c>
      <c r="H471" s="25">
        <f>IF(OR($A471="",'04 Prices'!H471="",'04 Prices'!H472=""),"",'04 Prices'!H472/'04 Prices'!H471-1)</f>
        <v/>
      </c>
    </row>
    <row r="472">
      <c r="A472" s="23">
        <f>IF('04 Prices'!A473="","",'04 Prices'!A473)</f>
        <v/>
      </c>
      <c r="B472" s="25">
        <f>IF(OR($A472="",'04 Prices'!B472="",'04 Prices'!B473=""),"",'04 Prices'!B473/'04 Prices'!B472-1)</f>
        <v/>
      </c>
      <c r="C472" s="25">
        <f>IF(OR($A472="",'04 Prices'!C472="",'04 Prices'!C473=""),"",'04 Prices'!C473/'04 Prices'!C472-1)</f>
        <v/>
      </c>
      <c r="D472" s="25">
        <f>IF(OR($A472="",'04 Prices'!D472="",'04 Prices'!D473=""),"",'04 Prices'!D473/'04 Prices'!D472-1)</f>
        <v/>
      </c>
      <c r="E472" s="25">
        <f>IF(OR($A472="",'04 Prices'!E472="",'04 Prices'!E473=""),"",'04 Prices'!E473/'04 Prices'!E472-1)</f>
        <v/>
      </c>
      <c r="F472" s="25">
        <f>IF(OR($A472="",'04 Prices'!F472="",'04 Prices'!F473=""),"",'04 Prices'!F473/'04 Prices'!F472-1)</f>
        <v/>
      </c>
      <c r="G472" s="25">
        <f>IF(OR($A472="",'04 Prices'!G472="",'04 Prices'!G473=""),"",'04 Prices'!G473/'04 Prices'!G472-1)</f>
        <v/>
      </c>
      <c r="H472" s="25">
        <f>IF(OR($A472="",'04 Prices'!H472="",'04 Prices'!H473=""),"",'04 Prices'!H473/'04 Prices'!H472-1)</f>
        <v/>
      </c>
    </row>
    <row r="473">
      <c r="A473" s="23">
        <f>IF('04 Prices'!A474="","",'04 Prices'!A474)</f>
        <v/>
      </c>
      <c r="B473" s="25">
        <f>IF(OR($A473="",'04 Prices'!B473="",'04 Prices'!B474=""),"",'04 Prices'!B474/'04 Prices'!B473-1)</f>
        <v/>
      </c>
      <c r="C473" s="25">
        <f>IF(OR($A473="",'04 Prices'!C473="",'04 Prices'!C474=""),"",'04 Prices'!C474/'04 Prices'!C473-1)</f>
        <v/>
      </c>
      <c r="D473" s="25">
        <f>IF(OR($A473="",'04 Prices'!D473="",'04 Prices'!D474=""),"",'04 Prices'!D474/'04 Prices'!D473-1)</f>
        <v/>
      </c>
      <c r="E473" s="25">
        <f>IF(OR($A473="",'04 Prices'!E473="",'04 Prices'!E474=""),"",'04 Prices'!E474/'04 Prices'!E473-1)</f>
        <v/>
      </c>
      <c r="F473" s="25">
        <f>IF(OR($A473="",'04 Prices'!F473="",'04 Prices'!F474=""),"",'04 Prices'!F474/'04 Prices'!F473-1)</f>
        <v/>
      </c>
      <c r="G473" s="25">
        <f>IF(OR($A473="",'04 Prices'!G473="",'04 Prices'!G474=""),"",'04 Prices'!G474/'04 Prices'!G473-1)</f>
        <v/>
      </c>
      <c r="H473" s="25">
        <f>IF(OR($A473="",'04 Prices'!H473="",'04 Prices'!H474=""),"",'04 Prices'!H474/'04 Prices'!H473-1)</f>
        <v/>
      </c>
    </row>
    <row r="474">
      <c r="A474" s="23">
        <f>IF('04 Prices'!A475="","",'04 Prices'!A475)</f>
        <v/>
      </c>
      <c r="B474" s="25">
        <f>IF(OR($A474="",'04 Prices'!B474="",'04 Prices'!B475=""),"",'04 Prices'!B475/'04 Prices'!B474-1)</f>
        <v/>
      </c>
      <c r="C474" s="25">
        <f>IF(OR($A474="",'04 Prices'!C474="",'04 Prices'!C475=""),"",'04 Prices'!C475/'04 Prices'!C474-1)</f>
        <v/>
      </c>
      <c r="D474" s="25">
        <f>IF(OR($A474="",'04 Prices'!D474="",'04 Prices'!D475=""),"",'04 Prices'!D475/'04 Prices'!D474-1)</f>
        <v/>
      </c>
      <c r="E474" s="25">
        <f>IF(OR($A474="",'04 Prices'!E474="",'04 Prices'!E475=""),"",'04 Prices'!E475/'04 Prices'!E474-1)</f>
        <v/>
      </c>
      <c r="F474" s="25">
        <f>IF(OR($A474="",'04 Prices'!F474="",'04 Prices'!F475=""),"",'04 Prices'!F475/'04 Prices'!F474-1)</f>
        <v/>
      </c>
      <c r="G474" s="25">
        <f>IF(OR($A474="",'04 Prices'!G474="",'04 Prices'!G475=""),"",'04 Prices'!G475/'04 Prices'!G474-1)</f>
        <v/>
      </c>
      <c r="H474" s="25">
        <f>IF(OR($A474="",'04 Prices'!H474="",'04 Prices'!H475=""),"",'04 Prices'!H475/'04 Prices'!H474-1)</f>
        <v/>
      </c>
    </row>
    <row r="475">
      <c r="A475" s="23">
        <f>IF('04 Prices'!A476="","",'04 Prices'!A476)</f>
        <v/>
      </c>
      <c r="B475" s="25">
        <f>IF(OR($A475="",'04 Prices'!B475="",'04 Prices'!B476=""),"",'04 Prices'!B476/'04 Prices'!B475-1)</f>
        <v/>
      </c>
      <c r="C475" s="25">
        <f>IF(OR($A475="",'04 Prices'!C475="",'04 Prices'!C476=""),"",'04 Prices'!C476/'04 Prices'!C475-1)</f>
        <v/>
      </c>
      <c r="D475" s="25">
        <f>IF(OR($A475="",'04 Prices'!D475="",'04 Prices'!D476=""),"",'04 Prices'!D476/'04 Prices'!D475-1)</f>
        <v/>
      </c>
      <c r="E475" s="25">
        <f>IF(OR($A475="",'04 Prices'!E475="",'04 Prices'!E476=""),"",'04 Prices'!E476/'04 Prices'!E475-1)</f>
        <v/>
      </c>
      <c r="F475" s="25">
        <f>IF(OR($A475="",'04 Prices'!F475="",'04 Prices'!F476=""),"",'04 Prices'!F476/'04 Prices'!F475-1)</f>
        <v/>
      </c>
      <c r="G475" s="25">
        <f>IF(OR($A475="",'04 Prices'!G475="",'04 Prices'!G476=""),"",'04 Prices'!G476/'04 Prices'!G475-1)</f>
        <v/>
      </c>
      <c r="H475" s="25">
        <f>IF(OR($A475="",'04 Prices'!H475="",'04 Prices'!H476=""),"",'04 Prices'!H476/'04 Prices'!H475-1)</f>
        <v/>
      </c>
    </row>
    <row r="476">
      <c r="A476" s="23">
        <f>IF('04 Prices'!A477="","",'04 Prices'!A477)</f>
        <v/>
      </c>
      <c r="B476" s="25">
        <f>IF(OR($A476="",'04 Prices'!B476="",'04 Prices'!B477=""),"",'04 Prices'!B477/'04 Prices'!B476-1)</f>
        <v/>
      </c>
      <c r="C476" s="25">
        <f>IF(OR($A476="",'04 Prices'!C476="",'04 Prices'!C477=""),"",'04 Prices'!C477/'04 Prices'!C476-1)</f>
        <v/>
      </c>
      <c r="D476" s="25">
        <f>IF(OR($A476="",'04 Prices'!D476="",'04 Prices'!D477=""),"",'04 Prices'!D477/'04 Prices'!D476-1)</f>
        <v/>
      </c>
      <c r="E476" s="25">
        <f>IF(OR($A476="",'04 Prices'!E476="",'04 Prices'!E477=""),"",'04 Prices'!E477/'04 Prices'!E476-1)</f>
        <v/>
      </c>
      <c r="F476" s="25">
        <f>IF(OR($A476="",'04 Prices'!F476="",'04 Prices'!F477=""),"",'04 Prices'!F477/'04 Prices'!F476-1)</f>
        <v/>
      </c>
      <c r="G476" s="25">
        <f>IF(OR($A476="",'04 Prices'!G476="",'04 Prices'!G477=""),"",'04 Prices'!G477/'04 Prices'!G476-1)</f>
        <v/>
      </c>
      <c r="H476" s="25">
        <f>IF(OR($A476="",'04 Prices'!H476="",'04 Prices'!H477=""),"",'04 Prices'!H477/'04 Prices'!H476-1)</f>
        <v/>
      </c>
    </row>
    <row r="477">
      <c r="A477" s="23">
        <f>IF('04 Prices'!A478="","",'04 Prices'!A478)</f>
        <v/>
      </c>
      <c r="B477" s="25">
        <f>IF(OR($A477="",'04 Prices'!B477="",'04 Prices'!B478=""),"",'04 Prices'!B478/'04 Prices'!B477-1)</f>
        <v/>
      </c>
      <c r="C477" s="25">
        <f>IF(OR($A477="",'04 Prices'!C477="",'04 Prices'!C478=""),"",'04 Prices'!C478/'04 Prices'!C477-1)</f>
        <v/>
      </c>
      <c r="D477" s="25">
        <f>IF(OR($A477="",'04 Prices'!D477="",'04 Prices'!D478=""),"",'04 Prices'!D478/'04 Prices'!D477-1)</f>
        <v/>
      </c>
      <c r="E477" s="25">
        <f>IF(OR($A477="",'04 Prices'!E477="",'04 Prices'!E478=""),"",'04 Prices'!E478/'04 Prices'!E477-1)</f>
        <v/>
      </c>
      <c r="F477" s="25">
        <f>IF(OR($A477="",'04 Prices'!F477="",'04 Prices'!F478=""),"",'04 Prices'!F478/'04 Prices'!F477-1)</f>
        <v/>
      </c>
      <c r="G477" s="25">
        <f>IF(OR($A477="",'04 Prices'!G477="",'04 Prices'!G478=""),"",'04 Prices'!G478/'04 Prices'!G477-1)</f>
        <v/>
      </c>
      <c r="H477" s="25">
        <f>IF(OR($A477="",'04 Prices'!H477="",'04 Prices'!H478=""),"",'04 Prices'!H478/'04 Prices'!H477-1)</f>
        <v/>
      </c>
    </row>
    <row r="478">
      <c r="A478" s="23">
        <f>IF('04 Prices'!A479="","",'04 Prices'!A479)</f>
        <v/>
      </c>
      <c r="B478" s="25">
        <f>IF(OR($A478="",'04 Prices'!B478="",'04 Prices'!B479=""),"",'04 Prices'!B479/'04 Prices'!B478-1)</f>
        <v/>
      </c>
      <c r="C478" s="25">
        <f>IF(OR($A478="",'04 Prices'!C478="",'04 Prices'!C479=""),"",'04 Prices'!C479/'04 Prices'!C478-1)</f>
        <v/>
      </c>
      <c r="D478" s="25">
        <f>IF(OR($A478="",'04 Prices'!D478="",'04 Prices'!D479=""),"",'04 Prices'!D479/'04 Prices'!D478-1)</f>
        <v/>
      </c>
      <c r="E478" s="25">
        <f>IF(OR($A478="",'04 Prices'!E478="",'04 Prices'!E479=""),"",'04 Prices'!E479/'04 Prices'!E478-1)</f>
        <v/>
      </c>
      <c r="F478" s="25">
        <f>IF(OR($A478="",'04 Prices'!F478="",'04 Prices'!F479=""),"",'04 Prices'!F479/'04 Prices'!F478-1)</f>
        <v/>
      </c>
      <c r="G478" s="25">
        <f>IF(OR($A478="",'04 Prices'!G478="",'04 Prices'!G479=""),"",'04 Prices'!G479/'04 Prices'!G478-1)</f>
        <v/>
      </c>
      <c r="H478" s="25">
        <f>IF(OR($A478="",'04 Prices'!H478="",'04 Prices'!H479=""),"",'04 Prices'!H479/'04 Prices'!H478-1)</f>
        <v/>
      </c>
    </row>
    <row r="479">
      <c r="A479" s="23">
        <f>IF('04 Prices'!A480="","",'04 Prices'!A480)</f>
        <v/>
      </c>
      <c r="B479" s="25">
        <f>IF(OR($A479="",'04 Prices'!B479="",'04 Prices'!B480=""),"",'04 Prices'!B480/'04 Prices'!B479-1)</f>
        <v/>
      </c>
      <c r="C479" s="25">
        <f>IF(OR($A479="",'04 Prices'!C479="",'04 Prices'!C480=""),"",'04 Prices'!C480/'04 Prices'!C479-1)</f>
        <v/>
      </c>
      <c r="D479" s="25">
        <f>IF(OR($A479="",'04 Prices'!D479="",'04 Prices'!D480=""),"",'04 Prices'!D480/'04 Prices'!D479-1)</f>
        <v/>
      </c>
      <c r="E479" s="25">
        <f>IF(OR($A479="",'04 Prices'!E479="",'04 Prices'!E480=""),"",'04 Prices'!E480/'04 Prices'!E479-1)</f>
        <v/>
      </c>
      <c r="F479" s="25">
        <f>IF(OR($A479="",'04 Prices'!F479="",'04 Prices'!F480=""),"",'04 Prices'!F480/'04 Prices'!F479-1)</f>
        <v/>
      </c>
      <c r="G479" s="25">
        <f>IF(OR($A479="",'04 Prices'!G479="",'04 Prices'!G480=""),"",'04 Prices'!G480/'04 Prices'!G479-1)</f>
        <v/>
      </c>
      <c r="H479" s="25">
        <f>IF(OR($A479="",'04 Prices'!H479="",'04 Prices'!H480=""),"",'04 Prices'!H480/'04 Prices'!H479-1)</f>
        <v/>
      </c>
    </row>
    <row r="480">
      <c r="A480" s="23">
        <f>IF('04 Prices'!A481="","",'04 Prices'!A481)</f>
        <v/>
      </c>
      <c r="B480" s="25">
        <f>IF(OR($A480="",'04 Prices'!B480="",'04 Prices'!B481=""),"",'04 Prices'!B481/'04 Prices'!B480-1)</f>
        <v/>
      </c>
      <c r="C480" s="25">
        <f>IF(OR($A480="",'04 Prices'!C480="",'04 Prices'!C481=""),"",'04 Prices'!C481/'04 Prices'!C480-1)</f>
        <v/>
      </c>
      <c r="D480" s="25">
        <f>IF(OR($A480="",'04 Prices'!D480="",'04 Prices'!D481=""),"",'04 Prices'!D481/'04 Prices'!D480-1)</f>
        <v/>
      </c>
      <c r="E480" s="25">
        <f>IF(OR($A480="",'04 Prices'!E480="",'04 Prices'!E481=""),"",'04 Prices'!E481/'04 Prices'!E480-1)</f>
        <v/>
      </c>
      <c r="F480" s="25">
        <f>IF(OR($A480="",'04 Prices'!F480="",'04 Prices'!F481=""),"",'04 Prices'!F481/'04 Prices'!F480-1)</f>
        <v/>
      </c>
      <c r="G480" s="25">
        <f>IF(OR($A480="",'04 Prices'!G480="",'04 Prices'!G481=""),"",'04 Prices'!G481/'04 Prices'!G480-1)</f>
        <v/>
      </c>
      <c r="H480" s="25">
        <f>IF(OR($A480="",'04 Prices'!H480="",'04 Prices'!H481=""),"",'04 Prices'!H481/'04 Prices'!H480-1)</f>
        <v/>
      </c>
    </row>
    <row r="481">
      <c r="A481" s="23">
        <f>IF('04 Prices'!A482="","",'04 Prices'!A482)</f>
        <v/>
      </c>
      <c r="B481" s="25">
        <f>IF(OR($A481="",'04 Prices'!B481="",'04 Prices'!B482=""),"",'04 Prices'!B482/'04 Prices'!B481-1)</f>
        <v/>
      </c>
      <c r="C481" s="25">
        <f>IF(OR($A481="",'04 Prices'!C481="",'04 Prices'!C482=""),"",'04 Prices'!C482/'04 Prices'!C481-1)</f>
        <v/>
      </c>
      <c r="D481" s="25">
        <f>IF(OR($A481="",'04 Prices'!D481="",'04 Prices'!D482=""),"",'04 Prices'!D482/'04 Prices'!D481-1)</f>
        <v/>
      </c>
      <c r="E481" s="25">
        <f>IF(OR($A481="",'04 Prices'!E481="",'04 Prices'!E482=""),"",'04 Prices'!E482/'04 Prices'!E481-1)</f>
        <v/>
      </c>
      <c r="F481" s="25">
        <f>IF(OR($A481="",'04 Prices'!F481="",'04 Prices'!F482=""),"",'04 Prices'!F482/'04 Prices'!F481-1)</f>
        <v/>
      </c>
      <c r="G481" s="25">
        <f>IF(OR($A481="",'04 Prices'!G481="",'04 Prices'!G482=""),"",'04 Prices'!G482/'04 Prices'!G481-1)</f>
        <v/>
      </c>
      <c r="H481" s="25">
        <f>IF(OR($A481="",'04 Prices'!H481="",'04 Prices'!H482=""),"",'04 Prices'!H482/'04 Prices'!H481-1)</f>
        <v/>
      </c>
    </row>
    <row r="482">
      <c r="A482" s="23">
        <f>IF('04 Prices'!A483="","",'04 Prices'!A483)</f>
        <v/>
      </c>
      <c r="B482" s="25">
        <f>IF(OR($A482="",'04 Prices'!B482="",'04 Prices'!B483=""),"",'04 Prices'!B483/'04 Prices'!B482-1)</f>
        <v/>
      </c>
      <c r="C482" s="25">
        <f>IF(OR($A482="",'04 Prices'!C482="",'04 Prices'!C483=""),"",'04 Prices'!C483/'04 Prices'!C482-1)</f>
        <v/>
      </c>
      <c r="D482" s="25">
        <f>IF(OR($A482="",'04 Prices'!D482="",'04 Prices'!D483=""),"",'04 Prices'!D483/'04 Prices'!D482-1)</f>
        <v/>
      </c>
      <c r="E482" s="25">
        <f>IF(OR($A482="",'04 Prices'!E482="",'04 Prices'!E483=""),"",'04 Prices'!E483/'04 Prices'!E482-1)</f>
        <v/>
      </c>
      <c r="F482" s="25">
        <f>IF(OR($A482="",'04 Prices'!F482="",'04 Prices'!F483=""),"",'04 Prices'!F483/'04 Prices'!F482-1)</f>
        <v/>
      </c>
      <c r="G482" s="25">
        <f>IF(OR($A482="",'04 Prices'!G482="",'04 Prices'!G483=""),"",'04 Prices'!G483/'04 Prices'!G482-1)</f>
        <v/>
      </c>
      <c r="H482" s="25">
        <f>IF(OR($A482="",'04 Prices'!H482="",'04 Prices'!H483=""),"",'04 Prices'!H483/'04 Prices'!H482-1)</f>
        <v/>
      </c>
    </row>
    <row r="483">
      <c r="A483" s="23">
        <f>IF('04 Prices'!A484="","",'04 Prices'!A484)</f>
        <v/>
      </c>
      <c r="B483" s="25">
        <f>IF(OR($A483="",'04 Prices'!B483="",'04 Prices'!B484=""),"",'04 Prices'!B484/'04 Prices'!B483-1)</f>
        <v/>
      </c>
      <c r="C483" s="25">
        <f>IF(OR($A483="",'04 Prices'!C483="",'04 Prices'!C484=""),"",'04 Prices'!C484/'04 Prices'!C483-1)</f>
        <v/>
      </c>
      <c r="D483" s="25">
        <f>IF(OR($A483="",'04 Prices'!D483="",'04 Prices'!D484=""),"",'04 Prices'!D484/'04 Prices'!D483-1)</f>
        <v/>
      </c>
      <c r="E483" s="25">
        <f>IF(OR($A483="",'04 Prices'!E483="",'04 Prices'!E484=""),"",'04 Prices'!E484/'04 Prices'!E483-1)</f>
        <v/>
      </c>
      <c r="F483" s="25">
        <f>IF(OR($A483="",'04 Prices'!F483="",'04 Prices'!F484=""),"",'04 Prices'!F484/'04 Prices'!F483-1)</f>
        <v/>
      </c>
      <c r="G483" s="25">
        <f>IF(OR($A483="",'04 Prices'!G483="",'04 Prices'!G484=""),"",'04 Prices'!G484/'04 Prices'!G483-1)</f>
        <v/>
      </c>
      <c r="H483" s="25">
        <f>IF(OR($A483="",'04 Prices'!H483="",'04 Prices'!H484=""),"",'04 Prices'!H484/'04 Prices'!H483-1)</f>
        <v/>
      </c>
    </row>
    <row r="484">
      <c r="A484" s="23">
        <f>IF('04 Prices'!A485="","",'04 Prices'!A485)</f>
        <v/>
      </c>
      <c r="B484" s="25">
        <f>IF(OR($A484="",'04 Prices'!B484="",'04 Prices'!B485=""),"",'04 Prices'!B485/'04 Prices'!B484-1)</f>
        <v/>
      </c>
      <c r="C484" s="25">
        <f>IF(OR($A484="",'04 Prices'!C484="",'04 Prices'!C485=""),"",'04 Prices'!C485/'04 Prices'!C484-1)</f>
        <v/>
      </c>
      <c r="D484" s="25">
        <f>IF(OR($A484="",'04 Prices'!D484="",'04 Prices'!D485=""),"",'04 Prices'!D485/'04 Prices'!D484-1)</f>
        <v/>
      </c>
      <c r="E484" s="25">
        <f>IF(OR($A484="",'04 Prices'!E484="",'04 Prices'!E485=""),"",'04 Prices'!E485/'04 Prices'!E484-1)</f>
        <v/>
      </c>
      <c r="F484" s="25">
        <f>IF(OR($A484="",'04 Prices'!F484="",'04 Prices'!F485=""),"",'04 Prices'!F485/'04 Prices'!F484-1)</f>
        <v/>
      </c>
      <c r="G484" s="25">
        <f>IF(OR($A484="",'04 Prices'!G484="",'04 Prices'!G485=""),"",'04 Prices'!G485/'04 Prices'!G484-1)</f>
        <v/>
      </c>
      <c r="H484" s="25">
        <f>IF(OR($A484="",'04 Prices'!H484="",'04 Prices'!H485=""),"",'04 Prices'!H485/'04 Prices'!H484-1)</f>
        <v/>
      </c>
    </row>
    <row r="485">
      <c r="A485" s="23">
        <f>IF('04 Prices'!A486="","",'04 Prices'!A486)</f>
        <v/>
      </c>
      <c r="B485" s="25">
        <f>IF(OR($A485="",'04 Prices'!B485="",'04 Prices'!B486=""),"",'04 Prices'!B486/'04 Prices'!B485-1)</f>
        <v/>
      </c>
      <c r="C485" s="25">
        <f>IF(OR($A485="",'04 Prices'!C485="",'04 Prices'!C486=""),"",'04 Prices'!C486/'04 Prices'!C485-1)</f>
        <v/>
      </c>
      <c r="D485" s="25">
        <f>IF(OR($A485="",'04 Prices'!D485="",'04 Prices'!D486=""),"",'04 Prices'!D486/'04 Prices'!D485-1)</f>
        <v/>
      </c>
      <c r="E485" s="25">
        <f>IF(OR($A485="",'04 Prices'!E485="",'04 Prices'!E486=""),"",'04 Prices'!E486/'04 Prices'!E485-1)</f>
        <v/>
      </c>
      <c r="F485" s="25">
        <f>IF(OR($A485="",'04 Prices'!F485="",'04 Prices'!F486=""),"",'04 Prices'!F486/'04 Prices'!F485-1)</f>
        <v/>
      </c>
      <c r="G485" s="25">
        <f>IF(OR($A485="",'04 Prices'!G485="",'04 Prices'!G486=""),"",'04 Prices'!G486/'04 Prices'!G485-1)</f>
        <v/>
      </c>
      <c r="H485" s="25">
        <f>IF(OR($A485="",'04 Prices'!H485="",'04 Prices'!H486=""),"",'04 Prices'!H486/'04 Prices'!H485-1)</f>
        <v/>
      </c>
    </row>
    <row r="486">
      <c r="A486" s="23">
        <f>IF('04 Prices'!A487="","",'04 Prices'!A487)</f>
        <v/>
      </c>
      <c r="B486" s="25">
        <f>IF(OR($A486="",'04 Prices'!B486="",'04 Prices'!B487=""),"",'04 Prices'!B487/'04 Prices'!B486-1)</f>
        <v/>
      </c>
      <c r="C486" s="25">
        <f>IF(OR($A486="",'04 Prices'!C486="",'04 Prices'!C487=""),"",'04 Prices'!C487/'04 Prices'!C486-1)</f>
        <v/>
      </c>
      <c r="D486" s="25">
        <f>IF(OR($A486="",'04 Prices'!D486="",'04 Prices'!D487=""),"",'04 Prices'!D487/'04 Prices'!D486-1)</f>
        <v/>
      </c>
      <c r="E486" s="25">
        <f>IF(OR($A486="",'04 Prices'!E486="",'04 Prices'!E487=""),"",'04 Prices'!E487/'04 Prices'!E486-1)</f>
        <v/>
      </c>
      <c r="F486" s="25">
        <f>IF(OR($A486="",'04 Prices'!F486="",'04 Prices'!F487=""),"",'04 Prices'!F487/'04 Prices'!F486-1)</f>
        <v/>
      </c>
      <c r="G486" s="25">
        <f>IF(OR($A486="",'04 Prices'!G486="",'04 Prices'!G487=""),"",'04 Prices'!G487/'04 Prices'!G486-1)</f>
        <v/>
      </c>
      <c r="H486" s="25">
        <f>IF(OR($A486="",'04 Prices'!H486="",'04 Prices'!H487=""),"",'04 Prices'!H487/'04 Prices'!H486-1)</f>
        <v/>
      </c>
    </row>
    <row r="487">
      <c r="A487" s="23">
        <f>IF('04 Prices'!A488="","",'04 Prices'!A488)</f>
        <v/>
      </c>
      <c r="B487" s="25">
        <f>IF(OR($A487="",'04 Prices'!B487="",'04 Prices'!B488=""),"",'04 Prices'!B488/'04 Prices'!B487-1)</f>
        <v/>
      </c>
      <c r="C487" s="25">
        <f>IF(OR($A487="",'04 Prices'!C487="",'04 Prices'!C488=""),"",'04 Prices'!C488/'04 Prices'!C487-1)</f>
        <v/>
      </c>
      <c r="D487" s="25">
        <f>IF(OR($A487="",'04 Prices'!D487="",'04 Prices'!D488=""),"",'04 Prices'!D488/'04 Prices'!D487-1)</f>
        <v/>
      </c>
      <c r="E487" s="25">
        <f>IF(OR($A487="",'04 Prices'!E487="",'04 Prices'!E488=""),"",'04 Prices'!E488/'04 Prices'!E487-1)</f>
        <v/>
      </c>
      <c r="F487" s="25">
        <f>IF(OR($A487="",'04 Prices'!F487="",'04 Prices'!F488=""),"",'04 Prices'!F488/'04 Prices'!F487-1)</f>
        <v/>
      </c>
      <c r="G487" s="25">
        <f>IF(OR($A487="",'04 Prices'!G487="",'04 Prices'!G488=""),"",'04 Prices'!G488/'04 Prices'!G487-1)</f>
        <v/>
      </c>
      <c r="H487" s="25">
        <f>IF(OR($A487="",'04 Prices'!H487="",'04 Prices'!H488=""),"",'04 Prices'!H488/'04 Prices'!H487-1)</f>
        <v/>
      </c>
    </row>
    <row r="488">
      <c r="A488" s="23">
        <f>IF('04 Prices'!A489="","",'04 Prices'!A489)</f>
        <v/>
      </c>
      <c r="B488" s="25">
        <f>IF(OR($A488="",'04 Prices'!B488="",'04 Prices'!B489=""),"",'04 Prices'!B489/'04 Prices'!B488-1)</f>
        <v/>
      </c>
      <c r="C488" s="25">
        <f>IF(OR($A488="",'04 Prices'!C488="",'04 Prices'!C489=""),"",'04 Prices'!C489/'04 Prices'!C488-1)</f>
        <v/>
      </c>
      <c r="D488" s="25">
        <f>IF(OR($A488="",'04 Prices'!D488="",'04 Prices'!D489=""),"",'04 Prices'!D489/'04 Prices'!D488-1)</f>
        <v/>
      </c>
      <c r="E488" s="25">
        <f>IF(OR($A488="",'04 Prices'!E488="",'04 Prices'!E489=""),"",'04 Prices'!E489/'04 Prices'!E488-1)</f>
        <v/>
      </c>
      <c r="F488" s="25">
        <f>IF(OR($A488="",'04 Prices'!F488="",'04 Prices'!F489=""),"",'04 Prices'!F489/'04 Prices'!F488-1)</f>
        <v/>
      </c>
      <c r="G488" s="25">
        <f>IF(OR($A488="",'04 Prices'!G488="",'04 Prices'!G489=""),"",'04 Prices'!G489/'04 Prices'!G488-1)</f>
        <v/>
      </c>
      <c r="H488" s="25">
        <f>IF(OR($A488="",'04 Prices'!H488="",'04 Prices'!H489=""),"",'04 Prices'!H489/'04 Prices'!H488-1)</f>
        <v/>
      </c>
    </row>
    <row r="489">
      <c r="A489" s="23">
        <f>IF('04 Prices'!A490="","",'04 Prices'!A490)</f>
        <v/>
      </c>
      <c r="B489" s="25">
        <f>IF(OR($A489="",'04 Prices'!B489="",'04 Prices'!B490=""),"",'04 Prices'!B490/'04 Prices'!B489-1)</f>
        <v/>
      </c>
      <c r="C489" s="25">
        <f>IF(OR($A489="",'04 Prices'!C489="",'04 Prices'!C490=""),"",'04 Prices'!C490/'04 Prices'!C489-1)</f>
        <v/>
      </c>
      <c r="D489" s="25">
        <f>IF(OR($A489="",'04 Prices'!D489="",'04 Prices'!D490=""),"",'04 Prices'!D490/'04 Prices'!D489-1)</f>
        <v/>
      </c>
      <c r="E489" s="25">
        <f>IF(OR($A489="",'04 Prices'!E489="",'04 Prices'!E490=""),"",'04 Prices'!E490/'04 Prices'!E489-1)</f>
        <v/>
      </c>
      <c r="F489" s="25">
        <f>IF(OR($A489="",'04 Prices'!F489="",'04 Prices'!F490=""),"",'04 Prices'!F490/'04 Prices'!F489-1)</f>
        <v/>
      </c>
      <c r="G489" s="25">
        <f>IF(OR($A489="",'04 Prices'!G489="",'04 Prices'!G490=""),"",'04 Prices'!G490/'04 Prices'!G489-1)</f>
        <v/>
      </c>
      <c r="H489" s="25">
        <f>IF(OR($A489="",'04 Prices'!H489="",'04 Prices'!H490=""),"",'04 Prices'!H490/'04 Prices'!H489-1)</f>
        <v/>
      </c>
    </row>
    <row r="490">
      <c r="A490" s="23">
        <f>IF('04 Prices'!A491="","",'04 Prices'!A491)</f>
        <v/>
      </c>
      <c r="B490" s="25">
        <f>IF(OR($A490="",'04 Prices'!B490="",'04 Prices'!B491=""),"",'04 Prices'!B491/'04 Prices'!B490-1)</f>
        <v/>
      </c>
      <c r="C490" s="25">
        <f>IF(OR($A490="",'04 Prices'!C490="",'04 Prices'!C491=""),"",'04 Prices'!C491/'04 Prices'!C490-1)</f>
        <v/>
      </c>
      <c r="D490" s="25">
        <f>IF(OR($A490="",'04 Prices'!D490="",'04 Prices'!D491=""),"",'04 Prices'!D491/'04 Prices'!D490-1)</f>
        <v/>
      </c>
      <c r="E490" s="25">
        <f>IF(OR($A490="",'04 Prices'!E490="",'04 Prices'!E491=""),"",'04 Prices'!E491/'04 Prices'!E490-1)</f>
        <v/>
      </c>
      <c r="F490" s="25">
        <f>IF(OR($A490="",'04 Prices'!F490="",'04 Prices'!F491=""),"",'04 Prices'!F491/'04 Prices'!F490-1)</f>
        <v/>
      </c>
      <c r="G490" s="25">
        <f>IF(OR($A490="",'04 Prices'!G490="",'04 Prices'!G491=""),"",'04 Prices'!G491/'04 Prices'!G490-1)</f>
        <v/>
      </c>
      <c r="H490" s="25">
        <f>IF(OR($A490="",'04 Prices'!H490="",'04 Prices'!H491=""),"",'04 Prices'!H491/'04 Prices'!H490-1)</f>
        <v/>
      </c>
    </row>
    <row r="491">
      <c r="A491" s="23">
        <f>IF('04 Prices'!A492="","",'04 Prices'!A492)</f>
        <v/>
      </c>
      <c r="B491" s="25">
        <f>IF(OR($A491="",'04 Prices'!B491="",'04 Prices'!B492=""),"",'04 Prices'!B492/'04 Prices'!B491-1)</f>
        <v/>
      </c>
      <c r="C491" s="25">
        <f>IF(OR($A491="",'04 Prices'!C491="",'04 Prices'!C492=""),"",'04 Prices'!C492/'04 Prices'!C491-1)</f>
        <v/>
      </c>
      <c r="D491" s="25">
        <f>IF(OR($A491="",'04 Prices'!D491="",'04 Prices'!D492=""),"",'04 Prices'!D492/'04 Prices'!D491-1)</f>
        <v/>
      </c>
      <c r="E491" s="25">
        <f>IF(OR($A491="",'04 Prices'!E491="",'04 Prices'!E492=""),"",'04 Prices'!E492/'04 Prices'!E491-1)</f>
        <v/>
      </c>
      <c r="F491" s="25">
        <f>IF(OR($A491="",'04 Prices'!F491="",'04 Prices'!F492=""),"",'04 Prices'!F492/'04 Prices'!F491-1)</f>
        <v/>
      </c>
      <c r="G491" s="25">
        <f>IF(OR($A491="",'04 Prices'!G491="",'04 Prices'!G492=""),"",'04 Prices'!G492/'04 Prices'!G491-1)</f>
        <v/>
      </c>
      <c r="H491" s="25">
        <f>IF(OR($A491="",'04 Prices'!H491="",'04 Prices'!H492=""),"",'04 Prices'!H492/'04 Prices'!H491-1)</f>
        <v/>
      </c>
    </row>
    <row r="492">
      <c r="A492" s="23">
        <f>IF('04 Prices'!A493="","",'04 Prices'!A493)</f>
        <v/>
      </c>
      <c r="B492" s="25">
        <f>IF(OR($A492="",'04 Prices'!B492="",'04 Prices'!B493=""),"",'04 Prices'!B493/'04 Prices'!B492-1)</f>
        <v/>
      </c>
      <c r="C492" s="25">
        <f>IF(OR($A492="",'04 Prices'!C492="",'04 Prices'!C493=""),"",'04 Prices'!C493/'04 Prices'!C492-1)</f>
        <v/>
      </c>
      <c r="D492" s="25">
        <f>IF(OR($A492="",'04 Prices'!D492="",'04 Prices'!D493=""),"",'04 Prices'!D493/'04 Prices'!D492-1)</f>
        <v/>
      </c>
      <c r="E492" s="25">
        <f>IF(OR($A492="",'04 Prices'!E492="",'04 Prices'!E493=""),"",'04 Prices'!E493/'04 Prices'!E492-1)</f>
        <v/>
      </c>
      <c r="F492" s="25">
        <f>IF(OR($A492="",'04 Prices'!F492="",'04 Prices'!F493=""),"",'04 Prices'!F493/'04 Prices'!F492-1)</f>
        <v/>
      </c>
      <c r="G492" s="25">
        <f>IF(OR($A492="",'04 Prices'!G492="",'04 Prices'!G493=""),"",'04 Prices'!G493/'04 Prices'!G492-1)</f>
        <v/>
      </c>
      <c r="H492" s="25">
        <f>IF(OR($A492="",'04 Prices'!H492="",'04 Prices'!H493=""),"",'04 Prices'!H493/'04 Prices'!H492-1)</f>
        <v/>
      </c>
    </row>
    <row r="493">
      <c r="A493" s="23">
        <f>IF('04 Prices'!A494="","",'04 Prices'!A494)</f>
        <v/>
      </c>
      <c r="B493" s="25">
        <f>IF(OR($A493="",'04 Prices'!B493="",'04 Prices'!B494=""),"",'04 Prices'!B494/'04 Prices'!B493-1)</f>
        <v/>
      </c>
      <c r="C493" s="25">
        <f>IF(OR($A493="",'04 Prices'!C493="",'04 Prices'!C494=""),"",'04 Prices'!C494/'04 Prices'!C493-1)</f>
        <v/>
      </c>
      <c r="D493" s="25">
        <f>IF(OR($A493="",'04 Prices'!D493="",'04 Prices'!D494=""),"",'04 Prices'!D494/'04 Prices'!D493-1)</f>
        <v/>
      </c>
      <c r="E493" s="25">
        <f>IF(OR($A493="",'04 Prices'!E493="",'04 Prices'!E494=""),"",'04 Prices'!E494/'04 Prices'!E493-1)</f>
        <v/>
      </c>
      <c r="F493" s="25">
        <f>IF(OR($A493="",'04 Prices'!F493="",'04 Prices'!F494=""),"",'04 Prices'!F494/'04 Prices'!F493-1)</f>
        <v/>
      </c>
      <c r="G493" s="25">
        <f>IF(OR($A493="",'04 Prices'!G493="",'04 Prices'!G494=""),"",'04 Prices'!G494/'04 Prices'!G493-1)</f>
        <v/>
      </c>
      <c r="H493" s="25">
        <f>IF(OR($A493="",'04 Prices'!H493="",'04 Prices'!H494=""),"",'04 Prices'!H494/'04 Prices'!H493-1)</f>
        <v/>
      </c>
    </row>
    <row r="494">
      <c r="A494" s="23">
        <f>IF('04 Prices'!A495="","",'04 Prices'!A495)</f>
        <v/>
      </c>
      <c r="B494" s="25">
        <f>IF(OR($A494="",'04 Prices'!B494="",'04 Prices'!B495=""),"",'04 Prices'!B495/'04 Prices'!B494-1)</f>
        <v/>
      </c>
      <c r="C494" s="25">
        <f>IF(OR($A494="",'04 Prices'!C494="",'04 Prices'!C495=""),"",'04 Prices'!C495/'04 Prices'!C494-1)</f>
        <v/>
      </c>
      <c r="D494" s="25">
        <f>IF(OR($A494="",'04 Prices'!D494="",'04 Prices'!D495=""),"",'04 Prices'!D495/'04 Prices'!D494-1)</f>
        <v/>
      </c>
      <c r="E494" s="25">
        <f>IF(OR($A494="",'04 Prices'!E494="",'04 Prices'!E495=""),"",'04 Prices'!E495/'04 Prices'!E494-1)</f>
        <v/>
      </c>
      <c r="F494" s="25">
        <f>IF(OR($A494="",'04 Prices'!F494="",'04 Prices'!F495=""),"",'04 Prices'!F495/'04 Prices'!F494-1)</f>
        <v/>
      </c>
      <c r="G494" s="25">
        <f>IF(OR($A494="",'04 Prices'!G494="",'04 Prices'!G495=""),"",'04 Prices'!G495/'04 Prices'!G494-1)</f>
        <v/>
      </c>
      <c r="H494" s="25">
        <f>IF(OR($A494="",'04 Prices'!H494="",'04 Prices'!H495=""),"",'04 Prices'!H495/'04 Prices'!H494-1)</f>
        <v/>
      </c>
    </row>
    <row r="495">
      <c r="A495" s="23">
        <f>IF('04 Prices'!A496="","",'04 Prices'!A496)</f>
        <v/>
      </c>
      <c r="B495" s="25">
        <f>IF(OR($A495="",'04 Prices'!B495="",'04 Prices'!B496=""),"",'04 Prices'!B496/'04 Prices'!B495-1)</f>
        <v/>
      </c>
      <c r="C495" s="25">
        <f>IF(OR($A495="",'04 Prices'!C495="",'04 Prices'!C496=""),"",'04 Prices'!C496/'04 Prices'!C495-1)</f>
        <v/>
      </c>
      <c r="D495" s="25">
        <f>IF(OR($A495="",'04 Prices'!D495="",'04 Prices'!D496=""),"",'04 Prices'!D496/'04 Prices'!D495-1)</f>
        <v/>
      </c>
      <c r="E495" s="25">
        <f>IF(OR($A495="",'04 Prices'!E495="",'04 Prices'!E496=""),"",'04 Prices'!E496/'04 Prices'!E495-1)</f>
        <v/>
      </c>
      <c r="F495" s="25">
        <f>IF(OR($A495="",'04 Prices'!F495="",'04 Prices'!F496=""),"",'04 Prices'!F496/'04 Prices'!F495-1)</f>
        <v/>
      </c>
      <c r="G495" s="25">
        <f>IF(OR($A495="",'04 Prices'!G495="",'04 Prices'!G496=""),"",'04 Prices'!G496/'04 Prices'!G495-1)</f>
        <v/>
      </c>
      <c r="H495" s="25">
        <f>IF(OR($A495="",'04 Prices'!H495="",'04 Prices'!H496=""),"",'04 Prices'!H496/'04 Prices'!H495-1)</f>
        <v/>
      </c>
    </row>
    <row r="496">
      <c r="A496" s="23">
        <f>IF('04 Prices'!A497="","",'04 Prices'!A497)</f>
        <v/>
      </c>
      <c r="B496" s="25">
        <f>IF(OR($A496="",'04 Prices'!B496="",'04 Prices'!B497=""),"",'04 Prices'!B497/'04 Prices'!B496-1)</f>
        <v/>
      </c>
      <c r="C496" s="25">
        <f>IF(OR($A496="",'04 Prices'!C496="",'04 Prices'!C497=""),"",'04 Prices'!C497/'04 Prices'!C496-1)</f>
        <v/>
      </c>
      <c r="D496" s="25">
        <f>IF(OR($A496="",'04 Prices'!D496="",'04 Prices'!D497=""),"",'04 Prices'!D497/'04 Prices'!D496-1)</f>
        <v/>
      </c>
      <c r="E496" s="25">
        <f>IF(OR($A496="",'04 Prices'!E496="",'04 Prices'!E497=""),"",'04 Prices'!E497/'04 Prices'!E496-1)</f>
        <v/>
      </c>
      <c r="F496" s="25">
        <f>IF(OR($A496="",'04 Prices'!F496="",'04 Prices'!F497=""),"",'04 Prices'!F497/'04 Prices'!F496-1)</f>
        <v/>
      </c>
      <c r="G496" s="25">
        <f>IF(OR($A496="",'04 Prices'!G496="",'04 Prices'!G497=""),"",'04 Prices'!G497/'04 Prices'!G496-1)</f>
        <v/>
      </c>
      <c r="H496" s="25">
        <f>IF(OR($A496="",'04 Prices'!H496="",'04 Prices'!H497=""),"",'04 Prices'!H497/'04 Prices'!H496-1)</f>
        <v/>
      </c>
    </row>
    <row r="497">
      <c r="A497" s="23">
        <f>IF('04 Prices'!A498="","",'04 Prices'!A498)</f>
        <v/>
      </c>
      <c r="B497" s="25">
        <f>IF(OR($A497="",'04 Prices'!B497="",'04 Prices'!B498=""),"",'04 Prices'!B498/'04 Prices'!B497-1)</f>
        <v/>
      </c>
      <c r="C497" s="25">
        <f>IF(OR($A497="",'04 Prices'!C497="",'04 Prices'!C498=""),"",'04 Prices'!C498/'04 Prices'!C497-1)</f>
        <v/>
      </c>
      <c r="D497" s="25">
        <f>IF(OR($A497="",'04 Prices'!D497="",'04 Prices'!D498=""),"",'04 Prices'!D498/'04 Prices'!D497-1)</f>
        <v/>
      </c>
      <c r="E497" s="25">
        <f>IF(OR($A497="",'04 Prices'!E497="",'04 Prices'!E498=""),"",'04 Prices'!E498/'04 Prices'!E497-1)</f>
        <v/>
      </c>
      <c r="F497" s="25">
        <f>IF(OR($A497="",'04 Prices'!F497="",'04 Prices'!F498=""),"",'04 Prices'!F498/'04 Prices'!F497-1)</f>
        <v/>
      </c>
      <c r="G497" s="25">
        <f>IF(OR($A497="",'04 Prices'!G497="",'04 Prices'!G498=""),"",'04 Prices'!G498/'04 Prices'!G497-1)</f>
        <v/>
      </c>
      <c r="H497" s="25">
        <f>IF(OR($A497="",'04 Prices'!H497="",'04 Prices'!H498=""),"",'04 Prices'!H498/'04 Prices'!H497-1)</f>
        <v/>
      </c>
    </row>
    <row r="498">
      <c r="A498" s="23">
        <f>IF('04 Prices'!A499="","",'04 Prices'!A499)</f>
        <v/>
      </c>
      <c r="B498" s="25">
        <f>IF(OR($A498="",'04 Prices'!B498="",'04 Prices'!B499=""),"",'04 Prices'!B499/'04 Prices'!B498-1)</f>
        <v/>
      </c>
      <c r="C498" s="25">
        <f>IF(OR($A498="",'04 Prices'!C498="",'04 Prices'!C499=""),"",'04 Prices'!C499/'04 Prices'!C498-1)</f>
        <v/>
      </c>
      <c r="D498" s="25">
        <f>IF(OR($A498="",'04 Prices'!D498="",'04 Prices'!D499=""),"",'04 Prices'!D499/'04 Prices'!D498-1)</f>
        <v/>
      </c>
      <c r="E498" s="25">
        <f>IF(OR($A498="",'04 Prices'!E498="",'04 Prices'!E499=""),"",'04 Prices'!E499/'04 Prices'!E498-1)</f>
        <v/>
      </c>
      <c r="F498" s="25">
        <f>IF(OR($A498="",'04 Prices'!F498="",'04 Prices'!F499=""),"",'04 Prices'!F499/'04 Prices'!F498-1)</f>
        <v/>
      </c>
      <c r="G498" s="25">
        <f>IF(OR($A498="",'04 Prices'!G498="",'04 Prices'!G499=""),"",'04 Prices'!G499/'04 Prices'!G498-1)</f>
        <v/>
      </c>
      <c r="H498" s="25">
        <f>IF(OR($A498="",'04 Prices'!H498="",'04 Prices'!H499=""),"",'04 Prices'!H499/'04 Prices'!H498-1)</f>
        <v/>
      </c>
    </row>
    <row r="499">
      <c r="A499" s="23">
        <f>IF('04 Prices'!A500="","",'04 Prices'!A500)</f>
        <v/>
      </c>
      <c r="B499" s="25">
        <f>IF(OR($A499="",'04 Prices'!B499="",'04 Prices'!B500=""),"",'04 Prices'!B500/'04 Prices'!B499-1)</f>
        <v/>
      </c>
      <c r="C499" s="25">
        <f>IF(OR($A499="",'04 Prices'!C499="",'04 Prices'!C500=""),"",'04 Prices'!C500/'04 Prices'!C499-1)</f>
        <v/>
      </c>
      <c r="D499" s="25">
        <f>IF(OR($A499="",'04 Prices'!D499="",'04 Prices'!D500=""),"",'04 Prices'!D500/'04 Prices'!D499-1)</f>
        <v/>
      </c>
      <c r="E499" s="25">
        <f>IF(OR($A499="",'04 Prices'!E499="",'04 Prices'!E500=""),"",'04 Prices'!E500/'04 Prices'!E499-1)</f>
        <v/>
      </c>
      <c r="F499" s="25">
        <f>IF(OR($A499="",'04 Prices'!F499="",'04 Prices'!F500=""),"",'04 Prices'!F500/'04 Prices'!F499-1)</f>
        <v/>
      </c>
      <c r="G499" s="25">
        <f>IF(OR($A499="",'04 Prices'!G499="",'04 Prices'!G500=""),"",'04 Prices'!G500/'04 Prices'!G499-1)</f>
        <v/>
      </c>
      <c r="H499" s="25">
        <f>IF(OR($A499="",'04 Prices'!H499="",'04 Prices'!H500=""),"",'04 Prices'!H500/'04 Prices'!H499-1)</f>
        <v/>
      </c>
    </row>
    <row r="500">
      <c r="A500" s="23">
        <f>IF('04 Prices'!A501="","",'04 Prices'!A501)</f>
        <v/>
      </c>
      <c r="B500" s="25">
        <f>IF(OR($A500="",'04 Prices'!B500="",'04 Prices'!B501=""),"",'04 Prices'!B501/'04 Prices'!B500-1)</f>
        <v/>
      </c>
      <c r="C500" s="25">
        <f>IF(OR($A500="",'04 Prices'!C500="",'04 Prices'!C501=""),"",'04 Prices'!C501/'04 Prices'!C500-1)</f>
        <v/>
      </c>
      <c r="D500" s="25">
        <f>IF(OR($A500="",'04 Prices'!D500="",'04 Prices'!D501=""),"",'04 Prices'!D501/'04 Prices'!D500-1)</f>
        <v/>
      </c>
      <c r="E500" s="25">
        <f>IF(OR($A500="",'04 Prices'!E500="",'04 Prices'!E501=""),"",'04 Prices'!E501/'04 Prices'!E500-1)</f>
        <v/>
      </c>
      <c r="F500" s="25">
        <f>IF(OR($A500="",'04 Prices'!F500="",'04 Prices'!F501=""),"",'04 Prices'!F501/'04 Prices'!F500-1)</f>
        <v/>
      </c>
      <c r="G500" s="25">
        <f>IF(OR($A500="",'04 Prices'!G500="",'04 Prices'!G501=""),"",'04 Prices'!G501/'04 Prices'!G500-1)</f>
        <v/>
      </c>
      <c r="H500" s="25">
        <f>IF(OR($A500="",'04 Prices'!H500="",'04 Prices'!H501=""),"",'04 Prices'!H501/'04 Prices'!H500-1)</f>
        <v/>
      </c>
    </row>
    <row r="501">
      <c r="A501" s="23">
        <f>IF('04 Prices'!A502="","",'04 Prices'!A502)</f>
        <v/>
      </c>
      <c r="B501" s="25">
        <f>IF(OR($A501="",'04 Prices'!B501="",'04 Prices'!B502=""),"",'04 Prices'!B502/'04 Prices'!B501-1)</f>
        <v/>
      </c>
      <c r="C501" s="25">
        <f>IF(OR($A501="",'04 Prices'!C501="",'04 Prices'!C502=""),"",'04 Prices'!C502/'04 Prices'!C501-1)</f>
        <v/>
      </c>
      <c r="D501" s="25">
        <f>IF(OR($A501="",'04 Prices'!D501="",'04 Prices'!D502=""),"",'04 Prices'!D502/'04 Prices'!D501-1)</f>
        <v/>
      </c>
      <c r="E501" s="25">
        <f>IF(OR($A501="",'04 Prices'!E501="",'04 Prices'!E502=""),"",'04 Prices'!E502/'04 Prices'!E501-1)</f>
        <v/>
      </c>
      <c r="F501" s="25">
        <f>IF(OR($A501="",'04 Prices'!F501="",'04 Prices'!F502=""),"",'04 Prices'!F502/'04 Prices'!F501-1)</f>
        <v/>
      </c>
      <c r="G501" s="25">
        <f>IF(OR($A501="",'04 Prices'!G501="",'04 Prices'!G502=""),"",'04 Prices'!G502/'04 Prices'!G501-1)</f>
        <v/>
      </c>
      <c r="H501" s="25">
        <f>IF(OR($A501="",'04 Prices'!H501="",'04 Prices'!H502=""),"",'04 Prices'!H502/'04 Prices'!H501-1)</f>
        <v/>
      </c>
    </row>
    <row r="502">
      <c r="A502" s="23">
        <f>IF('04 Prices'!A503="","",'04 Prices'!A503)</f>
        <v/>
      </c>
      <c r="B502" s="25">
        <f>IF(OR($A502="",'04 Prices'!B502="",'04 Prices'!B503=""),"",'04 Prices'!B503/'04 Prices'!B502-1)</f>
        <v/>
      </c>
      <c r="C502" s="25">
        <f>IF(OR($A502="",'04 Prices'!C502="",'04 Prices'!C503=""),"",'04 Prices'!C503/'04 Prices'!C502-1)</f>
        <v/>
      </c>
      <c r="D502" s="25">
        <f>IF(OR($A502="",'04 Prices'!D502="",'04 Prices'!D503=""),"",'04 Prices'!D503/'04 Prices'!D502-1)</f>
        <v/>
      </c>
      <c r="E502" s="25">
        <f>IF(OR($A502="",'04 Prices'!E502="",'04 Prices'!E503=""),"",'04 Prices'!E503/'04 Prices'!E502-1)</f>
        <v/>
      </c>
      <c r="F502" s="25">
        <f>IF(OR($A502="",'04 Prices'!F502="",'04 Prices'!F503=""),"",'04 Prices'!F503/'04 Prices'!F502-1)</f>
        <v/>
      </c>
      <c r="G502" s="25">
        <f>IF(OR($A502="",'04 Prices'!G502="",'04 Prices'!G503=""),"",'04 Prices'!G503/'04 Prices'!G502-1)</f>
        <v/>
      </c>
      <c r="H502" s="25">
        <f>IF(OR($A502="",'04 Prices'!H502="",'04 Prices'!H503=""),"",'04 Prices'!H503/'04 Prices'!H502-1)</f>
        <v/>
      </c>
    </row>
    <row r="503">
      <c r="A503" s="23">
        <f>IF('04 Prices'!A504="","",'04 Prices'!A504)</f>
        <v/>
      </c>
      <c r="B503" s="25">
        <f>IF(OR($A503="",'04 Prices'!B503="",'04 Prices'!B504=""),"",'04 Prices'!B504/'04 Prices'!B503-1)</f>
        <v/>
      </c>
      <c r="C503" s="25">
        <f>IF(OR($A503="",'04 Prices'!C503="",'04 Prices'!C504=""),"",'04 Prices'!C504/'04 Prices'!C503-1)</f>
        <v/>
      </c>
      <c r="D503" s="25">
        <f>IF(OR($A503="",'04 Prices'!D503="",'04 Prices'!D504=""),"",'04 Prices'!D504/'04 Prices'!D503-1)</f>
        <v/>
      </c>
      <c r="E503" s="25">
        <f>IF(OR($A503="",'04 Prices'!E503="",'04 Prices'!E504=""),"",'04 Prices'!E504/'04 Prices'!E503-1)</f>
        <v/>
      </c>
      <c r="F503" s="25">
        <f>IF(OR($A503="",'04 Prices'!F503="",'04 Prices'!F504=""),"",'04 Prices'!F504/'04 Prices'!F503-1)</f>
        <v/>
      </c>
      <c r="G503" s="25">
        <f>IF(OR($A503="",'04 Prices'!G503="",'04 Prices'!G504=""),"",'04 Prices'!G504/'04 Prices'!G503-1)</f>
        <v/>
      </c>
      <c r="H503" s="25">
        <f>IF(OR($A503="",'04 Prices'!H503="",'04 Prices'!H504=""),"",'04 Prices'!H504/'04 Prices'!H503-1)</f>
        <v/>
      </c>
    </row>
    <row r="504">
      <c r="A504" s="23">
        <f>IF('04 Prices'!A505="","",'04 Prices'!A505)</f>
        <v/>
      </c>
      <c r="B504" s="25">
        <f>IF(OR($A504="",'04 Prices'!B504="",'04 Prices'!B505=""),"",'04 Prices'!B505/'04 Prices'!B504-1)</f>
        <v/>
      </c>
      <c r="C504" s="25">
        <f>IF(OR($A504="",'04 Prices'!C504="",'04 Prices'!C505=""),"",'04 Prices'!C505/'04 Prices'!C504-1)</f>
        <v/>
      </c>
      <c r="D504" s="25">
        <f>IF(OR($A504="",'04 Prices'!D504="",'04 Prices'!D505=""),"",'04 Prices'!D505/'04 Prices'!D504-1)</f>
        <v/>
      </c>
      <c r="E504" s="25">
        <f>IF(OR($A504="",'04 Prices'!E504="",'04 Prices'!E505=""),"",'04 Prices'!E505/'04 Prices'!E504-1)</f>
        <v/>
      </c>
      <c r="F504" s="25">
        <f>IF(OR($A504="",'04 Prices'!F504="",'04 Prices'!F505=""),"",'04 Prices'!F505/'04 Prices'!F504-1)</f>
        <v/>
      </c>
      <c r="G504" s="25">
        <f>IF(OR($A504="",'04 Prices'!G504="",'04 Prices'!G505=""),"",'04 Prices'!G505/'04 Prices'!G504-1)</f>
        <v/>
      </c>
      <c r="H504" s="25">
        <f>IF(OR($A504="",'04 Prices'!H504="",'04 Prices'!H505=""),"",'04 Prices'!H505/'04 Prices'!H504-1)</f>
        <v/>
      </c>
    </row>
    <row r="505">
      <c r="A505" s="23">
        <f>IF('04 Prices'!A506="","",'04 Prices'!A506)</f>
        <v/>
      </c>
      <c r="B505" s="25">
        <f>IF(OR($A505="",'04 Prices'!B505="",'04 Prices'!B506=""),"",'04 Prices'!B506/'04 Prices'!B505-1)</f>
        <v/>
      </c>
      <c r="C505" s="25">
        <f>IF(OR($A505="",'04 Prices'!C505="",'04 Prices'!C506=""),"",'04 Prices'!C506/'04 Prices'!C505-1)</f>
        <v/>
      </c>
      <c r="D505" s="25">
        <f>IF(OR($A505="",'04 Prices'!D505="",'04 Prices'!D506=""),"",'04 Prices'!D506/'04 Prices'!D505-1)</f>
        <v/>
      </c>
      <c r="E505" s="25">
        <f>IF(OR($A505="",'04 Prices'!E505="",'04 Prices'!E506=""),"",'04 Prices'!E506/'04 Prices'!E505-1)</f>
        <v/>
      </c>
      <c r="F505" s="25">
        <f>IF(OR($A505="",'04 Prices'!F505="",'04 Prices'!F506=""),"",'04 Prices'!F506/'04 Prices'!F505-1)</f>
        <v/>
      </c>
      <c r="G505" s="25">
        <f>IF(OR($A505="",'04 Prices'!G505="",'04 Prices'!G506=""),"",'04 Prices'!G506/'04 Prices'!G505-1)</f>
        <v/>
      </c>
      <c r="H505" s="25">
        <f>IF(OR($A505="",'04 Prices'!H505="",'04 Prices'!H506=""),"",'04 Prices'!H506/'04 Prices'!H505-1)</f>
        <v/>
      </c>
    </row>
    <row r="506">
      <c r="A506" s="23">
        <f>IF('04 Prices'!A507="","",'04 Prices'!A507)</f>
        <v/>
      </c>
      <c r="B506" s="25">
        <f>IF(OR($A506="",'04 Prices'!B506="",'04 Prices'!B507=""),"",'04 Prices'!B507/'04 Prices'!B506-1)</f>
        <v/>
      </c>
      <c r="C506" s="25">
        <f>IF(OR($A506="",'04 Prices'!C506="",'04 Prices'!C507=""),"",'04 Prices'!C507/'04 Prices'!C506-1)</f>
        <v/>
      </c>
      <c r="D506" s="25">
        <f>IF(OR($A506="",'04 Prices'!D506="",'04 Prices'!D507=""),"",'04 Prices'!D507/'04 Prices'!D506-1)</f>
        <v/>
      </c>
      <c r="E506" s="25">
        <f>IF(OR($A506="",'04 Prices'!E506="",'04 Prices'!E507=""),"",'04 Prices'!E507/'04 Prices'!E506-1)</f>
        <v/>
      </c>
      <c r="F506" s="25">
        <f>IF(OR($A506="",'04 Prices'!F506="",'04 Prices'!F507=""),"",'04 Prices'!F507/'04 Prices'!F506-1)</f>
        <v/>
      </c>
      <c r="G506" s="25">
        <f>IF(OR($A506="",'04 Prices'!G506="",'04 Prices'!G507=""),"",'04 Prices'!G507/'04 Prices'!G506-1)</f>
        <v/>
      </c>
      <c r="H506" s="25">
        <f>IF(OR($A506="",'04 Prices'!H506="",'04 Prices'!H507=""),"",'04 Prices'!H507/'04 Prices'!H506-1)</f>
        <v/>
      </c>
    </row>
    <row r="507">
      <c r="A507" s="23">
        <f>IF('04 Prices'!A508="","",'04 Prices'!A508)</f>
        <v/>
      </c>
      <c r="B507" s="25">
        <f>IF(OR($A507="",'04 Prices'!B507="",'04 Prices'!B508=""),"",'04 Prices'!B508/'04 Prices'!B507-1)</f>
        <v/>
      </c>
      <c r="C507" s="25">
        <f>IF(OR($A507="",'04 Prices'!C507="",'04 Prices'!C508=""),"",'04 Prices'!C508/'04 Prices'!C507-1)</f>
        <v/>
      </c>
      <c r="D507" s="25">
        <f>IF(OR($A507="",'04 Prices'!D507="",'04 Prices'!D508=""),"",'04 Prices'!D508/'04 Prices'!D507-1)</f>
        <v/>
      </c>
      <c r="E507" s="25">
        <f>IF(OR($A507="",'04 Prices'!E507="",'04 Prices'!E508=""),"",'04 Prices'!E508/'04 Prices'!E507-1)</f>
        <v/>
      </c>
      <c r="F507" s="25">
        <f>IF(OR($A507="",'04 Prices'!F507="",'04 Prices'!F508=""),"",'04 Prices'!F508/'04 Prices'!F507-1)</f>
        <v/>
      </c>
      <c r="G507" s="25">
        <f>IF(OR($A507="",'04 Prices'!G507="",'04 Prices'!G508=""),"",'04 Prices'!G508/'04 Prices'!G507-1)</f>
        <v/>
      </c>
      <c r="H507" s="25">
        <f>IF(OR($A507="",'04 Prices'!H507="",'04 Prices'!H508=""),"",'04 Prices'!H508/'04 Prices'!H507-1)</f>
        <v/>
      </c>
    </row>
    <row r="508">
      <c r="A508" s="23">
        <f>IF('04 Prices'!A509="","",'04 Prices'!A509)</f>
        <v/>
      </c>
      <c r="B508" s="25">
        <f>IF(OR($A508="",'04 Prices'!B508="",'04 Prices'!B509=""),"",'04 Prices'!B509/'04 Prices'!B508-1)</f>
        <v/>
      </c>
      <c r="C508" s="25">
        <f>IF(OR($A508="",'04 Prices'!C508="",'04 Prices'!C509=""),"",'04 Prices'!C509/'04 Prices'!C508-1)</f>
        <v/>
      </c>
      <c r="D508" s="25">
        <f>IF(OR($A508="",'04 Prices'!D508="",'04 Prices'!D509=""),"",'04 Prices'!D509/'04 Prices'!D508-1)</f>
        <v/>
      </c>
      <c r="E508" s="25">
        <f>IF(OR($A508="",'04 Prices'!E508="",'04 Prices'!E509=""),"",'04 Prices'!E509/'04 Prices'!E508-1)</f>
        <v/>
      </c>
      <c r="F508" s="25">
        <f>IF(OR($A508="",'04 Prices'!F508="",'04 Prices'!F509=""),"",'04 Prices'!F509/'04 Prices'!F508-1)</f>
        <v/>
      </c>
      <c r="G508" s="25">
        <f>IF(OR($A508="",'04 Prices'!G508="",'04 Prices'!G509=""),"",'04 Prices'!G509/'04 Prices'!G508-1)</f>
        <v/>
      </c>
      <c r="H508" s="25">
        <f>IF(OR($A508="",'04 Prices'!H508="",'04 Prices'!H509=""),"",'04 Prices'!H509/'04 Prices'!H508-1)</f>
        <v/>
      </c>
    </row>
    <row r="509">
      <c r="A509" s="23">
        <f>IF('04 Prices'!A510="","",'04 Prices'!A510)</f>
        <v/>
      </c>
      <c r="B509" s="25">
        <f>IF(OR($A509="",'04 Prices'!B509="",'04 Prices'!B510=""),"",'04 Prices'!B510/'04 Prices'!B509-1)</f>
        <v/>
      </c>
      <c r="C509" s="25">
        <f>IF(OR($A509="",'04 Prices'!C509="",'04 Prices'!C510=""),"",'04 Prices'!C510/'04 Prices'!C509-1)</f>
        <v/>
      </c>
      <c r="D509" s="25">
        <f>IF(OR($A509="",'04 Prices'!D509="",'04 Prices'!D510=""),"",'04 Prices'!D510/'04 Prices'!D509-1)</f>
        <v/>
      </c>
      <c r="E509" s="25">
        <f>IF(OR($A509="",'04 Prices'!E509="",'04 Prices'!E510=""),"",'04 Prices'!E510/'04 Prices'!E509-1)</f>
        <v/>
      </c>
      <c r="F509" s="25">
        <f>IF(OR($A509="",'04 Prices'!F509="",'04 Prices'!F510=""),"",'04 Prices'!F510/'04 Prices'!F509-1)</f>
        <v/>
      </c>
      <c r="G509" s="25">
        <f>IF(OR($A509="",'04 Prices'!G509="",'04 Prices'!G510=""),"",'04 Prices'!G510/'04 Prices'!G509-1)</f>
        <v/>
      </c>
      <c r="H509" s="25">
        <f>IF(OR($A509="",'04 Prices'!H509="",'04 Prices'!H510=""),"",'04 Prices'!H510/'04 Prices'!H509-1)</f>
        <v/>
      </c>
    </row>
    <row r="510">
      <c r="A510" s="23">
        <f>IF('04 Prices'!A511="","",'04 Prices'!A511)</f>
        <v/>
      </c>
      <c r="B510" s="25">
        <f>IF(OR($A510="",'04 Prices'!B510="",'04 Prices'!B511=""),"",'04 Prices'!B511/'04 Prices'!B510-1)</f>
        <v/>
      </c>
      <c r="C510" s="25">
        <f>IF(OR($A510="",'04 Prices'!C510="",'04 Prices'!C511=""),"",'04 Prices'!C511/'04 Prices'!C510-1)</f>
        <v/>
      </c>
      <c r="D510" s="25">
        <f>IF(OR($A510="",'04 Prices'!D510="",'04 Prices'!D511=""),"",'04 Prices'!D511/'04 Prices'!D510-1)</f>
        <v/>
      </c>
      <c r="E510" s="25">
        <f>IF(OR($A510="",'04 Prices'!E510="",'04 Prices'!E511=""),"",'04 Prices'!E511/'04 Prices'!E510-1)</f>
        <v/>
      </c>
      <c r="F510" s="25">
        <f>IF(OR($A510="",'04 Prices'!F510="",'04 Prices'!F511=""),"",'04 Prices'!F511/'04 Prices'!F510-1)</f>
        <v/>
      </c>
      <c r="G510" s="25">
        <f>IF(OR($A510="",'04 Prices'!G510="",'04 Prices'!G511=""),"",'04 Prices'!G511/'04 Prices'!G510-1)</f>
        <v/>
      </c>
      <c r="H510" s="25">
        <f>IF(OR($A510="",'04 Prices'!H510="",'04 Prices'!H511=""),"",'04 Prices'!H511/'04 Prices'!H510-1)</f>
        <v/>
      </c>
    </row>
    <row r="511">
      <c r="A511" s="23">
        <f>IF('04 Prices'!A512="","",'04 Prices'!A512)</f>
        <v/>
      </c>
      <c r="B511" s="25">
        <f>IF(OR($A511="",'04 Prices'!B511="",'04 Prices'!B512=""),"",'04 Prices'!B512/'04 Prices'!B511-1)</f>
        <v/>
      </c>
      <c r="C511" s="25">
        <f>IF(OR($A511="",'04 Prices'!C511="",'04 Prices'!C512=""),"",'04 Prices'!C512/'04 Prices'!C511-1)</f>
        <v/>
      </c>
      <c r="D511" s="25">
        <f>IF(OR($A511="",'04 Prices'!D511="",'04 Prices'!D512=""),"",'04 Prices'!D512/'04 Prices'!D511-1)</f>
        <v/>
      </c>
      <c r="E511" s="25">
        <f>IF(OR($A511="",'04 Prices'!E511="",'04 Prices'!E512=""),"",'04 Prices'!E512/'04 Prices'!E511-1)</f>
        <v/>
      </c>
      <c r="F511" s="25">
        <f>IF(OR($A511="",'04 Prices'!F511="",'04 Prices'!F512=""),"",'04 Prices'!F512/'04 Prices'!F511-1)</f>
        <v/>
      </c>
      <c r="G511" s="25">
        <f>IF(OR($A511="",'04 Prices'!G511="",'04 Prices'!G512=""),"",'04 Prices'!G512/'04 Prices'!G511-1)</f>
        <v/>
      </c>
      <c r="H511" s="25">
        <f>IF(OR($A511="",'04 Prices'!H511="",'04 Prices'!H512=""),"",'04 Prices'!H512/'04 Prices'!H511-1)</f>
        <v/>
      </c>
    </row>
    <row r="512">
      <c r="A512" s="23">
        <f>IF('04 Prices'!A513="","",'04 Prices'!A513)</f>
        <v/>
      </c>
      <c r="B512" s="25">
        <f>IF(OR($A512="",'04 Prices'!B512="",'04 Prices'!B513=""),"",'04 Prices'!B513/'04 Prices'!B512-1)</f>
        <v/>
      </c>
      <c r="C512" s="25">
        <f>IF(OR($A512="",'04 Prices'!C512="",'04 Prices'!C513=""),"",'04 Prices'!C513/'04 Prices'!C512-1)</f>
        <v/>
      </c>
      <c r="D512" s="25">
        <f>IF(OR($A512="",'04 Prices'!D512="",'04 Prices'!D513=""),"",'04 Prices'!D513/'04 Prices'!D512-1)</f>
        <v/>
      </c>
      <c r="E512" s="25">
        <f>IF(OR($A512="",'04 Prices'!E512="",'04 Prices'!E513=""),"",'04 Prices'!E513/'04 Prices'!E512-1)</f>
        <v/>
      </c>
      <c r="F512" s="25">
        <f>IF(OR($A512="",'04 Prices'!F512="",'04 Prices'!F513=""),"",'04 Prices'!F513/'04 Prices'!F512-1)</f>
        <v/>
      </c>
      <c r="G512" s="25">
        <f>IF(OR($A512="",'04 Prices'!G512="",'04 Prices'!G513=""),"",'04 Prices'!G513/'04 Prices'!G512-1)</f>
        <v/>
      </c>
      <c r="H512" s="25">
        <f>IF(OR($A512="",'04 Prices'!H512="",'04 Prices'!H513=""),"",'04 Prices'!H513/'04 Prices'!H512-1)</f>
        <v/>
      </c>
    </row>
    <row r="513">
      <c r="A513" s="23">
        <f>IF('04 Prices'!A514="","",'04 Prices'!A514)</f>
        <v/>
      </c>
      <c r="B513" s="25">
        <f>IF(OR($A513="",'04 Prices'!B513="",'04 Prices'!B514=""),"",'04 Prices'!B514/'04 Prices'!B513-1)</f>
        <v/>
      </c>
      <c r="C513" s="25">
        <f>IF(OR($A513="",'04 Prices'!C513="",'04 Prices'!C514=""),"",'04 Prices'!C514/'04 Prices'!C513-1)</f>
        <v/>
      </c>
      <c r="D513" s="25">
        <f>IF(OR($A513="",'04 Prices'!D513="",'04 Prices'!D514=""),"",'04 Prices'!D514/'04 Prices'!D513-1)</f>
        <v/>
      </c>
      <c r="E513" s="25">
        <f>IF(OR($A513="",'04 Prices'!E513="",'04 Prices'!E514=""),"",'04 Prices'!E514/'04 Prices'!E513-1)</f>
        <v/>
      </c>
      <c r="F513" s="25">
        <f>IF(OR($A513="",'04 Prices'!F513="",'04 Prices'!F514=""),"",'04 Prices'!F514/'04 Prices'!F513-1)</f>
        <v/>
      </c>
      <c r="G513" s="25">
        <f>IF(OR($A513="",'04 Prices'!G513="",'04 Prices'!G514=""),"",'04 Prices'!G514/'04 Prices'!G513-1)</f>
        <v/>
      </c>
      <c r="H513" s="25">
        <f>IF(OR($A513="",'04 Prices'!H513="",'04 Prices'!H514=""),"",'04 Prices'!H514/'04 Prices'!H513-1)</f>
        <v/>
      </c>
    </row>
    <row r="514">
      <c r="A514" s="23">
        <f>IF('04 Prices'!A515="","",'04 Prices'!A515)</f>
        <v/>
      </c>
      <c r="B514" s="25">
        <f>IF(OR($A514="",'04 Prices'!B514="",'04 Prices'!B515=""),"",'04 Prices'!B515/'04 Prices'!B514-1)</f>
        <v/>
      </c>
      <c r="C514" s="25">
        <f>IF(OR($A514="",'04 Prices'!C514="",'04 Prices'!C515=""),"",'04 Prices'!C515/'04 Prices'!C514-1)</f>
        <v/>
      </c>
      <c r="D514" s="25">
        <f>IF(OR($A514="",'04 Prices'!D514="",'04 Prices'!D515=""),"",'04 Prices'!D515/'04 Prices'!D514-1)</f>
        <v/>
      </c>
      <c r="E514" s="25">
        <f>IF(OR($A514="",'04 Prices'!E514="",'04 Prices'!E515=""),"",'04 Prices'!E515/'04 Prices'!E514-1)</f>
        <v/>
      </c>
      <c r="F514" s="25">
        <f>IF(OR($A514="",'04 Prices'!F514="",'04 Prices'!F515=""),"",'04 Prices'!F515/'04 Prices'!F514-1)</f>
        <v/>
      </c>
      <c r="G514" s="25">
        <f>IF(OR($A514="",'04 Prices'!G514="",'04 Prices'!G515=""),"",'04 Prices'!G515/'04 Prices'!G514-1)</f>
        <v/>
      </c>
      <c r="H514" s="25">
        <f>IF(OR($A514="",'04 Prices'!H514="",'04 Prices'!H515=""),"",'04 Prices'!H515/'04 Prices'!H514-1)</f>
        <v/>
      </c>
    </row>
    <row r="515">
      <c r="A515" s="23">
        <f>IF('04 Prices'!A516="","",'04 Prices'!A516)</f>
        <v/>
      </c>
      <c r="B515" s="25">
        <f>IF(OR($A515="",'04 Prices'!B515="",'04 Prices'!B516=""),"",'04 Prices'!B516/'04 Prices'!B515-1)</f>
        <v/>
      </c>
      <c r="C515" s="25">
        <f>IF(OR($A515="",'04 Prices'!C515="",'04 Prices'!C516=""),"",'04 Prices'!C516/'04 Prices'!C515-1)</f>
        <v/>
      </c>
      <c r="D515" s="25">
        <f>IF(OR($A515="",'04 Prices'!D515="",'04 Prices'!D516=""),"",'04 Prices'!D516/'04 Prices'!D515-1)</f>
        <v/>
      </c>
      <c r="E515" s="25">
        <f>IF(OR($A515="",'04 Prices'!E515="",'04 Prices'!E516=""),"",'04 Prices'!E516/'04 Prices'!E515-1)</f>
        <v/>
      </c>
      <c r="F515" s="25">
        <f>IF(OR($A515="",'04 Prices'!F515="",'04 Prices'!F516=""),"",'04 Prices'!F516/'04 Prices'!F515-1)</f>
        <v/>
      </c>
      <c r="G515" s="25">
        <f>IF(OR($A515="",'04 Prices'!G515="",'04 Prices'!G516=""),"",'04 Prices'!G516/'04 Prices'!G515-1)</f>
        <v/>
      </c>
      <c r="H515" s="25">
        <f>IF(OR($A515="",'04 Prices'!H515="",'04 Prices'!H516=""),"",'04 Prices'!H516/'04 Prices'!H515-1)</f>
        <v/>
      </c>
    </row>
    <row r="516">
      <c r="A516" s="23">
        <f>IF('04 Prices'!A517="","",'04 Prices'!A517)</f>
        <v/>
      </c>
      <c r="B516" s="25">
        <f>IF(OR($A516="",'04 Prices'!B516="",'04 Prices'!B517=""),"",'04 Prices'!B517/'04 Prices'!B516-1)</f>
        <v/>
      </c>
      <c r="C516" s="25">
        <f>IF(OR($A516="",'04 Prices'!C516="",'04 Prices'!C517=""),"",'04 Prices'!C517/'04 Prices'!C516-1)</f>
        <v/>
      </c>
      <c r="D516" s="25">
        <f>IF(OR($A516="",'04 Prices'!D516="",'04 Prices'!D517=""),"",'04 Prices'!D517/'04 Prices'!D516-1)</f>
        <v/>
      </c>
      <c r="E516" s="25">
        <f>IF(OR($A516="",'04 Prices'!E516="",'04 Prices'!E517=""),"",'04 Prices'!E517/'04 Prices'!E516-1)</f>
        <v/>
      </c>
      <c r="F516" s="25">
        <f>IF(OR($A516="",'04 Prices'!F516="",'04 Prices'!F517=""),"",'04 Prices'!F517/'04 Prices'!F516-1)</f>
        <v/>
      </c>
      <c r="G516" s="25">
        <f>IF(OR($A516="",'04 Prices'!G516="",'04 Prices'!G517=""),"",'04 Prices'!G517/'04 Prices'!G516-1)</f>
        <v/>
      </c>
      <c r="H516" s="25">
        <f>IF(OR($A516="",'04 Prices'!H516="",'04 Prices'!H517=""),"",'04 Prices'!H517/'04 Prices'!H516-1)</f>
        <v/>
      </c>
    </row>
    <row r="517">
      <c r="A517" s="23">
        <f>IF('04 Prices'!A518="","",'04 Prices'!A518)</f>
        <v/>
      </c>
      <c r="B517" s="25">
        <f>IF(OR($A517="",'04 Prices'!B517="",'04 Prices'!B518=""),"",'04 Prices'!B518/'04 Prices'!B517-1)</f>
        <v/>
      </c>
      <c r="C517" s="25">
        <f>IF(OR($A517="",'04 Prices'!C517="",'04 Prices'!C518=""),"",'04 Prices'!C518/'04 Prices'!C517-1)</f>
        <v/>
      </c>
      <c r="D517" s="25">
        <f>IF(OR($A517="",'04 Prices'!D517="",'04 Prices'!D518=""),"",'04 Prices'!D518/'04 Prices'!D517-1)</f>
        <v/>
      </c>
      <c r="E517" s="25">
        <f>IF(OR($A517="",'04 Prices'!E517="",'04 Prices'!E518=""),"",'04 Prices'!E518/'04 Prices'!E517-1)</f>
        <v/>
      </c>
      <c r="F517" s="25">
        <f>IF(OR($A517="",'04 Prices'!F517="",'04 Prices'!F518=""),"",'04 Prices'!F518/'04 Prices'!F517-1)</f>
        <v/>
      </c>
      <c r="G517" s="25">
        <f>IF(OR($A517="",'04 Prices'!G517="",'04 Prices'!G518=""),"",'04 Prices'!G518/'04 Prices'!G517-1)</f>
        <v/>
      </c>
      <c r="H517" s="25">
        <f>IF(OR($A517="",'04 Prices'!H517="",'04 Prices'!H518=""),"",'04 Prices'!H518/'04 Prices'!H517-1)</f>
        <v/>
      </c>
    </row>
    <row r="518">
      <c r="A518" s="23">
        <f>IF('04 Prices'!A519="","",'04 Prices'!A519)</f>
        <v/>
      </c>
      <c r="B518" s="25">
        <f>IF(OR($A518="",'04 Prices'!B518="",'04 Prices'!B519=""),"",'04 Prices'!B519/'04 Prices'!B518-1)</f>
        <v/>
      </c>
      <c r="C518" s="25">
        <f>IF(OR($A518="",'04 Prices'!C518="",'04 Prices'!C519=""),"",'04 Prices'!C519/'04 Prices'!C518-1)</f>
        <v/>
      </c>
      <c r="D518" s="25">
        <f>IF(OR($A518="",'04 Prices'!D518="",'04 Prices'!D519=""),"",'04 Prices'!D519/'04 Prices'!D518-1)</f>
        <v/>
      </c>
      <c r="E518" s="25">
        <f>IF(OR($A518="",'04 Prices'!E518="",'04 Prices'!E519=""),"",'04 Prices'!E519/'04 Prices'!E518-1)</f>
        <v/>
      </c>
      <c r="F518" s="25">
        <f>IF(OR($A518="",'04 Prices'!F518="",'04 Prices'!F519=""),"",'04 Prices'!F519/'04 Prices'!F518-1)</f>
        <v/>
      </c>
      <c r="G518" s="25">
        <f>IF(OR($A518="",'04 Prices'!G518="",'04 Prices'!G519=""),"",'04 Prices'!G519/'04 Prices'!G518-1)</f>
        <v/>
      </c>
      <c r="H518" s="25">
        <f>IF(OR($A518="",'04 Prices'!H518="",'04 Prices'!H519=""),"",'04 Prices'!H519/'04 Prices'!H518-1)</f>
        <v/>
      </c>
    </row>
    <row r="519">
      <c r="A519" s="23">
        <f>IF('04 Prices'!A520="","",'04 Prices'!A520)</f>
        <v/>
      </c>
      <c r="B519" s="25">
        <f>IF(OR($A519="",'04 Prices'!B519="",'04 Prices'!B520=""),"",'04 Prices'!B520/'04 Prices'!B519-1)</f>
        <v/>
      </c>
      <c r="C519" s="25">
        <f>IF(OR($A519="",'04 Prices'!C519="",'04 Prices'!C520=""),"",'04 Prices'!C520/'04 Prices'!C519-1)</f>
        <v/>
      </c>
      <c r="D519" s="25">
        <f>IF(OR($A519="",'04 Prices'!D519="",'04 Prices'!D520=""),"",'04 Prices'!D520/'04 Prices'!D519-1)</f>
        <v/>
      </c>
      <c r="E519" s="25">
        <f>IF(OR($A519="",'04 Prices'!E519="",'04 Prices'!E520=""),"",'04 Prices'!E520/'04 Prices'!E519-1)</f>
        <v/>
      </c>
      <c r="F519" s="25">
        <f>IF(OR($A519="",'04 Prices'!F519="",'04 Prices'!F520=""),"",'04 Prices'!F520/'04 Prices'!F519-1)</f>
        <v/>
      </c>
      <c r="G519" s="25">
        <f>IF(OR($A519="",'04 Prices'!G519="",'04 Prices'!G520=""),"",'04 Prices'!G520/'04 Prices'!G519-1)</f>
        <v/>
      </c>
      <c r="H519" s="25">
        <f>IF(OR($A519="",'04 Prices'!H519="",'04 Prices'!H520=""),"",'04 Prices'!H520/'04 Prices'!H519-1)</f>
        <v/>
      </c>
    </row>
    <row r="520">
      <c r="A520" s="23">
        <f>IF('04 Prices'!A521="","",'04 Prices'!A521)</f>
        <v/>
      </c>
      <c r="B520" s="25">
        <f>IF(OR($A520="",'04 Prices'!B520="",'04 Prices'!B521=""),"",'04 Prices'!B521/'04 Prices'!B520-1)</f>
        <v/>
      </c>
      <c r="C520" s="25">
        <f>IF(OR($A520="",'04 Prices'!C520="",'04 Prices'!C521=""),"",'04 Prices'!C521/'04 Prices'!C520-1)</f>
        <v/>
      </c>
      <c r="D520" s="25">
        <f>IF(OR($A520="",'04 Prices'!D520="",'04 Prices'!D521=""),"",'04 Prices'!D521/'04 Prices'!D520-1)</f>
        <v/>
      </c>
      <c r="E520" s="25">
        <f>IF(OR($A520="",'04 Prices'!E520="",'04 Prices'!E521=""),"",'04 Prices'!E521/'04 Prices'!E520-1)</f>
        <v/>
      </c>
      <c r="F520" s="25">
        <f>IF(OR($A520="",'04 Prices'!F520="",'04 Prices'!F521=""),"",'04 Prices'!F521/'04 Prices'!F520-1)</f>
        <v/>
      </c>
      <c r="G520" s="25">
        <f>IF(OR($A520="",'04 Prices'!G520="",'04 Prices'!G521=""),"",'04 Prices'!G521/'04 Prices'!G520-1)</f>
        <v/>
      </c>
      <c r="H520" s="25">
        <f>IF(OR($A520="",'04 Prices'!H520="",'04 Prices'!H521=""),"",'04 Prices'!H521/'04 Prices'!H520-1)</f>
        <v/>
      </c>
    </row>
    <row r="521">
      <c r="A521" s="23">
        <f>IF('04 Prices'!A522="","",'04 Prices'!A522)</f>
        <v/>
      </c>
      <c r="B521" s="25">
        <f>IF(OR($A521="",'04 Prices'!B521="",'04 Prices'!B522=""),"",'04 Prices'!B522/'04 Prices'!B521-1)</f>
        <v/>
      </c>
      <c r="C521" s="25">
        <f>IF(OR($A521="",'04 Prices'!C521="",'04 Prices'!C522=""),"",'04 Prices'!C522/'04 Prices'!C521-1)</f>
        <v/>
      </c>
      <c r="D521" s="25">
        <f>IF(OR($A521="",'04 Prices'!D521="",'04 Prices'!D522=""),"",'04 Prices'!D522/'04 Prices'!D521-1)</f>
        <v/>
      </c>
      <c r="E521" s="25">
        <f>IF(OR($A521="",'04 Prices'!E521="",'04 Prices'!E522=""),"",'04 Prices'!E522/'04 Prices'!E521-1)</f>
        <v/>
      </c>
      <c r="F521" s="25">
        <f>IF(OR($A521="",'04 Prices'!F521="",'04 Prices'!F522=""),"",'04 Prices'!F522/'04 Prices'!F521-1)</f>
        <v/>
      </c>
      <c r="G521" s="25">
        <f>IF(OR($A521="",'04 Prices'!G521="",'04 Prices'!G522=""),"",'04 Prices'!G522/'04 Prices'!G521-1)</f>
        <v/>
      </c>
      <c r="H521" s="25">
        <f>IF(OR($A521="",'04 Prices'!H521="",'04 Prices'!H522=""),"",'04 Prices'!H522/'04 Prices'!H521-1)</f>
        <v/>
      </c>
    </row>
    <row r="522">
      <c r="A522" s="23">
        <f>IF('04 Prices'!A523="","",'04 Prices'!A523)</f>
        <v/>
      </c>
      <c r="B522" s="25">
        <f>IF(OR($A522="",'04 Prices'!B522="",'04 Prices'!B523=""),"",'04 Prices'!B523/'04 Prices'!B522-1)</f>
        <v/>
      </c>
      <c r="C522" s="25">
        <f>IF(OR($A522="",'04 Prices'!C522="",'04 Prices'!C523=""),"",'04 Prices'!C523/'04 Prices'!C522-1)</f>
        <v/>
      </c>
      <c r="D522" s="25">
        <f>IF(OR($A522="",'04 Prices'!D522="",'04 Prices'!D523=""),"",'04 Prices'!D523/'04 Prices'!D522-1)</f>
        <v/>
      </c>
      <c r="E522" s="25">
        <f>IF(OR($A522="",'04 Prices'!E522="",'04 Prices'!E523=""),"",'04 Prices'!E523/'04 Prices'!E522-1)</f>
        <v/>
      </c>
      <c r="F522" s="25">
        <f>IF(OR($A522="",'04 Prices'!F522="",'04 Prices'!F523=""),"",'04 Prices'!F523/'04 Prices'!F522-1)</f>
        <v/>
      </c>
      <c r="G522" s="25">
        <f>IF(OR($A522="",'04 Prices'!G522="",'04 Prices'!G523=""),"",'04 Prices'!G523/'04 Prices'!G522-1)</f>
        <v/>
      </c>
      <c r="H522" s="25">
        <f>IF(OR($A522="",'04 Prices'!H522="",'04 Prices'!H523=""),"",'04 Prices'!H523/'04 Prices'!H522-1)</f>
        <v/>
      </c>
    </row>
    <row r="523">
      <c r="A523" s="23">
        <f>IF('04 Prices'!A524="","",'04 Prices'!A524)</f>
        <v/>
      </c>
      <c r="B523" s="25">
        <f>IF(OR($A523="",'04 Prices'!B523="",'04 Prices'!B524=""),"",'04 Prices'!B524/'04 Prices'!B523-1)</f>
        <v/>
      </c>
      <c r="C523" s="25">
        <f>IF(OR($A523="",'04 Prices'!C523="",'04 Prices'!C524=""),"",'04 Prices'!C524/'04 Prices'!C523-1)</f>
        <v/>
      </c>
      <c r="D523" s="25">
        <f>IF(OR($A523="",'04 Prices'!D523="",'04 Prices'!D524=""),"",'04 Prices'!D524/'04 Prices'!D523-1)</f>
        <v/>
      </c>
      <c r="E523" s="25">
        <f>IF(OR($A523="",'04 Prices'!E523="",'04 Prices'!E524=""),"",'04 Prices'!E524/'04 Prices'!E523-1)</f>
        <v/>
      </c>
      <c r="F523" s="25">
        <f>IF(OR($A523="",'04 Prices'!F523="",'04 Prices'!F524=""),"",'04 Prices'!F524/'04 Prices'!F523-1)</f>
        <v/>
      </c>
      <c r="G523" s="25">
        <f>IF(OR($A523="",'04 Prices'!G523="",'04 Prices'!G524=""),"",'04 Prices'!G524/'04 Prices'!G523-1)</f>
        <v/>
      </c>
      <c r="H523" s="25">
        <f>IF(OR($A523="",'04 Prices'!H523="",'04 Prices'!H524=""),"",'04 Prices'!H524/'04 Prices'!H523-1)</f>
        <v/>
      </c>
    </row>
    <row r="524">
      <c r="A524" s="23">
        <f>IF('04 Prices'!A525="","",'04 Prices'!A525)</f>
        <v/>
      </c>
      <c r="B524" s="25">
        <f>IF(OR($A524="",'04 Prices'!B524="",'04 Prices'!B525=""),"",'04 Prices'!B525/'04 Prices'!B524-1)</f>
        <v/>
      </c>
      <c r="C524" s="25">
        <f>IF(OR($A524="",'04 Prices'!C524="",'04 Prices'!C525=""),"",'04 Prices'!C525/'04 Prices'!C524-1)</f>
        <v/>
      </c>
      <c r="D524" s="25">
        <f>IF(OR($A524="",'04 Prices'!D524="",'04 Prices'!D525=""),"",'04 Prices'!D525/'04 Prices'!D524-1)</f>
        <v/>
      </c>
      <c r="E524" s="25">
        <f>IF(OR($A524="",'04 Prices'!E524="",'04 Prices'!E525=""),"",'04 Prices'!E525/'04 Prices'!E524-1)</f>
        <v/>
      </c>
      <c r="F524" s="25">
        <f>IF(OR($A524="",'04 Prices'!F524="",'04 Prices'!F525=""),"",'04 Prices'!F525/'04 Prices'!F524-1)</f>
        <v/>
      </c>
      <c r="G524" s="25">
        <f>IF(OR($A524="",'04 Prices'!G524="",'04 Prices'!G525=""),"",'04 Prices'!G525/'04 Prices'!G524-1)</f>
        <v/>
      </c>
      <c r="H524" s="25">
        <f>IF(OR($A524="",'04 Prices'!H524="",'04 Prices'!H525=""),"",'04 Prices'!H525/'04 Prices'!H524-1)</f>
        <v/>
      </c>
    </row>
    <row r="525">
      <c r="A525" s="23">
        <f>IF('04 Prices'!A526="","",'04 Prices'!A526)</f>
        <v/>
      </c>
      <c r="B525" s="25">
        <f>IF(OR($A525="",'04 Prices'!B525="",'04 Prices'!B526=""),"",'04 Prices'!B526/'04 Prices'!B525-1)</f>
        <v/>
      </c>
      <c r="C525" s="25">
        <f>IF(OR($A525="",'04 Prices'!C525="",'04 Prices'!C526=""),"",'04 Prices'!C526/'04 Prices'!C525-1)</f>
        <v/>
      </c>
      <c r="D525" s="25">
        <f>IF(OR($A525="",'04 Prices'!D525="",'04 Prices'!D526=""),"",'04 Prices'!D526/'04 Prices'!D525-1)</f>
        <v/>
      </c>
      <c r="E525" s="25">
        <f>IF(OR($A525="",'04 Prices'!E525="",'04 Prices'!E526=""),"",'04 Prices'!E526/'04 Prices'!E525-1)</f>
        <v/>
      </c>
      <c r="F525" s="25">
        <f>IF(OR($A525="",'04 Prices'!F525="",'04 Prices'!F526=""),"",'04 Prices'!F526/'04 Prices'!F525-1)</f>
        <v/>
      </c>
      <c r="G525" s="25">
        <f>IF(OR($A525="",'04 Prices'!G525="",'04 Prices'!G526=""),"",'04 Prices'!G526/'04 Prices'!G525-1)</f>
        <v/>
      </c>
      <c r="H525" s="25">
        <f>IF(OR($A525="",'04 Prices'!H525="",'04 Prices'!H526=""),"",'04 Prices'!H526/'04 Prices'!H525-1)</f>
        <v/>
      </c>
    </row>
    <row r="526">
      <c r="A526" s="23">
        <f>IF('04 Prices'!A527="","",'04 Prices'!A527)</f>
        <v/>
      </c>
      <c r="B526" s="25">
        <f>IF(OR($A526="",'04 Prices'!B526="",'04 Prices'!B527=""),"",'04 Prices'!B527/'04 Prices'!B526-1)</f>
        <v/>
      </c>
      <c r="C526" s="25">
        <f>IF(OR($A526="",'04 Prices'!C526="",'04 Prices'!C527=""),"",'04 Prices'!C527/'04 Prices'!C526-1)</f>
        <v/>
      </c>
      <c r="D526" s="25">
        <f>IF(OR($A526="",'04 Prices'!D526="",'04 Prices'!D527=""),"",'04 Prices'!D527/'04 Prices'!D526-1)</f>
        <v/>
      </c>
      <c r="E526" s="25">
        <f>IF(OR($A526="",'04 Prices'!E526="",'04 Prices'!E527=""),"",'04 Prices'!E527/'04 Prices'!E526-1)</f>
        <v/>
      </c>
      <c r="F526" s="25">
        <f>IF(OR($A526="",'04 Prices'!F526="",'04 Prices'!F527=""),"",'04 Prices'!F527/'04 Prices'!F526-1)</f>
        <v/>
      </c>
      <c r="G526" s="25">
        <f>IF(OR($A526="",'04 Prices'!G526="",'04 Prices'!G527=""),"",'04 Prices'!G527/'04 Prices'!G526-1)</f>
        <v/>
      </c>
      <c r="H526" s="25">
        <f>IF(OR($A526="",'04 Prices'!H526="",'04 Prices'!H527=""),"",'04 Prices'!H527/'04 Prices'!H526-1)</f>
        <v/>
      </c>
    </row>
    <row r="527">
      <c r="A527" s="23">
        <f>IF('04 Prices'!A528="","",'04 Prices'!A528)</f>
        <v/>
      </c>
      <c r="B527" s="25">
        <f>IF(OR($A527="",'04 Prices'!B527="",'04 Prices'!B528=""),"",'04 Prices'!B528/'04 Prices'!B527-1)</f>
        <v/>
      </c>
      <c r="C527" s="25">
        <f>IF(OR($A527="",'04 Prices'!C527="",'04 Prices'!C528=""),"",'04 Prices'!C528/'04 Prices'!C527-1)</f>
        <v/>
      </c>
      <c r="D527" s="25">
        <f>IF(OR($A527="",'04 Prices'!D527="",'04 Prices'!D528=""),"",'04 Prices'!D528/'04 Prices'!D527-1)</f>
        <v/>
      </c>
      <c r="E527" s="25">
        <f>IF(OR($A527="",'04 Prices'!E527="",'04 Prices'!E528=""),"",'04 Prices'!E528/'04 Prices'!E527-1)</f>
        <v/>
      </c>
      <c r="F527" s="25">
        <f>IF(OR($A527="",'04 Prices'!F527="",'04 Prices'!F528=""),"",'04 Prices'!F528/'04 Prices'!F527-1)</f>
        <v/>
      </c>
      <c r="G527" s="25">
        <f>IF(OR($A527="",'04 Prices'!G527="",'04 Prices'!G528=""),"",'04 Prices'!G528/'04 Prices'!G527-1)</f>
        <v/>
      </c>
      <c r="H527" s="25">
        <f>IF(OR($A527="",'04 Prices'!H527="",'04 Prices'!H528=""),"",'04 Prices'!H528/'04 Prices'!H527-1)</f>
        <v/>
      </c>
    </row>
    <row r="528">
      <c r="A528" s="23">
        <f>IF('04 Prices'!A529="","",'04 Prices'!A529)</f>
        <v/>
      </c>
      <c r="B528" s="25">
        <f>IF(OR($A528="",'04 Prices'!B528="",'04 Prices'!B529=""),"",'04 Prices'!B529/'04 Prices'!B528-1)</f>
        <v/>
      </c>
      <c r="C528" s="25">
        <f>IF(OR($A528="",'04 Prices'!C528="",'04 Prices'!C529=""),"",'04 Prices'!C529/'04 Prices'!C528-1)</f>
        <v/>
      </c>
      <c r="D528" s="25">
        <f>IF(OR($A528="",'04 Prices'!D528="",'04 Prices'!D529=""),"",'04 Prices'!D529/'04 Prices'!D528-1)</f>
        <v/>
      </c>
      <c r="E528" s="25">
        <f>IF(OR($A528="",'04 Prices'!E528="",'04 Prices'!E529=""),"",'04 Prices'!E529/'04 Prices'!E528-1)</f>
        <v/>
      </c>
      <c r="F528" s="25">
        <f>IF(OR($A528="",'04 Prices'!F528="",'04 Prices'!F529=""),"",'04 Prices'!F529/'04 Prices'!F528-1)</f>
        <v/>
      </c>
      <c r="G528" s="25">
        <f>IF(OR($A528="",'04 Prices'!G528="",'04 Prices'!G529=""),"",'04 Prices'!G529/'04 Prices'!G528-1)</f>
        <v/>
      </c>
      <c r="H528" s="25">
        <f>IF(OR($A528="",'04 Prices'!H528="",'04 Prices'!H529=""),"",'04 Prices'!H529/'04 Prices'!H528-1)</f>
        <v/>
      </c>
    </row>
    <row r="529">
      <c r="A529" s="23">
        <f>IF('04 Prices'!A530="","",'04 Prices'!A530)</f>
        <v/>
      </c>
      <c r="B529" s="25">
        <f>IF(OR($A529="",'04 Prices'!B529="",'04 Prices'!B530=""),"",'04 Prices'!B530/'04 Prices'!B529-1)</f>
        <v/>
      </c>
      <c r="C529" s="25">
        <f>IF(OR($A529="",'04 Prices'!C529="",'04 Prices'!C530=""),"",'04 Prices'!C530/'04 Prices'!C529-1)</f>
        <v/>
      </c>
      <c r="D529" s="25">
        <f>IF(OR($A529="",'04 Prices'!D529="",'04 Prices'!D530=""),"",'04 Prices'!D530/'04 Prices'!D529-1)</f>
        <v/>
      </c>
      <c r="E529" s="25">
        <f>IF(OR($A529="",'04 Prices'!E529="",'04 Prices'!E530=""),"",'04 Prices'!E530/'04 Prices'!E529-1)</f>
        <v/>
      </c>
      <c r="F529" s="25">
        <f>IF(OR($A529="",'04 Prices'!F529="",'04 Prices'!F530=""),"",'04 Prices'!F530/'04 Prices'!F529-1)</f>
        <v/>
      </c>
      <c r="G529" s="25">
        <f>IF(OR($A529="",'04 Prices'!G529="",'04 Prices'!G530=""),"",'04 Prices'!G530/'04 Prices'!G529-1)</f>
        <v/>
      </c>
      <c r="H529" s="25">
        <f>IF(OR($A529="",'04 Prices'!H529="",'04 Prices'!H530=""),"",'04 Prices'!H530/'04 Prices'!H529-1)</f>
        <v/>
      </c>
    </row>
    <row r="530">
      <c r="A530" s="23">
        <f>IF('04 Prices'!A531="","",'04 Prices'!A531)</f>
        <v/>
      </c>
      <c r="B530" s="25">
        <f>IF(OR($A530="",'04 Prices'!B530="",'04 Prices'!B531=""),"",'04 Prices'!B531/'04 Prices'!B530-1)</f>
        <v/>
      </c>
      <c r="C530" s="25">
        <f>IF(OR($A530="",'04 Prices'!C530="",'04 Prices'!C531=""),"",'04 Prices'!C531/'04 Prices'!C530-1)</f>
        <v/>
      </c>
      <c r="D530" s="25">
        <f>IF(OR($A530="",'04 Prices'!D530="",'04 Prices'!D531=""),"",'04 Prices'!D531/'04 Prices'!D530-1)</f>
        <v/>
      </c>
      <c r="E530" s="25">
        <f>IF(OR($A530="",'04 Prices'!E530="",'04 Prices'!E531=""),"",'04 Prices'!E531/'04 Prices'!E530-1)</f>
        <v/>
      </c>
      <c r="F530" s="25">
        <f>IF(OR($A530="",'04 Prices'!F530="",'04 Prices'!F531=""),"",'04 Prices'!F531/'04 Prices'!F530-1)</f>
        <v/>
      </c>
      <c r="G530" s="25">
        <f>IF(OR($A530="",'04 Prices'!G530="",'04 Prices'!G531=""),"",'04 Prices'!G531/'04 Prices'!G530-1)</f>
        <v/>
      </c>
      <c r="H530" s="25">
        <f>IF(OR($A530="",'04 Prices'!H530="",'04 Prices'!H531=""),"",'04 Prices'!H531/'04 Prices'!H530-1)</f>
        <v/>
      </c>
    </row>
    <row r="531">
      <c r="A531" s="23">
        <f>IF('04 Prices'!A532="","",'04 Prices'!A532)</f>
        <v/>
      </c>
      <c r="B531" s="25">
        <f>IF(OR($A531="",'04 Prices'!B531="",'04 Prices'!B532=""),"",'04 Prices'!B532/'04 Prices'!B531-1)</f>
        <v/>
      </c>
      <c r="C531" s="25">
        <f>IF(OR($A531="",'04 Prices'!C531="",'04 Prices'!C532=""),"",'04 Prices'!C532/'04 Prices'!C531-1)</f>
        <v/>
      </c>
      <c r="D531" s="25">
        <f>IF(OR($A531="",'04 Prices'!D531="",'04 Prices'!D532=""),"",'04 Prices'!D532/'04 Prices'!D531-1)</f>
        <v/>
      </c>
      <c r="E531" s="25">
        <f>IF(OR($A531="",'04 Prices'!E531="",'04 Prices'!E532=""),"",'04 Prices'!E532/'04 Prices'!E531-1)</f>
        <v/>
      </c>
      <c r="F531" s="25">
        <f>IF(OR($A531="",'04 Prices'!F531="",'04 Prices'!F532=""),"",'04 Prices'!F532/'04 Prices'!F531-1)</f>
        <v/>
      </c>
      <c r="G531" s="25">
        <f>IF(OR($A531="",'04 Prices'!G531="",'04 Prices'!G532=""),"",'04 Prices'!G532/'04 Prices'!G531-1)</f>
        <v/>
      </c>
      <c r="H531" s="25">
        <f>IF(OR($A531="",'04 Prices'!H531="",'04 Prices'!H532=""),"",'04 Prices'!H532/'04 Prices'!H531-1)</f>
        <v/>
      </c>
    </row>
    <row r="532">
      <c r="A532" s="23">
        <f>IF('04 Prices'!A533="","",'04 Prices'!A533)</f>
        <v/>
      </c>
      <c r="B532" s="25">
        <f>IF(OR($A532="",'04 Prices'!B532="",'04 Prices'!B533=""),"",'04 Prices'!B533/'04 Prices'!B532-1)</f>
        <v/>
      </c>
      <c r="C532" s="25">
        <f>IF(OR($A532="",'04 Prices'!C532="",'04 Prices'!C533=""),"",'04 Prices'!C533/'04 Prices'!C532-1)</f>
        <v/>
      </c>
      <c r="D532" s="25">
        <f>IF(OR($A532="",'04 Prices'!D532="",'04 Prices'!D533=""),"",'04 Prices'!D533/'04 Prices'!D532-1)</f>
        <v/>
      </c>
      <c r="E532" s="25">
        <f>IF(OR($A532="",'04 Prices'!E532="",'04 Prices'!E533=""),"",'04 Prices'!E533/'04 Prices'!E532-1)</f>
        <v/>
      </c>
      <c r="F532" s="25">
        <f>IF(OR($A532="",'04 Prices'!F532="",'04 Prices'!F533=""),"",'04 Prices'!F533/'04 Prices'!F532-1)</f>
        <v/>
      </c>
      <c r="G532" s="25">
        <f>IF(OR($A532="",'04 Prices'!G532="",'04 Prices'!G533=""),"",'04 Prices'!G533/'04 Prices'!G532-1)</f>
        <v/>
      </c>
      <c r="H532" s="25">
        <f>IF(OR($A532="",'04 Prices'!H532="",'04 Prices'!H533=""),"",'04 Prices'!H533/'04 Prices'!H532-1)</f>
        <v/>
      </c>
    </row>
    <row r="533">
      <c r="A533" s="23">
        <f>IF('04 Prices'!A534="","",'04 Prices'!A534)</f>
        <v/>
      </c>
      <c r="B533" s="25">
        <f>IF(OR($A533="",'04 Prices'!B533="",'04 Prices'!B534=""),"",'04 Prices'!B534/'04 Prices'!B533-1)</f>
        <v/>
      </c>
      <c r="C533" s="25">
        <f>IF(OR($A533="",'04 Prices'!C533="",'04 Prices'!C534=""),"",'04 Prices'!C534/'04 Prices'!C533-1)</f>
        <v/>
      </c>
      <c r="D533" s="25">
        <f>IF(OR($A533="",'04 Prices'!D533="",'04 Prices'!D534=""),"",'04 Prices'!D534/'04 Prices'!D533-1)</f>
        <v/>
      </c>
      <c r="E533" s="25">
        <f>IF(OR($A533="",'04 Prices'!E533="",'04 Prices'!E534=""),"",'04 Prices'!E534/'04 Prices'!E533-1)</f>
        <v/>
      </c>
      <c r="F533" s="25">
        <f>IF(OR($A533="",'04 Prices'!F533="",'04 Prices'!F534=""),"",'04 Prices'!F534/'04 Prices'!F533-1)</f>
        <v/>
      </c>
      <c r="G533" s="25">
        <f>IF(OR($A533="",'04 Prices'!G533="",'04 Prices'!G534=""),"",'04 Prices'!G534/'04 Prices'!G533-1)</f>
        <v/>
      </c>
      <c r="H533" s="25">
        <f>IF(OR($A533="",'04 Prices'!H533="",'04 Prices'!H534=""),"",'04 Prices'!H534/'04 Prices'!H533-1)</f>
        <v/>
      </c>
    </row>
    <row r="534">
      <c r="A534" s="23">
        <f>IF('04 Prices'!A535="","",'04 Prices'!A535)</f>
        <v/>
      </c>
      <c r="B534" s="25">
        <f>IF(OR($A534="",'04 Prices'!B534="",'04 Prices'!B535=""),"",'04 Prices'!B535/'04 Prices'!B534-1)</f>
        <v/>
      </c>
      <c r="C534" s="25">
        <f>IF(OR($A534="",'04 Prices'!C534="",'04 Prices'!C535=""),"",'04 Prices'!C535/'04 Prices'!C534-1)</f>
        <v/>
      </c>
      <c r="D534" s="25">
        <f>IF(OR($A534="",'04 Prices'!D534="",'04 Prices'!D535=""),"",'04 Prices'!D535/'04 Prices'!D534-1)</f>
        <v/>
      </c>
      <c r="E534" s="25">
        <f>IF(OR($A534="",'04 Prices'!E534="",'04 Prices'!E535=""),"",'04 Prices'!E535/'04 Prices'!E534-1)</f>
        <v/>
      </c>
      <c r="F534" s="25">
        <f>IF(OR($A534="",'04 Prices'!F534="",'04 Prices'!F535=""),"",'04 Prices'!F535/'04 Prices'!F534-1)</f>
        <v/>
      </c>
      <c r="G534" s="25">
        <f>IF(OR($A534="",'04 Prices'!G534="",'04 Prices'!G535=""),"",'04 Prices'!G535/'04 Prices'!G534-1)</f>
        <v/>
      </c>
      <c r="H534" s="25">
        <f>IF(OR($A534="",'04 Prices'!H534="",'04 Prices'!H535=""),"",'04 Prices'!H535/'04 Prices'!H534-1)</f>
        <v/>
      </c>
    </row>
    <row r="535">
      <c r="A535" s="23">
        <f>IF('04 Prices'!A536="","",'04 Prices'!A536)</f>
        <v/>
      </c>
      <c r="B535" s="25">
        <f>IF(OR($A535="",'04 Prices'!B535="",'04 Prices'!B536=""),"",'04 Prices'!B536/'04 Prices'!B535-1)</f>
        <v/>
      </c>
      <c r="C535" s="25">
        <f>IF(OR($A535="",'04 Prices'!C535="",'04 Prices'!C536=""),"",'04 Prices'!C536/'04 Prices'!C535-1)</f>
        <v/>
      </c>
      <c r="D535" s="25">
        <f>IF(OR($A535="",'04 Prices'!D535="",'04 Prices'!D536=""),"",'04 Prices'!D536/'04 Prices'!D535-1)</f>
        <v/>
      </c>
      <c r="E535" s="25">
        <f>IF(OR($A535="",'04 Prices'!E535="",'04 Prices'!E536=""),"",'04 Prices'!E536/'04 Prices'!E535-1)</f>
        <v/>
      </c>
      <c r="F535" s="25">
        <f>IF(OR($A535="",'04 Prices'!F535="",'04 Prices'!F536=""),"",'04 Prices'!F536/'04 Prices'!F535-1)</f>
        <v/>
      </c>
      <c r="G535" s="25">
        <f>IF(OR($A535="",'04 Prices'!G535="",'04 Prices'!G536=""),"",'04 Prices'!G536/'04 Prices'!G535-1)</f>
        <v/>
      </c>
      <c r="H535" s="25">
        <f>IF(OR($A535="",'04 Prices'!H535="",'04 Prices'!H536=""),"",'04 Prices'!H536/'04 Prices'!H535-1)</f>
        <v/>
      </c>
    </row>
    <row r="536">
      <c r="A536" s="23">
        <f>IF('04 Prices'!A537="","",'04 Prices'!A537)</f>
        <v/>
      </c>
      <c r="B536" s="25">
        <f>IF(OR($A536="",'04 Prices'!B536="",'04 Prices'!B537=""),"",'04 Prices'!B537/'04 Prices'!B536-1)</f>
        <v/>
      </c>
      <c r="C536" s="25">
        <f>IF(OR($A536="",'04 Prices'!C536="",'04 Prices'!C537=""),"",'04 Prices'!C537/'04 Prices'!C536-1)</f>
        <v/>
      </c>
      <c r="D536" s="25">
        <f>IF(OR($A536="",'04 Prices'!D536="",'04 Prices'!D537=""),"",'04 Prices'!D537/'04 Prices'!D536-1)</f>
        <v/>
      </c>
      <c r="E536" s="25">
        <f>IF(OR($A536="",'04 Prices'!E536="",'04 Prices'!E537=""),"",'04 Prices'!E537/'04 Prices'!E536-1)</f>
        <v/>
      </c>
      <c r="F536" s="25">
        <f>IF(OR($A536="",'04 Prices'!F536="",'04 Prices'!F537=""),"",'04 Prices'!F537/'04 Prices'!F536-1)</f>
        <v/>
      </c>
      <c r="G536" s="25">
        <f>IF(OR($A536="",'04 Prices'!G536="",'04 Prices'!G537=""),"",'04 Prices'!G537/'04 Prices'!G536-1)</f>
        <v/>
      </c>
      <c r="H536" s="25">
        <f>IF(OR($A536="",'04 Prices'!H536="",'04 Prices'!H537=""),"",'04 Prices'!H537/'04 Prices'!H536-1)</f>
        <v/>
      </c>
    </row>
    <row r="537">
      <c r="A537" s="23">
        <f>IF('04 Prices'!A538="","",'04 Prices'!A538)</f>
        <v/>
      </c>
      <c r="B537" s="25">
        <f>IF(OR($A537="",'04 Prices'!B537="",'04 Prices'!B538=""),"",'04 Prices'!B538/'04 Prices'!B537-1)</f>
        <v/>
      </c>
      <c r="C537" s="25">
        <f>IF(OR($A537="",'04 Prices'!C537="",'04 Prices'!C538=""),"",'04 Prices'!C538/'04 Prices'!C537-1)</f>
        <v/>
      </c>
      <c r="D537" s="25">
        <f>IF(OR($A537="",'04 Prices'!D537="",'04 Prices'!D538=""),"",'04 Prices'!D538/'04 Prices'!D537-1)</f>
        <v/>
      </c>
      <c r="E537" s="25">
        <f>IF(OR($A537="",'04 Prices'!E537="",'04 Prices'!E538=""),"",'04 Prices'!E538/'04 Prices'!E537-1)</f>
        <v/>
      </c>
      <c r="F537" s="25">
        <f>IF(OR($A537="",'04 Prices'!F537="",'04 Prices'!F538=""),"",'04 Prices'!F538/'04 Prices'!F537-1)</f>
        <v/>
      </c>
      <c r="G537" s="25">
        <f>IF(OR($A537="",'04 Prices'!G537="",'04 Prices'!G538=""),"",'04 Prices'!G538/'04 Prices'!G537-1)</f>
        <v/>
      </c>
      <c r="H537" s="25">
        <f>IF(OR($A537="",'04 Prices'!H537="",'04 Prices'!H538=""),"",'04 Prices'!H538/'04 Prices'!H537-1)</f>
        <v/>
      </c>
    </row>
    <row r="538">
      <c r="A538" s="23">
        <f>IF('04 Prices'!A539="","",'04 Prices'!A539)</f>
        <v/>
      </c>
      <c r="B538" s="25">
        <f>IF(OR($A538="",'04 Prices'!B538="",'04 Prices'!B539=""),"",'04 Prices'!B539/'04 Prices'!B538-1)</f>
        <v/>
      </c>
      <c r="C538" s="25">
        <f>IF(OR($A538="",'04 Prices'!C538="",'04 Prices'!C539=""),"",'04 Prices'!C539/'04 Prices'!C538-1)</f>
        <v/>
      </c>
      <c r="D538" s="25">
        <f>IF(OR($A538="",'04 Prices'!D538="",'04 Prices'!D539=""),"",'04 Prices'!D539/'04 Prices'!D538-1)</f>
        <v/>
      </c>
      <c r="E538" s="25">
        <f>IF(OR($A538="",'04 Prices'!E538="",'04 Prices'!E539=""),"",'04 Prices'!E539/'04 Prices'!E538-1)</f>
        <v/>
      </c>
      <c r="F538" s="25">
        <f>IF(OR($A538="",'04 Prices'!F538="",'04 Prices'!F539=""),"",'04 Prices'!F539/'04 Prices'!F538-1)</f>
        <v/>
      </c>
      <c r="G538" s="25">
        <f>IF(OR($A538="",'04 Prices'!G538="",'04 Prices'!G539=""),"",'04 Prices'!G539/'04 Prices'!G538-1)</f>
        <v/>
      </c>
      <c r="H538" s="25">
        <f>IF(OR($A538="",'04 Prices'!H538="",'04 Prices'!H539=""),"",'04 Prices'!H539/'04 Prices'!H538-1)</f>
        <v/>
      </c>
    </row>
    <row r="539">
      <c r="A539" s="23">
        <f>IF('04 Prices'!A540="","",'04 Prices'!A540)</f>
        <v/>
      </c>
      <c r="B539" s="25">
        <f>IF(OR($A539="",'04 Prices'!B539="",'04 Prices'!B540=""),"",'04 Prices'!B540/'04 Prices'!B539-1)</f>
        <v/>
      </c>
      <c r="C539" s="25">
        <f>IF(OR($A539="",'04 Prices'!C539="",'04 Prices'!C540=""),"",'04 Prices'!C540/'04 Prices'!C539-1)</f>
        <v/>
      </c>
      <c r="D539" s="25">
        <f>IF(OR($A539="",'04 Prices'!D539="",'04 Prices'!D540=""),"",'04 Prices'!D540/'04 Prices'!D539-1)</f>
        <v/>
      </c>
      <c r="E539" s="25">
        <f>IF(OR($A539="",'04 Prices'!E539="",'04 Prices'!E540=""),"",'04 Prices'!E540/'04 Prices'!E539-1)</f>
        <v/>
      </c>
      <c r="F539" s="25">
        <f>IF(OR($A539="",'04 Prices'!F539="",'04 Prices'!F540=""),"",'04 Prices'!F540/'04 Prices'!F539-1)</f>
        <v/>
      </c>
      <c r="G539" s="25">
        <f>IF(OR($A539="",'04 Prices'!G539="",'04 Prices'!G540=""),"",'04 Prices'!G540/'04 Prices'!G539-1)</f>
        <v/>
      </c>
      <c r="H539" s="25">
        <f>IF(OR($A539="",'04 Prices'!H539="",'04 Prices'!H540=""),"",'04 Prices'!H540/'04 Prices'!H539-1)</f>
        <v/>
      </c>
    </row>
    <row r="540">
      <c r="A540" s="23">
        <f>IF('04 Prices'!A541="","",'04 Prices'!A541)</f>
        <v/>
      </c>
      <c r="B540" s="25">
        <f>IF(OR($A540="",'04 Prices'!B540="",'04 Prices'!B541=""),"",'04 Prices'!B541/'04 Prices'!B540-1)</f>
        <v/>
      </c>
      <c r="C540" s="25">
        <f>IF(OR($A540="",'04 Prices'!C540="",'04 Prices'!C541=""),"",'04 Prices'!C541/'04 Prices'!C540-1)</f>
        <v/>
      </c>
      <c r="D540" s="25">
        <f>IF(OR($A540="",'04 Prices'!D540="",'04 Prices'!D541=""),"",'04 Prices'!D541/'04 Prices'!D540-1)</f>
        <v/>
      </c>
      <c r="E540" s="25">
        <f>IF(OR($A540="",'04 Prices'!E540="",'04 Prices'!E541=""),"",'04 Prices'!E541/'04 Prices'!E540-1)</f>
        <v/>
      </c>
      <c r="F540" s="25">
        <f>IF(OR($A540="",'04 Prices'!F540="",'04 Prices'!F541=""),"",'04 Prices'!F541/'04 Prices'!F540-1)</f>
        <v/>
      </c>
      <c r="G540" s="25">
        <f>IF(OR($A540="",'04 Prices'!G540="",'04 Prices'!G541=""),"",'04 Prices'!G541/'04 Prices'!G540-1)</f>
        <v/>
      </c>
      <c r="H540" s="25">
        <f>IF(OR($A540="",'04 Prices'!H540="",'04 Prices'!H541=""),"",'04 Prices'!H541/'04 Prices'!H540-1)</f>
        <v/>
      </c>
    </row>
    <row r="541">
      <c r="A541" s="23">
        <f>IF('04 Prices'!A542="","",'04 Prices'!A542)</f>
        <v/>
      </c>
      <c r="B541" s="25">
        <f>IF(OR($A541="",'04 Prices'!B541="",'04 Prices'!B542=""),"",'04 Prices'!B542/'04 Prices'!B541-1)</f>
        <v/>
      </c>
      <c r="C541" s="25">
        <f>IF(OR($A541="",'04 Prices'!C541="",'04 Prices'!C542=""),"",'04 Prices'!C542/'04 Prices'!C541-1)</f>
        <v/>
      </c>
      <c r="D541" s="25">
        <f>IF(OR($A541="",'04 Prices'!D541="",'04 Prices'!D542=""),"",'04 Prices'!D542/'04 Prices'!D541-1)</f>
        <v/>
      </c>
      <c r="E541" s="25">
        <f>IF(OR($A541="",'04 Prices'!E541="",'04 Prices'!E542=""),"",'04 Prices'!E542/'04 Prices'!E541-1)</f>
        <v/>
      </c>
      <c r="F541" s="25">
        <f>IF(OR($A541="",'04 Prices'!F541="",'04 Prices'!F542=""),"",'04 Prices'!F542/'04 Prices'!F541-1)</f>
        <v/>
      </c>
      <c r="G541" s="25">
        <f>IF(OR($A541="",'04 Prices'!G541="",'04 Prices'!G542=""),"",'04 Prices'!G542/'04 Prices'!G541-1)</f>
        <v/>
      </c>
      <c r="H541" s="25">
        <f>IF(OR($A541="",'04 Prices'!H541="",'04 Prices'!H542=""),"",'04 Prices'!H542/'04 Prices'!H541-1)</f>
        <v/>
      </c>
    </row>
    <row r="542">
      <c r="A542" s="23">
        <f>IF('04 Prices'!A543="","",'04 Prices'!A543)</f>
        <v/>
      </c>
      <c r="B542" s="25">
        <f>IF(OR($A542="",'04 Prices'!B542="",'04 Prices'!B543=""),"",'04 Prices'!B543/'04 Prices'!B542-1)</f>
        <v/>
      </c>
      <c r="C542" s="25">
        <f>IF(OR($A542="",'04 Prices'!C542="",'04 Prices'!C543=""),"",'04 Prices'!C543/'04 Prices'!C542-1)</f>
        <v/>
      </c>
      <c r="D542" s="25">
        <f>IF(OR($A542="",'04 Prices'!D542="",'04 Prices'!D543=""),"",'04 Prices'!D543/'04 Prices'!D542-1)</f>
        <v/>
      </c>
      <c r="E542" s="25">
        <f>IF(OR($A542="",'04 Prices'!E542="",'04 Prices'!E543=""),"",'04 Prices'!E543/'04 Prices'!E542-1)</f>
        <v/>
      </c>
      <c r="F542" s="25">
        <f>IF(OR($A542="",'04 Prices'!F542="",'04 Prices'!F543=""),"",'04 Prices'!F543/'04 Prices'!F542-1)</f>
        <v/>
      </c>
      <c r="G542" s="25">
        <f>IF(OR($A542="",'04 Prices'!G542="",'04 Prices'!G543=""),"",'04 Prices'!G543/'04 Prices'!G542-1)</f>
        <v/>
      </c>
      <c r="H542" s="25">
        <f>IF(OR($A542="",'04 Prices'!H542="",'04 Prices'!H543=""),"",'04 Prices'!H543/'04 Prices'!H542-1)</f>
        <v/>
      </c>
    </row>
    <row r="543">
      <c r="A543" s="23">
        <f>IF('04 Prices'!A544="","",'04 Prices'!A544)</f>
        <v/>
      </c>
      <c r="B543" s="25">
        <f>IF(OR($A543="",'04 Prices'!B543="",'04 Prices'!B544=""),"",'04 Prices'!B544/'04 Prices'!B543-1)</f>
        <v/>
      </c>
      <c r="C543" s="25">
        <f>IF(OR($A543="",'04 Prices'!C543="",'04 Prices'!C544=""),"",'04 Prices'!C544/'04 Prices'!C543-1)</f>
        <v/>
      </c>
      <c r="D543" s="25">
        <f>IF(OR($A543="",'04 Prices'!D543="",'04 Prices'!D544=""),"",'04 Prices'!D544/'04 Prices'!D543-1)</f>
        <v/>
      </c>
      <c r="E543" s="25">
        <f>IF(OR($A543="",'04 Prices'!E543="",'04 Prices'!E544=""),"",'04 Prices'!E544/'04 Prices'!E543-1)</f>
        <v/>
      </c>
      <c r="F543" s="25">
        <f>IF(OR($A543="",'04 Prices'!F543="",'04 Prices'!F544=""),"",'04 Prices'!F544/'04 Prices'!F543-1)</f>
        <v/>
      </c>
      <c r="G543" s="25">
        <f>IF(OR($A543="",'04 Prices'!G543="",'04 Prices'!G544=""),"",'04 Prices'!G544/'04 Prices'!G543-1)</f>
        <v/>
      </c>
      <c r="H543" s="25">
        <f>IF(OR($A543="",'04 Prices'!H543="",'04 Prices'!H544=""),"",'04 Prices'!H544/'04 Prices'!H543-1)</f>
        <v/>
      </c>
    </row>
    <row r="544">
      <c r="A544" s="23">
        <f>IF('04 Prices'!A545="","",'04 Prices'!A545)</f>
        <v/>
      </c>
      <c r="B544" s="25">
        <f>IF(OR($A544="",'04 Prices'!B544="",'04 Prices'!B545=""),"",'04 Prices'!B545/'04 Prices'!B544-1)</f>
        <v/>
      </c>
      <c r="C544" s="25">
        <f>IF(OR($A544="",'04 Prices'!C544="",'04 Prices'!C545=""),"",'04 Prices'!C545/'04 Prices'!C544-1)</f>
        <v/>
      </c>
      <c r="D544" s="25">
        <f>IF(OR($A544="",'04 Prices'!D544="",'04 Prices'!D545=""),"",'04 Prices'!D545/'04 Prices'!D544-1)</f>
        <v/>
      </c>
      <c r="E544" s="25">
        <f>IF(OR($A544="",'04 Prices'!E544="",'04 Prices'!E545=""),"",'04 Prices'!E545/'04 Prices'!E544-1)</f>
        <v/>
      </c>
      <c r="F544" s="25">
        <f>IF(OR($A544="",'04 Prices'!F544="",'04 Prices'!F545=""),"",'04 Prices'!F545/'04 Prices'!F544-1)</f>
        <v/>
      </c>
      <c r="G544" s="25">
        <f>IF(OR($A544="",'04 Prices'!G544="",'04 Prices'!G545=""),"",'04 Prices'!G545/'04 Prices'!G544-1)</f>
        <v/>
      </c>
      <c r="H544" s="25">
        <f>IF(OR($A544="",'04 Prices'!H544="",'04 Prices'!H545=""),"",'04 Prices'!H545/'04 Prices'!H544-1)</f>
        <v/>
      </c>
    </row>
    <row r="545">
      <c r="A545" s="23">
        <f>IF('04 Prices'!A546="","",'04 Prices'!A546)</f>
        <v/>
      </c>
      <c r="B545" s="25">
        <f>IF(OR($A545="",'04 Prices'!B545="",'04 Prices'!B546=""),"",'04 Prices'!B546/'04 Prices'!B545-1)</f>
        <v/>
      </c>
      <c r="C545" s="25">
        <f>IF(OR($A545="",'04 Prices'!C545="",'04 Prices'!C546=""),"",'04 Prices'!C546/'04 Prices'!C545-1)</f>
        <v/>
      </c>
      <c r="D545" s="25">
        <f>IF(OR($A545="",'04 Prices'!D545="",'04 Prices'!D546=""),"",'04 Prices'!D546/'04 Prices'!D545-1)</f>
        <v/>
      </c>
      <c r="E545" s="25">
        <f>IF(OR($A545="",'04 Prices'!E545="",'04 Prices'!E546=""),"",'04 Prices'!E546/'04 Prices'!E545-1)</f>
        <v/>
      </c>
      <c r="F545" s="25">
        <f>IF(OR($A545="",'04 Prices'!F545="",'04 Prices'!F546=""),"",'04 Prices'!F546/'04 Prices'!F545-1)</f>
        <v/>
      </c>
      <c r="G545" s="25">
        <f>IF(OR($A545="",'04 Prices'!G545="",'04 Prices'!G546=""),"",'04 Prices'!G546/'04 Prices'!G545-1)</f>
        <v/>
      </c>
      <c r="H545" s="25">
        <f>IF(OR($A545="",'04 Prices'!H545="",'04 Prices'!H546=""),"",'04 Prices'!H546/'04 Prices'!H545-1)</f>
        <v/>
      </c>
    </row>
    <row r="546">
      <c r="A546" s="23">
        <f>IF('04 Prices'!A547="","",'04 Prices'!A547)</f>
        <v/>
      </c>
      <c r="B546" s="25">
        <f>IF(OR($A546="",'04 Prices'!B546="",'04 Prices'!B547=""),"",'04 Prices'!B547/'04 Prices'!B546-1)</f>
        <v/>
      </c>
      <c r="C546" s="25">
        <f>IF(OR($A546="",'04 Prices'!C546="",'04 Prices'!C547=""),"",'04 Prices'!C547/'04 Prices'!C546-1)</f>
        <v/>
      </c>
      <c r="D546" s="25">
        <f>IF(OR($A546="",'04 Prices'!D546="",'04 Prices'!D547=""),"",'04 Prices'!D547/'04 Prices'!D546-1)</f>
        <v/>
      </c>
      <c r="E546" s="25">
        <f>IF(OR($A546="",'04 Prices'!E546="",'04 Prices'!E547=""),"",'04 Prices'!E547/'04 Prices'!E546-1)</f>
        <v/>
      </c>
      <c r="F546" s="25">
        <f>IF(OR($A546="",'04 Prices'!F546="",'04 Prices'!F547=""),"",'04 Prices'!F547/'04 Prices'!F546-1)</f>
        <v/>
      </c>
      <c r="G546" s="25">
        <f>IF(OR($A546="",'04 Prices'!G546="",'04 Prices'!G547=""),"",'04 Prices'!G547/'04 Prices'!G546-1)</f>
        <v/>
      </c>
      <c r="H546" s="25">
        <f>IF(OR($A546="",'04 Prices'!H546="",'04 Prices'!H547=""),"",'04 Prices'!H547/'04 Prices'!H546-1)</f>
        <v/>
      </c>
    </row>
    <row r="547">
      <c r="A547" s="23">
        <f>IF('04 Prices'!A548="","",'04 Prices'!A548)</f>
        <v/>
      </c>
      <c r="B547" s="25">
        <f>IF(OR($A547="",'04 Prices'!B547="",'04 Prices'!B548=""),"",'04 Prices'!B548/'04 Prices'!B547-1)</f>
        <v/>
      </c>
      <c r="C547" s="25">
        <f>IF(OR($A547="",'04 Prices'!C547="",'04 Prices'!C548=""),"",'04 Prices'!C548/'04 Prices'!C547-1)</f>
        <v/>
      </c>
      <c r="D547" s="25">
        <f>IF(OR($A547="",'04 Prices'!D547="",'04 Prices'!D548=""),"",'04 Prices'!D548/'04 Prices'!D547-1)</f>
        <v/>
      </c>
      <c r="E547" s="25">
        <f>IF(OR($A547="",'04 Prices'!E547="",'04 Prices'!E548=""),"",'04 Prices'!E548/'04 Prices'!E547-1)</f>
        <v/>
      </c>
      <c r="F547" s="25">
        <f>IF(OR($A547="",'04 Prices'!F547="",'04 Prices'!F548=""),"",'04 Prices'!F548/'04 Prices'!F547-1)</f>
        <v/>
      </c>
      <c r="G547" s="25">
        <f>IF(OR($A547="",'04 Prices'!G547="",'04 Prices'!G548=""),"",'04 Prices'!G548/'04 Prices'!G547-1)</f>
        <v/>
      </c>
      <c r="H547" s="25">
        <f>IF(OR($A547="",'04 Prices'!H547="",'04 Prices'!H548=""),"",'04 Prices'!H548/'04 Prices'!H547-1)</f>
        <v/>
      </c>
    </row>
    <row r="548">
      <c r="A548" s="23">
        <f>IF('04 Prices'!A549="","",'04 Prices'!A549)</f>
        <v/>
      </c>
      <c r="B548" s="25">
        <f>IF(OR($A548="",'04 Prices'!B548="",'04 Prices'!B549=""),"",'04 Prices'!B549/'04 Prices'!B548-1)</f>
        <v/>
      </c>
      <c r="C548" s="25">
        <f>IF(OR($A548="",'04 Prices'!C548="",'04 Prices'!C549=""),"",'04 Prices'!C549/'04 Prices'!C548-1)</f>
        <v/>
      </c>
      <c r="D548" s="25">
        <f>IF(OR($A548="",'04 Prices'!D548="",'04 Prices'!D549=""),"",'04 Prices'!D549/'04 Prices'!D548-1)</f>
        <v/>
      </c>
      <c r="E548" s="25">
        <f>IF(OR($A548="",'04 Prices'!E548="",'04 Prices'!E549=""),"",'04 Prices'!E549/'04 Prices'!E548-1)</f>
        <v/>
      </c>
      <c r="F548" s="25">
        <f>IF(OR($A548="",'04 Prices'!F548="",'04 Prices'!F549=""),"",'04 Prices'!F549/'04 Prices'!F548-1)</f>
        <v/>
      </c>
      <c r="G548" s="25">
        <f>IF(OR($A548="",'04 Prices'!G548="",'04 Prices'!G549=""),"",'04 Prices'!G549/'04 Prices'!G548-1)</f>
        <v/>
      </c>
      <c r="H548" s="25">
        <f>IF(OR($A548="",'04 Prices'!H548="",'04 Prices'!H549=""),"",'04 Prices'!H549/'04 Prices'!H548-1)</f>
        <v/>
      </c>
    </row>
    <row r="549">
      <c r="A549" s="23">
        <f>IF('04 Prices'!A550="","",'04 Prices'!A550)</f>
        <v/>
      </c>
      <c r="B549" s="25">
        <f>IF(OR($A549="",'04 Prices'!B549="",'04 Prices'!B550=""),"",'04 Prices'!B550/'04 Prices'!B549-1)</f>
        <v/>
      </c>
      <c r="C549" s="25">
        <f>IF(OR($A549="",'04 Prices'!C549="",'04 Prices'!C550=""),"",'04 Prices'!C550/'04 Prices'!C549-1)</f>
        <v/>
      </c>
      <c r="D549" s="25">
        <f>IF(OR($A549="",'04 Prices'!D549="",'04 Prices'!D550=""),"",'04 Prices'!D550/'04 Prices'!D549-1)</f>
        <v/>
      </c>
      <c r="E549" s="25">
        <f>IF(OR($A549="",'04 Prices'!E549="",'04 Prices'!E550=""),"",'04 Prices'!E550/'04 Prices'!E549-1)</f>
        <v/>
      </c>
      <c r="F549" s="25">
        <f>IF(OR($A549="",'04 Prices'!F549="",'04 Prices'!F550=""),"",'04 Prices'!F550/'04 Prices'!F549-1)</f>
        <v/>
      </c>
      <c r="G549" s="25">
        <f>IF(OR($A549="",'04 Prices'!G549="",'04 Prices'!G550=""),"",'04 Prices'!G550/'04 Prices'!G549-1)</f>
        <v/>
      </c>
      <c r="H549" s="25">
        <f>IF(OR($A549="",'04 Prices'!H549="",'04 Prices'!H550=""),"",'04 Prices'!H550/'04 Prices'!H549-1)</f>
        <v/>
      </c>
    </row>
    <row r="550">
      <c r="A550" s="23">
        <f>IF('04 Prices'!A551="","",'04 Prices'!A551)</f>
        <v/>
      </c>
      <c r="B550" s="25">
        <f>IF(OR($A550="",'04 Prices'!B550="",'04 Prices'!B551=""),"",'04 Prices'!B551/'04 Prices'!B550-1)</f>
        <v/>
      </c>
      <c r="C550" s="25">
        <f>IF(OR($A550="",'04 Prices'!C550="",'04 Prices'!C551=""),"",'04 Prices'!C551/'04 Prices'!C550-1)</f>
        <v/>
      </c>
      <c r="D550" s="25">
        <f>IF(OR($A550="",'04 Prices'!D550="",'04 Prices'!D551=""),"",'04 Prices'!D551/'04 Prices'!D550-1)</f>
        <v/>
      </c>
      <c r="E550" s="25">
        <f>IF(OR($A550="",'04 Prices'!E550="",'04 Prices'!E551=""),"",'04 Prices'!E551/'04 Prices'!E550-1)</f>
        <v/>
      </c>
      <c r="F550" s="25">
        <f>IF(OR($A550="",'04 Prices'!F550="",'04 Prices'!F551=""),"",'04 Prices'!F551/'04 Prices'!F550-1)</f>
        <v/>
      </c>
      <c r="G550" s="25">
        <f>IF(OR($A550="",'04 Prices'!G550="",'04 Prices'!G551=""),"",'04 Prices'!G551/'04 Prices'!G550-1)</f>
        <v/>
      </c>
      <c r="H550" s="25">
        <f>IF(OR($A550="",'04 Prices'!H550="",'04 Prices'!H551=""),"",'04 Prices'!H551/'04 Prices'!H550-1)</f>
        <v/>
      </c>
    </row>
    <row r="551">
      <c r="A551" s="23">
        <f>IF('04 Prices'!A552="","",'04 Prices'!A552)</f>
        <v/>
      </c>
      <c r="B551" s="25">
        <f>IF(OR($A551="",'04 Prices'!B551="",'04 Prices'!B552=""),"",'04 Prices'!B552/'04 Prices'!B551-1)</f>
        <v/>
      </c>
      <c r="C551" s="25">
        <f>IF(OR($A551="",'04 Prices'!C551="",'04 Prices'!C552=""),"",'04 Prices'!C552/'04 Prices'!C551-1)</f>
        <v/>
      </c>
      <c r="D551" s="25">
        <f>IF(OR($A551="",'04 Prices'!D551="",'04 Prices'!D552=""),"",'04 Prices'!D552/'04 Prices'!D551-1)</f>
        <v/>
      </c>
      <c r="E551" s="25">
        <f>IF(OR($A551="",'04 Prices'!E551="",'04 Prices'!E552=""),"",'04 Prices'!E552/'04 Prices'!E551-1)</f>
        <v/>
      </c>
      <c r="F551" s="25">
        <f>IF(OR($A551="",'04 Prices'!F551="",'04 Prices'!F552=""),"",'04 Prices'!F552/'04 Prices'!F551-1)</f>
        <v/>
      </c>
      <c r="G551" s="25">
        <f>IF(OR($A551="",'04 Prices'!G551="",'04 Prices'!G552=""),"",'04 Prices'!G552/'04 Prices'!G551-1)</f>
        <v/>
      </c>
      <c r="H551" s="25">
        <f>IF(OR($A551="",'04 Prices'!H551="",'04 Prices'!H552=""),"",'04 Prices'!H552/'04 Prices'!H551-1)</f>
        <v/>
      </c>
    </row>
    <row r="552">
      <c r="A552" s="23">
        <f>IF('04 Prices'!A553="","",'04 Prices'!A553)</f>
        <v/>
      </c>
      <c r="B552" s="25">
        <f>IF(OR($A552="",'04 Prices'!B552="",'04 Prices'!B553=""),"",'04 Prices'!B553/'04 Prices'!B552-1)</f>
        <v/>
      </c>
      <c r="C552" s="25">
        <f>IF(OR($A552="",'04 Prices'!C552="",'04 Prices'!C553=""),"",'04 Prices'!C553/'04 Prices'!C552-1)</f>
        <v/>
      </c>
      <c r="D552" s="25">
        <f>IF(OR($A552="",'04 Prices'!D552="",'04 Prices'!D553=""),"",'04 Prices'!D553/'04 Prices'!D552-1)</f>
        <v/>
      </c>
      <c r="E552" s="25">
        <f>IF(OR($A552="",'04 Prices'!E552="",'04 Prices'!E553=""),"",'04 Prices'!E553/'04 Prices'!E552-1)</f>
        <v/>
      </c>
      <c r="F552" s="25">
        <f>IF(OR($A552="",'04 Prices'!F552="",'04 Prices'!F553=""),"",'04 Prices'!F553/'04 Prices'!F552-1)</f>
        <v/>
      </c>
      <c r="G552" s="25">
        <f>IF(OR($A552="",'04 Prices'!G552="",'04 Prices'!G553=""),"",'04 Prices'!G553/'04 Prices'!G552-1)</f>
        <v/>
      </c>
      <c r="H552" s="25">
        <f>IF(OR($A552="",'04 Prices'!H552="",'04 Prices'!H553=""),"",'04 Prices'!H553/'04 Prices'!H552-1)</f>
        <v/>
      </c>
    </row>
    <row r="553">
      <c r="A553" s="23">
        <f>IF('04 Prices'!A554="","",'04 Prices'!A554)</f>
        <v/>
      </c>
      <c r="B553" s="25">
        <f>IF(OR($A553="",'04 Prices'!B553="",'04 Prices'!B554=""),"",'04 Prices'!B554/'04 Prices'!B553-1)</f>
        <v/>
      </c>
      <c r="C553" s="25">
        <f>IF(OR($A553="",'04 Prices'!C553="",'04 Prices'!C554=""),"",'04 Prices'!C554/'04 Prices'!C553-1)</f>
        <v/>
      </c>
      <c r="D553" s="25">
        <f>IF(OR($A553="",'04 Prices'!D553="",'04 Prices'!D554=""),"",'04 Prices'!D554/'04 Prices'!D553-1)</f>
        <v/>
      </c>
      <c r="E553" s="25">
        <f>IF(OR($A553="",'04 Prices'!E553="",'04 Prices'!E554=""),"",'04 Prices'!E554/'04 Prices'!E553-1)</f>
        <v/>
      </c>
      <c r="F553" s="25">
        <f>IF(OR($A553="",'04 Prices'!F553="",'04 Prices'!F554=""),"",'04 Prices'!F554/'04 Prices'!F553-1)</f>
        <v/>
      </c>
      <c r="G553" s="25">
        <f>IF(OR($A553="",'04 Prices'!G553="",'04 Prices'!G554=""),"",'04 Prices'!G554/'04 Prices'!G553-1)</f>
        <v/>
      </c>
      <c r="H553" s="25">
        <f>IF(OR($A553="",'04 Prices'!H553="",'04 Prices'!H554=""),"",'04 Prices'!H554/'04 Prices'!H553-1)</f>
        <v/>
      </c>
    </row>
    <row r="554">
      <c r="A554" s="23">
        <f>IF('04 Prices'!A555="","",'04 Prices'!A555)</f>
        <v/>
      </c>
      <c r="B554" s="25">
        <f>IF(OR($A554="",'04 Prices'!B554="",'04 Prices'!B555=""),"",'04 Prices'!B555/'04 Prices'!B554-1)</f>
        <v/>
      </c>
      <c r="C554" s="25">
        <f>IF(OR($A554="",'04 Prices'!C554="",'04 Prices'!C555=""),"",'04 Prices'!C555/'04 Prices'!C554-1)</f>
        <v/>
      </c>
      <c r="D554" s="25">
        <f>IF(OR($A554="",'04 Prices'!D554="",'04 Prices'!D555=""),"",'04 Prices'!D555/'04 Prices'!D554-1)</f>
        <v/>
      </c>
      <c r="E554" s="25">
        <f>IF(OR($A554="",'04 Prices'!E554="",'04 Prices'!E555=""),"",'04 Prices'!E555/'04 Prices'!E554-1)</f>
        <v/>
      </c>
      <c r="F554" s="25">
        <f>IF(OR($A554="",'04 Prices'!F554="",'04 Prices'!F555=""),"",'04 Prices'!F555/'04 Prices'!F554-1)</f>
        <v/>
      </c>
      <c r="G554" s="25">
        <f>IF(OR($A554="",'04 Prices'!G554="",'04 Prices'!G555=""),"",'04 Prices'!G555/'04 Prices'!G554-1)</f>
        <v/>
      </c>
      <c r="H554" s="25">
        <f>IF(OR($A554="",'04 Prices'!H554="",'04 Prices'!H555=""),"",'04 Prices'!H555/'04 Prices'!H554-1)</f>
        <v/>
      </c>
    </row>
    <row r="555">
      <c r="A555" s="23">
        <f>IF('04 Prices'!A556="","",'04 Prices'!A556)</f>
        <v/>
      </c>
      <c r="B555" s="25">
        <f>IF(OR($A555="",'04 Prices'!B555="",'04 Prices'!B556=""),"",'04 Prices'!B556/'04 Prices'!B555-1)</f>
        <v/>
      </c>
      <c r="C555" s="25">
        <f>IF(OR($A555="",'04 Prices'!C555="",'04 Prices'!C556=""),"",'04 Prices'!C556/'04 Prices'!C555-1)</f>
        <v/>
      </c>
      <c r="D555" s="25">
        <f>IF(OR($A555="",'04 Prices'!D555="",'04 Prices'!D556=""),"",'04 Prices'!D556/'04 Prices'!D555-1)</f>
        <v/>
      </c>
      <c r="E555" s="25">
        <f>IF(OR($A555="",'04 Prices'!E555="",'04 Prices'!E556=""),"",'04 Prices'!E556/'04 Prices'!E555-1)</f>
        <v/>
      </c>
      <c r="F555" s="25">
        <f>IF(OR($A555="",'04 Prices'!F555="",'04 Prices'!F556=""),"",'04 Prices'!F556/'04 Prices'!F555-1)</f>
        <v/>
      </c>
      <c r="G555" s="25">
        <f>IF(OR($A555="",'04 Prices'!G555="",'04 Prices'!G556=""),"",'04 Prices'!G556/'04 Prices'!G555-1)</f>
        <v/>
      </c>
      <c r="H555" s="25">
        <f>IF(OR($A555="",'04 Prices'!H555="",'04 Prices'!H556=""),"",'04 Prices'!H556/'04 Prices'!H555-1)</f>
        <v/>
      </c>
    </row>
    <row r="556">
      <c r="A556" s="23">
        <f>IF('04 Prices'!A557="","",'04 Prices'!A557)</f>
        <v/>
      </c>
      <c r="B556" s="25">
        <f>IF(OR($A556="",'04 Prices'!B556="",'04 Prices'!B557=""),"",'04 Prices'!B557/'04 Prices'!B556-1)</f>
        <v/>
      </c>
      <c r="C556" s="25">
        <f>IF(OR($A556="",'04 Prices'!C556="",'04 Prices'!C557=""),"",'04 Prices'!C557/'04 Prices'!C556-1)</f>
        <v/>
      </c>
      <c r="D556" s="25">
        <f>IF(OR($A556="",'04 Prices'!D556="",'04 Prices'!D557=""),"",'04 Prices'!D557/'04 Prices'!D556-1)</f>
        <v/>
      </c>
      <c r="E556" s="25">
        <f>IF(OR($A556="",'04 Prices'!E556="",'04 Prices'!E557=""),"",'04 Prices'!E557/'04 Prices'!E556-1)</f>
        <v/>
      </c>
      <c r="F556" s="25">
        <f>IF(OR($A556="",'04 Prices'!F556="",'04 Prices'!F557=""),"",'04 Prices'!F557/'04 Prices'!F556-1)</f>
        <v/>
      </c>
      <c r="G556" s="25">
        <f>IF(OR($A556="",'04 Prices'!G556="",'04 Prices'!G557=""),"",'04 Prices'!G557/'04 Prices'!G556-1)</f>
        <v/>
      </c>
      <c r="H556" s="25">
        <f>IF(OR($A556="",'04 Prices'!H556="",'04 Prices'!H557=""),"",'04 Prices'!H557/'04 Prices'!H556-1)</f>
        <v/>
      </c>
    </row>
    <row r="557">
      <c r="A557" s="23">
        <f>IF('04 Prices'!A558="","",'04 Prices'!A558)</f>
        <v/>
      </c>
      <c r="B557" s="25">
        <f>IF(OR($A557="",'04 Prices'!B557="",'04 Prices'!B558=""),"",'04 Prices'!B558/'04 Prices'!B557-1)</f>
        <v/>
      </c>
      <c r="C557" s="25">
        <f>IF(OR($A557="",'04 Prices'!C557="",'04 Prices'!C558=""),"",'04 Prices'!C558/'04 Prices'!C557-1)</f>
        <v/>
      </c>
      <c r="D557" s="25">
        <f>IF(OR($A557="",'04 Prices'!D557="",'04 Prices'!D558=""),"",'04 Prices'!D558/'04 Prices'!D557-1)</f>
        <v/>
      </c>
      <c r="E557" s="25">
        <f>IF(OR($A557="",'04 Prices'!E557="",'04 Prices'!E558=""),"",'04 Prices'!E558/'04 Prices'!E557-1)</f>
        <v/>
      </c>
      <c r="F557" s="25">
        <f>IF(OR($A557="",'04 Prices'!F557="",'04 Prices'!F558=""),"",'04 Prices'!F558/'04 Prices'!F557-1)</f>
        <v/>
      </c>
      <c r="G557" s="25">
        <f>IF(OR($A557="",'04 Prices'!G557="",'04 Prices'!G558=""),"",'04 Prices'!G558/'04 Prices'!G557-1)</f>
        <v/>
      </c>
      <c r="H557" s="25">
        <f>IF(OR($A557="",'04 Prices'!H557="",'04 Prices'!H558=""),"",'04 Prices'!H558/'04 Prices'!H557-1)</f>
        <v/>
      </c>
    </row>
    <row r="558">
      <c r="A558" s="23">
        <f>IF('04 Prices'!A559="","",'04 Prices'!A559)</f>
        <v/>
      </c>
      <c r="B558" s="25">
        <f>IF(OR($A558="",'04 Prices'!B558="",'04 Prices'!B559=""),"",'04 Prices'!B559/'04 Prices'!B558-1)</f>
        <v/>
      </c>
      <c r="C558" s="25">
        <f>IF(OR($A558="",'04 Prices'!C558="",'04 Prices'!C559=""),"",'04 Prices'!C559/'04 Prices'!C558-1)</f>
        <v/>
      </c>
      <c r="D558" s="25">
        <f>IF(OR($A558="",'04 Prices'!D558="",'04 Prices'!D559=""),"",'04 Prices'!D559/'04 Prices'!D558-1)</f>
        <v/>
      </c>
      <c r="E558" s="25">
        <f>IF(OR($A558="",'04 Prices'!E558="",'04 Prices'!E559=""),"",'04 Prices'!E559/'04 Prices'!E558-1)</f>
        <v/>
      </c>
      <c r="F558" s="25">
        <f>IF(OR($A558="",'04 Prices'!F558="",'04 Prices'!F559=""),"",'04 Prices'!F559/'04 Prices'!F558-1)</f>
        <v/>
      </c>
      <c r="G558" s="25">
        <f>IF(OR($A558="",'04 Prices'!G558="",'04 Prices'!G559=""),"",'04 Prices'!G559/'04 Prices'!G558-1)</f>
        <v/>
      </c>
      <c r="H558" s="25">
        <f>IF(OR($A558="",'04 Prices'!H558="",'04 Prices'!H559=""),"",'04 Prices'!H559/'04 Prices'!H558-1)</f>
        <v/>
      </c>
    </row>
    <row r="559">
      <c r="A559" s="23">
        <f>IF('04 Prices'!A560="","",'04 Prices'!A560)</f>
        <v/>
      </c>
      <c r="B559" s="25">
        <f>IF(OR($A559="",'04 Prices'!B559="",'04 Prices'!B560=""),"",'04 Prices'!B560/'04 Prices'!B559-1)</f>
        <v/>
      </c>
      <c r="C559" s="25">
        <f>IF(OR($A559="",'04 Prices'!C559="",'04 Prices'!C560=""),"",'04 Prices'!C560/'04 Prices'!C559-1)</f>
        <v/>
      </c>
      <c r="D559" s="25">
        <f>IF(OR($A559="",'04 Prices'!D559="",'04 Prices'!D560=""),"",'04 Prices'!D560/'04 Prices'!D559-1)</f>
        <v/>
      </c>
      <c r="E559" s="25">
        <f>IF(OR($A559="",'04 Prices'!E559="",'04 Prices'!E560=""),"",'04 Prices'!E560/'04 Prices'!E559-1)</f>
        <v/>
      </c>
      <c r="F559" s="25">
        <f>IF(OR($A559="",'04 Prices'!F559="",'04 Prices'!F560=""),"",'04 Prices'!F560/'04 Prices'!F559-1)</f>
        <v/>
      </c>
      <c r="G559" s="25">
        <f>IF(OR($A559="",'04 Prices'!G559="",'04 Prices'!G560=""),"",'04 Prices'!G560/'04 Prices'!G559-1)</f>
        <v/>
      </c>
      <c r="H559" s="25">
        <f>IF(OR($A559="",'04 Prices'!H559="",'04 Prices'!H560=""),"",'04 Prices'!H560/'04 Prices'!H559-1)</f>
        <v/>
      </c>
    </row>
    <row r="560">
      <c r="A560" s="23">
        <f>IF('04 Prices'!A561="","",'04 Prices'!A561)</f>
        <v/>
      </c>
      <c r="B560" s="25">
        <f>IF(OR($A560="",'04 Prices'!B560="",'04 Prices'!B561=""),"",'04 Prices'!B561/'04 Prices'!B560-1)</f>
        <v/>
      </c>
      <c r="C560" s="25">
        <f>IF(OR($A560="",'04 Prices'!C560="",'04 Prices'!C561=""),"",'04 Prices'!C561/'04 Prices'!C560-1)</f>
        <v/>
      </c>
      <c r="D560" s="25">
        <f>IF(OR($A560="",'04 Prices'!D560="",'04 Prices'!D561=""),"",'04 Prices'!D561/'04 Prices'!D560-1)</f>
        <v/>
      </c>
      <c r="E560" s="25">
        <f>IF(OR($A560="",'04 Prices'!E560="",'04 Prices'!E561=""),"",'04 Prices'!E561/'04 Prices'!E560-1)</f>
        <v/>
      </c>
      <c r="F560" s="25">
        <f>IF(OR($A560="",'04 Prices'!F560="",'04 Prices'!F561=""),"",'04 Prices'!F561/'04 Prices'!F560-1)</f>
        <v/>
      </c>
      <c r="G560" s="25">
        <f>IF(OR($A560="",'04 Prices'!G560="",'04 Prices'!G561=""),"",'04 Prices'!G561/'04 Prices'!G560-1)</f>
        <v/>
      </c>
      <c r="H560" s="25">
        <f>IF(OR($A560="",'04 Prices'!H560="",'04 Prices'!H561=""),"",'04 Prices'!H561/'04 Prices'!H560-1)</f>
        <v/>
      </c>
    </row>
    <row r="561">
      <c r="A561" s="23">
        <f>IF('04 Prices'!A562="","",'04 Prices'!A562)</f>
        <v/>
      </c>
      <c r="B561" s="25">
        <f>IF(OR($A561="",'04 Prices'!B561="",'04 Prices'!B562=""),"",'04 Prices'!B562/'04 Prices'!B561-1)</f>
        <v/>
      </c>
      <c r="C561" s="25">
        <f>IF(OR($A561="",'04 Prices'!C561="",'04 Prices'!C562=""),"",'04 Prices'!C562/'04 Prices'!C561-1)</f>
        <v/>
      </c>
      <c r="D561" s="25">
        <f>IF(OR($A561="",'04 Prices'!D561="",'04 Prices'!D562=""),"",'04 Prices'!D562/'04 Prices'!D561-1)</f>
        <v/>
      </c>
      <c r="E561" s="25">
        <f>IF(OR($A561="",'04 Prices'!E561="",'04 Prices'!E562=""),"",'04 Prices'!E562/'04 Prices'!E561-1)</f>
        <v/>
      </c>
      <c r="F561" s="25">
        <f>IF(OR($A561="",'04 Prices'!F561="",'04 Prices'!F562=""),"",'04 Prices'!F562/'04 Prices'!F561-1)</f>
        <v/>
      </c>
      <c r="G561" s="25">
        <f>IF(OR($A561="",'04 Prices'!G561="",'04 Prices'!G562=""),"",'04 Prices'!G562/'04 Prices'!G561-1)</f>
        <v/>
      </c>
      <c r="H561" s="25">
        <f>IF(OR($A561="",'04 Prices'!H561="",'04 Prices'!H562=""),"",'04 Prices'!H562/'04 Prices'!H561-1)</f>
        <v/>
      </c>
    </row>
    <row r="562">
      <c r="A562" s="23">
        <f>IF('04 Prices'!A563="","",'04 Prices'!A563)</f>
        <v/>
      </c>
      <c r="B562" s="25">
        <f>IF(OR($A562="",'04 Prices'!B562="",'04 Prices'!B563=""),"",'04 Prices'!B563/'04 Prices'!B562-1)</f>
        <v/>
      </c>
      <c r="C562" s="25">
        <f>IF(OR($A562="",'04 Prices'!C562="",'04 Prices'!C563=""),"",'04 Prices'!C563/'04 Prices'!C562-1)</f>
        <v/>
      </c>
      <c r="D562" s="25">
        <f>IF(OR($A562="",'04 Prices'!D562="",'04 Prices'!D563=""),"",'04 Prices'!D563/'04 Prices'!D562-1)</f>
        <v/>
      </c>
      <c r="E562" s="25">
        <f>IF(OR($A562="",'04 Prices'!E562="",'04 Prices'!E563=""),"",'04 Prices'!E563/'04 Prices'!E562-1)</f>
        <v/>
      </c>
      <c r="F562" s="25">
        <f>IF(OR($A562="",'04 Prices'!F562="",'04 Prices'!F563=""),"",'04 Prices'!F563/'04 Prices'!F562-1)</f>
        <v/>
      </c>
      <c r="G562" s="25">
        <f>IF(OR($A562="",'04 Prices'!G562="",'04 Prices'!G563=""),"",'04 Prices'!G563/'04 Prices'!G562-1)</f>
        <v/>
      </c>
      <c r="H562" s="25">
        <f>IF(OR($A562="",'04 Prices'!H562="",'04 Prices'!H563=""),"",'04 Prices'!H563/'04 Prices'!H562-1)</f>
        <v/>
      </c>
    </row>
    <row r="563">
      <c r="A563" s="23">
        <f>IF('04 Prices'!A564="","",'04 Prices'!A564)</f>
        <v/>
      </c>
      <c r="B563" s="25">
        <f>IF(OR($A563="",'04 Prices'!B563="",'04 Prices'!B564=""),"",'04 Prices'!B564/'04 Prices'!B563-1)</f>
        <v/>
      </c>
      <c r="C563" s="25">
        <f>IF(OR($A563="",'04 Prices'!C563="",'04 Prices'!C564=""),"",'04 Prices'!C564/'04 Prices'!C563-1)</f>
        <v/>
      </c>
      <c r="D563" s="25">
        <f>IF(OR($A563="",'04 Prices'!D563="",'04 Prices'!D564=""),"",'04 Prices'!D564/'04 Prices'!D563-1)</f>
        <v/>
      </c>
      <c r="E563" s="25">
        <f>IF(OR($A563="",'04 Prices'!E563="",'04 Prices'!E564=""),"",'04 Prices'!E564/'04 Prices'!E563-1)</f>
        <v/>
      </c>
      <c r="F563" s="25">
        <f>IF(OR($A563="",'04 Prices'!F563="",'04 Prices'!F564=""),"",'04 Prices'!F564/'04 Prices'!F563-1)</f>
        <v/>
      </c>
      <c r="G563" s="25">
        <f>IF(OR($A563="",'04 Prices'!G563="",'04 Prices'!G564=""),"",'04 Prices'!G564/'04 Prices'!G563-1)</f>
        <v/>
      </c>
      <c r="H563" s="25">
        <f>IF(OR($A563="",'04 Prices'!H563="",'04 Prices'!H564=""),"",'04 Prices'!H564/'04 Prices'!H563-1)</f>
        <v/>
      </c>
    </row>
    <row r="564">
      <c r="A564" s="23">
        <f>IF('04 Prices'!A565="","",'04 Prices'!A565)</f>
        <v/>
      </c>
      <c r="B564" s="25">
        <f>IF(OR($A564="",'04 Prices'!B564="",'04 Prices'!B565=""),"",'04 Prices'!B565/'04 Prices'!B564-1)</f>
        <v/>
      </c>
      <c r="C564" s="25">
        <f>IF(OR($A564="",'04 Prices'!C564="",'04 Prices'!C565=""),"",'04 Prices'!C565/'04 Prices'!C564-1)</f>
        <v/>
      </c>
      <c r="D564" s="25">
        <f>IF(OR($A564="",'04 Prices'!D564="",'04 Prices'!D565=""),"",'04 Prices'!D565/'04 Prices'!D564-1)</f>
        <v/>
      </c>
      <c r="E564" s="25">
        <f>IF(OR($A564="",'04 Prices'!E564="",'04 Prices'!E565=""),"",'04 Prices'!E565/'04 Prices'!E564-1)</f>
        <v/>
      </c>
      <c r="F564" s="25">
        <f>IF(OR($A564="",'04 Prices'!F564="",'04 Prices'!F565=""),"",'04 Prices'!F565/'04 Prices'!F564-1)</f>
        <v/>
      </c>
      <c r="G564" s="25">
        <f>IF(OR($A564="",'04 Prices'!G564="",'04 Prices'!G565=""),"",'04 Prices'!G565/'04 Prices'!G564-1)</f>
        <v/>
      </c>
      <c r="H564" s="25">
        <f>IF(OR($A564="",'04 Prices'!H564="",'04 Prices'!H565=""),"",'04 Prices'!H565/'04 Prices'!H564-1)</f>
        <v/>
      </c>
    </row>
    <row r="565">
      <c r="A565" s="23">
        <f>IF('04 Prices'!A566="","",'04 Prices'!A566)</f>
        <v/>
      </c>
      <c r="B565" s="25">
        <f>IF(OR($A565="",'04 Prices'!B565="",'04 Prices'!B566=""),"",'04 Prices'!B566/'04 Prices'!B565-1)</f>
        <v/>
      </c>
      <c r="C565" s="25">
        <f>IF(OR($A565="",'04 Prices'!C565="",'04 Prices'!C566=""),"",'04 Prices'!C566/'04 Prices'!C565-1)</f>
        <v/>
      </c>
      <c r="D565" s="25">
        <f>IF(OR($A565="",'04 Prices'!D565="",'04 Prices'!D566=""),"",'04 Prices'!D566/'04 Prices'!D565-1)</f>
        <v/>
      </c>
      <c r="E565" s="25">
        <f>IF(OR($A565="",'04 Prices'!E565="",'04 Prices'!E566=""),"",'04 Prices'!E566/'04 Prices'!E565-1)</f>
        <v/>
      </c>
      <c r="F565" s="25">
        <f>IF(OR($A565="",'04 Prices'!F565="",'04 Prices'!F566=""),"",'04 Prices'!F566/'04 Prices'!F565-1)</f>
        <v/>
      </c>
      <c r="G565" s="25">
        <f>IF(OR($A565="",'04 Prices'!G565="",'04 Prices'!G566=""),"",'04 Prices'!G566/'04 Prices'!G565-1)</f>
        <v/>
      </c>
      <c r="H565" s="25">
        <f>IF(OR($A565="",'04 Prices'!H565="",'04 Prices'!H566=""),"",'04 Prices'!H566/'04 Prices'!H565-1)</f>
        <v/>
      </c>
    </row>
    <row r="566">
      <c r="A566" s="23">
        <f>IF('04 Prices'!A567="","",'04 Prices'!A567)</f>
        <v/>
      </c>
      <c r="B566" s="25">
        <f>IF(OR($A566="",'04 Prices'!B566="",'04 Prices'!B567=""),"",'04 Prices'!B567/'04 Prices'!B566-1)</f>
        <v/>
      </c>
      <c r="C566" s="25">
        <f>IF(OR($A566="",'04 Prices'!C566="",'04 Prices'!C567=""),"",'04 Prices'!C567/'04 Prices'!C566-1)</f>
        <v/>
      </c>
      <c r="D566" s="25">
        <f>IF(OR($A566="",'04 Prices'!D566="",'04 Prices'!D567=""),"",'04 Prices'!D567/'04 Prices'!D566-1)</f>
        <v/>
      </c>
      <c r="E566" s="25">
        <f>IF(OR($A566="",'04 Prices'!E566="",'04 Prices'!E567=""),"",'04 Prices'!E567/'04 Prices'!E566-1)</f>
        <v/>
      </c>
      <c r="F566" s="25">
        <f>IF(OR($A566="",'04 Prices'!F566="",'04 Prices'!F567=""),"",'04 Prices'!F567/'04 Prices'!F566-1)</f>
        <v/>
      </c>
      <c r="G566" s="25">
        <f>IF(OR($A566="",'04 Prices'!G566="",'04 Prices'!G567=""),"",'04 Prices'!G567/'04 Prices'!G566-1)</f>
        <v/>
      </c>
      <c r="H566" s="25">
        <f>IF(OR($A566="",'04 Prices'!H566="",'04 Prices'!H567=""),"",'04 Prices'!H567/'04 Prices'!H566-1)</f>
        <v/>
      </c>
    </row>
    <row r="567">
      <c r="A567" s="23">
        <f>IF('04 Prices'!A568="","",'04 Prices'!A568)</f>
        <v/>
      </c>
      <c r="B567" s="25">
        <f>IF(OR($A567="",'04 Prices'!B567="",'04 Prices'!B568=""),"",'04 Prices'!B568/'04 Prices'!B567-1)</f>
        <v/>
      </c>
      <c r="C567" s="25">
        <f>IF(OR($A567="",'04 Prices'!C567="",'04 Prices'!C568=""),"",'04 Prices'!C568/'04 Prices'!C567-1)</f>
        <v/>
      </c>
      <c r="D567" s="25">
        <f>IF(OR($A567="",'04 Prices'!D567="",'04 Prices'!D568=""),"",'04 Prices'!D568/'04 Prices'!D567-1)</f>
        <v/>
      </c>
      <c r="E567" s="25">
        <f>IF(OR($A567="",'04 Prices'!E567="",'04 Prices'!E568=""),"",'04 Prices'!E568/'04 Prices'!E567-1)</f>
        <v/>
      </c>
      <c r="F567" s="25">
        <f>IF(OR($A567="",'04 Prices'!F567="",'04 Prices'!F568=""),"",'04 Prices'!F568/'04 Prices'!F567-1)</f>
        <v/>
      </c>
      <c r="G567" s="25">
        <f>IF(OR($A567="",'04 Prices'!G567="",'04 Prices'!G568=""),"",'04 Prices'!G568/'04 Prices'!G567-1)</f>
        <v/>
      </c>
      <c r="H567" s="25">
        <f>IF(OR($A567="",'04 Prices'!H567="",'04 Prices'!H568=""),"",'04 Prices'!H568/'04 Prices'!H567-1)</f>
        <v/>
      </c>
    </row>
    <row r="568">
      <c r="A568" s="23">
        <f>IF('04 Prices'!A569="","",'04 Prices'!A569)</f>
        <v/>
      </c>
      <c r="B568" s="25">
        <f>IF(OR($A568="",'04 Prices'!B568="",'04 Prices'!B569=""),"",'04 Prices'!B569/'04 Prices'!B568-1)</f>
        <v/>
      </c>
      <c r="C568" s="25">
        <f>IF(OR($A568="",'04 Prices'!C568="",'04 Prices'!C569=""),"",'04 Prices'!C569/'04 Prices'!C568-1)</f>
        <v/>
      </c>
      <c r="D568" s="25">
        <f>IF(OR($A568="",'04 Prices'!D568="",'04 Prices'!D569=""),"",'04 Prices'!D569/'04 Prices'!D568-1)</f>
        <v/>
      </c>
      <c r="E568" s="25">
        <f>IF(OR($A568="",'04 Prices'!E568="",'04 Prices'!E569=""),"",'04 Prices'!E569/'04 Prices'!E568-1)</f>
        <v/>
      </c>
      <c r="F568" s="25">
        <f>IF(OR($A568="",'04 Prices'!F568="",'04 Prices'!F569=""),"",'04 Prices'!F569/'04 Prices'!F568-1)</f>
        <v/>
      </c>
      <c r="G568" s="25">
        <f>IF(OR($A568="",'04 Prices'!G568="",'04 Prices'!G569=""),"",'04 Prices'!G569/'04 Prices'!G568-1)</f>
        <v/>
      </c>
      <c r="H568" s="25">
        <f>IF(OR($A568="",'04 Prices'!H568="",'04 Prices'!H569=""),"",'04 Prices'!H569/'04 Prices'!H568-1)</f>
        <v/>
      </c>
    </row>
    <row r="569">
      <c r="A569" s="23">
        <f>IF('04 Prices'!A570="","",'04 Prices'!A570)</f>
        <v/>
      </c>
      <c r="B569" s="25">
        <f>IF(OR($A569="",'04 Prices'!B569="",'04 Prices'!B570=""),"",'04 Prices'!B570/'04 Prices'!B569-1)</f>
        <v/>
      </c>
      <c r="C569" s="25">
        <f>IF(OR($A569="",'04 Prices'!C569="",'04 Prices'!C570=""),"",'04 Prices'!C570/'04 Prices'!C569-1)</f>
        <v/>
      </c>
      <c r="D569" s="25">
        <f>IF(OR($A569="",'04 Prices'!D569="",'04 Prices'!D570=""),"",'04 Prices'!D570/'04 Prices'!D569-1)</f>
        <v/>
      </c>
      <c r="E569" s="25">
        <f>IF(OR($A569="",'04 Prices'!E569="",'04 Prices'!E570=""),"",'04 Prices'!E570/'04 Prices'!E569-1)</f>
        <v/>
      </c>
      <c r="F569" s="25">
        <f>IF(OR($A569="",'04 Prices'!F569="",'04 Prices'!F570=""),"",'04 Prices'!F570/'04 Prices'!F569-1)</f>
        <v/>
      </c>
      <c r="G569" s="25">
        <f>IF(OR($A569="",'04 Prices'!G569="",'04 Prices'!G570=""),"",'04 Prices'!G570/'04 Prices'!G569-1)</f>
        <v/>
      </c>
      <c r="H569" s="25">
        <f>IF(OR($A569="",'04 Prices'!H569="",'04 Prices'!H570=""),"",'04 Prices'!H570/'04 Prices'!H569-1)</f>
        <v/>
      </c>
    </row>
    <row r="570">
      <c r="A570" s="23">
        <f>IF('04 Prices'!A571="","",'04 Prices'!A571)</f>
        <v/>
      </c>
      <c r="B570" s="25">
        <f>IF(OR($A570="",'04 Prices'!B570="",'04 Prices'!B571=""),"",'04 Prices'!B571/'04 Prices'!B570-1)</f>
        <v/>
      </c>
      <c r="C570" s="25">
        <f>IF(OR($A570="",'04 Prices'!C570="",'04 Prices'!C571=""),"",'04 Prices'!C571/'04 Prices'!C570-1)</f>
        <v/>
      </c>
      <c r="D570" s="25">
        <f>IF(OR($A570="",'04 Prices'!D570="",'04 Prices'!D571=""),"",'04 Prices'!D571/'04 Prices'!D570-1)</f>
        <v/>
      </c>
      <c r="E570" s="25">
        <f>IF(OR($A570="",'04 Prices'!E570="",'04 Prices'!E571=""),"",'04 Prices'!E571/'04 Prices'!E570-1)</f>
        <v/>
      </c>
      <c r="F570" s="25">
        <f>IF(OR($A570="",'04 Prices'!F570="",'04 Prices'!F571=""),"",'04 Prices'!F571/'04 Prices'!F570-1)</f>
        <v/>
      </c>
      <c r="G570" s="25">
        <f>IF(OR($A570="",'04 Prices'!G570="",'04 Prices'!G571=""),"",'04 Prices'!G571/'04 Prices'!G570-1)</f>
        <v/>
      </c>
      <c r="H570" s="25">
        <f>IF(OR($A570="",'04 Prices'!H570="",'04 Prices'!H571=""),"",'04 Prices'!H571/'04 Prices'!H570-1)</f>
        <v/>
      </c>
    </row>
    <row r="571">
      <c r="A571" s="23">
        <f>IF('04 Prices'!A572="","",'04 Prices'!A572)</f>
        <v/>
      </c>
      <c r="B571" s="25">
        <f>IF(OR($A571="",'04 Prices'!B571="",'04 Prices'!B572=""),"",'04 Prices'!B572/'04 Prices'!B571-1)</f>
        <v/>
      </c>
      <c r="C571" s="25">
        <f>IF(OR($A571="",'04 Prices'!C571="",'04 Prices'!C572=""),"",'04 Prices'!C572/'04 Prices'!C571-1)</f>
        <v/>
      </c>
      <c r="D571" s="25">
        <f>IF(OR($A571="",'04 Prices'!D571="",'04 Prices'!D572=""),"",'04 Prices'!D572/'04 Prices'!D571-1)</f>
        <v/>
      </c>
      <c r="E571" s="25">
        <f>IF(OR($A571="",'04 Prices'!E571="",'04 Prices'!E572=""),"",'04 Prices'!E572/'04 Prices'!E571-1)</f>
        <v/>
      </c>
      <c r="F571" s="25">
        <f>IF(OR($A571="",'04 Prices'!F571="",'04 Prices'!F572=""),"",'04 Prices'!F572/'04 Prices'!F571-1)</f>
        <v/>
      </c>
      <c r="G571" s="25">
        <f>IF(OR($A571="",'04 Prices'!G571="",'04 Prices'!G572=""),"",'04 Prices'!G572/'04 Prices'!G571-1)</f>
        <v/>
      </c>
      <c r="H571" s="25">
        <f>IF(OR($A571="",'04 Prices'!H571="",'04 Prices'!H572=""),"",'04 Prices'!H572/'04 Prices'!H571-1)</f>
        <v/>
      </c>
    </row>
    <row r="572">
      <c r="A572" s="23">
        <f>IF('04 Prices'!A573="","",'04 Prices'!A573)</f>
        <v/>
      </c>
      <c r="B572" s="25">
        <f>IF(OR($A572="",'04 Prices'!B572="",'04 Prices'!B573=""),"",'04 Prices'!B573/'04 Prices'!B572-1)</f>
        <v/>
      </c>
      <c r="C572" s="25">
        <f>IF(OR($A572="",'04 Prices'!C572="",'04 Prices'!C573=""),"",'04 Prices'!C573/'04 Prices'!C572-1)</f>
        <v/>
      </c>
      <c r="D572" s="25">
        <f>IF(OR($A572="",'04 Prices'!D572="",'04 Prices'!D573=""),"",'04 Prices'!D573/'04 Prices'!D572-1)</f>
        <v/>
      </c>
      <c r="E572" s="25">
        <f>IF(OR($A572="",'04 Prices'!E572="",'04 Prices'!E573=""),"",'04 Prices'!E573/'04 Prices'!E572-1)</f>
        <v/>
      </c>
      <c r="F572" s="25">
        <f>IF(OR($A572="",'04 Prices'!F572="",'04 Prices'!F573=""),"",'04 Prices'!F573/'04 Prices'!F572-1)</f>
        <v/>
      </c>
      <c r="G572" s="25">
        <f>IF(OR($A572="",'04 Prices'!G572="",'04 Prices'!G573=""),"",'04 Prices'!G573/'04 Prices'!G572-1)</f>
        <v/>
      </c>
      <c r="H572" s="25">
        <f>IF(OR($A572="",'04 Prices'!H572="",'04 Prices'!H573=""),"",'04 Prices'!H573/'04 Prices'!H572-1)</f>
        <v/>
      </c>
    </row>
    <row r="573">
      <c r="A573" s="23">
        <f>IF('04 Prices'!A574="","",'04 Prices'!A574)</f>
        <v/>
      </c>
      <c r="B573" s="25">
        <f>IF(OR($A573="",'04 Prices'!B573="",'04 Prices'!B574=""),"",'04 Prices'!B574/'04 Prices'!B573-1)</f>
        <v/>
      </c>
      <c r="C573" s="25">
        <f>IF(OR($A573="",'04 Prices'!C573="",'04 Prices'!C574=""),"",'04 Prices'!C574/'04 Prices'!C573-1)</f>
        <v/>
      </c>
      <c r="D573" s="25">
        <f>IF(OR($A573="",'04 Prices'!D573="",'04 Prices'!D574=""),"",'04 Prices'!D574/'04 Prices'!D573-1)</f>
        <v/>
      </c>
      <c r="E573" s="25">
        <f>IF(OR($A573="",'04 Prices'!E573="",'04 Prices'!E574=""),"",'04 Prices'!E574/'04 Prices'!E573-1)</f>
        <v/>
      </c>
      <c r="F573" s="25">
        <f>IF(OR($A573="",'04 Prices'!F573="",'04 Prices'!F574=""),"",'04 Prices'!F574/'04 Prices'!F573-1)</f>
        <v/>
      </c>
      <c r="G573" s="25">
        <f>IF(OR($A573="",'04 Prices'!G573="",'04 Prices'!G574=""),"",'04 Prices'!G574/'04 Prices'!G573-1)</f>
        <v/>
      </c>
      <c r="H573" s="25">
        <f>IF(OR($A573="",'04 Prices'!H573="",'04 Prices'!H574=""),"",'04 Prices'!H574/'04 Prices'!H573-1)</f>
        <v/>
      </c>
    </row>
    <row r="574">
      <c r="A574" s="23">
        <f>IF('04 Prices'!A575="","",'04 Prices'!A575)</f>
        <v/>
      </c>
      <c r="B574" s="25">
        <f>IF(OR($A574="",'04 Prices'!B574="",'04 Prices'!B575=""),"",'04 Prices'!B575/'04 Prices'!B574-1)</f>
        <v/>
      </c>
      <c r="C574" s="25">
        <f>IF(OR($A574="",'04 Prices'!C574="",'04 Prices'!C575=""),"",'04 Prices'!C575/'04 Prices'!C574-1)</f>
        <v/>
      </c>
      <c r="D574" s="25">
        <f>IF(OR($A574="",'04 Prices'!D574="",'04 Prices'!D575=""),"",'04 Prices'!D575/'04 Prices'!D574-1)</f>
        <v/>
      </c>
      <c r="E574" s="25">
        <f>IF(OR($A574="",'04 Prices'!E574="",'04 Prices'!E575=""),"",'04 Prices'!E575/'04 Prices'!E574-1)</f>
        <v/>
      </c>
      <c r="F574" s="25">
        <f>IF(OR($A574="",'04 Prices'!F574="",'04 Prices'!F575=""),"",'04 Prices'!F575/'04 Prices'!F574-1)</f>
        <v/>
      </c>
      <c r="G574" s="25">
        <f>IF(OR($A574="",'04 Prices'!G574="",'04 Prices'!G575=""),"",'04 Prices'!G575/'04 Prices'!G574-1)</f>
        <v/>
      </c>
      <c r="H574" s="25">
        <f>IF(OR($A574="",'04 Prices'!H574="",'04 Prices'!H575=""),"",'04 Prices'!H575/'04 Prices'!H574-1)</f>
        <v/>
      </c>
    </row>
    <row r="575">
      <c r="A575" s="23">
        <f>IF('04 Prices'!A576="","",'04 Prices'!A576)</f>
        <v/>
      </c>
      <c r="B575" s="25">
        <f>IF(OR($A575="",'04 Prices'!B575="",'04 Prices'!B576=""),"",'04 Prices'!B576/'04 Prices'!B575-1)</f>
        <v/>
      </c>
      <c r="C575" s="25">
        <f>IF(OR($A575="",'04 Prices'!C575="",'04 Prices'!C576=""),"",'04 Prices'!C576/'04 Prices'!C575-1)</f>
        <v/>
      </c>
      <c r="D575" s="25">
        <f>IF(OR($A575="",'04 Prices'!D575="",'04 Prices'!D576=""),"",'04 Prices'!D576/'04 Prices'!D575-1)</f>
        <v/>
      </c>
      <c r="E575" s="25">
        <f>IF(OR($A575="",'04 Prices'!E575="",'04 Prices'!E576=""),"",'04 Prices'!E576/'04 Prices'!E575-1)</f>
        <v/>
      </c>
      <c r="F575" s="25">
        <f>IF(OR($A575="",'04 Prices'!F575="",'04 Prices'!F576=""),"",'04 Prices'!F576/'04 Prices'!F575-1)</f>
        <v/>
      </c>
      <c r="G575" s="25">
        <f>IF(OR($A575="",'04 Prices'!G575="",'04 Prices'!G576=""),"",'04 Prices'!G576/'04 Prices'!G575-1)</f>
        <v/>
      </c>
      <c r="H575" s="25">
        <f>IF(OR($A575="",'04 Prices'!H575="",'04 Prices'!H576=""),"",'04 Prices'!H576/'04 Prices'!H575-1)</f>
        <v/>
      </c>
    </row>
    <row r="576">
      <c r="A576" s="23">
        <f>IF('04 Prices'!A577="","",'04 Prices'!A577)</f>
        <v/>
      </c>
      <c r="B576" s="25">
        <f>IF(OR($A576="",'04 Prices'!B576="",'04 Prices'!B577=""),"",'04 Prices'!B577/'04 Prices'!B576-1)</f>
        <v/>
      </c>
      <c r="C576" s="25">
        <f>IF(OR($A576="",'04 Prices'!C576="",'04 Prices'!C577=""),"",'04 Prices'!C577/'04 Prices'!C576-1)</f>
        <v/>
      </c>
      <c r="D576" s="25">
        <f>IF(OR($A576="",'04 Prices'!D576="",'04 Prices'!D577=""),"",'04 Prices'!D577/'04 Prices'!D576-1)</f>
        <v/>
      </c>
      <c r="E576" s="25">
        <f>IF(OR($A576="",'04 Prices'!E576="",'04 Prices'!E577=""),"",'04 Prices'!E577/'04 Prices'!E576-1)</f>
        <v/>
      </c>
      <c r="F576" s="25">
        <f>IF(OR($A576="",'04 Prices'!F576="",'04 Prices'!F577=""),"",'04 Prices'!F577/'04 Prices'!F576-1)</f>
        <v/>
      </c>
      <c r="G576" s="25">
        <f>IF(OR($A576="",'04 Prices'!G576="",'04 Prices'!G577=""),"",'04 Prices'!G577/'04 Prices'!G576-1)</f>
        <v/>
      </c>
      <c r="H576" s="25">
        <f>IF(OR($A576="",'04 Prices'!H576="",'04 Prices'!H577=""),"",'04 Prices'!H577/'04 Prices'!H576-1)</f>
        <v/>
      </c>
    </row>
    <row r="577">
      <c r="A577" s="23">
        <f>IF('04 Prices'!A578="","",'04 Prices'!A578)</f>
        <v/>
      </c>
      <c r="B577" s="25">
        <f>IF(OR($A577="",'04 Prices'!B577="",'04 Prices'!B578=""),"",'04 Prices'!B578/'04 Prices'!B577-1)</f>
        <v/>
      </c>
      <c r="C577" s="25">
        <f>IF(OR($A577="",'04 Prices'!C577="",'04 Prices'!C578=""),"",'04 Prices'!C578/'04 Prices'!C577-1)</f>
        <v/>
      </c>
      <c r="D577" s="25">
        <f>IF(OR($A577="",'04 Prices'!D577="",'04 Prices'!D578=""),"",'04 Prices'!D578/'04 Prices'!D577-1)</f>
        <v/>
      </c>
      <c r="E577" s="25">
        <f>IF(OR($A577="",'04 Prices'!E577="",'04 Prices'!E578=""),"",'04 Prices'!E578/'04 Prices'!E577-1)</f>
        <v/>
      </c>
      <c r="F577" s="25">
        <f>IF(OR($A577="",'04 Prices'!F577="",'04 Prices'!F578=""),"",'04 Prices'!F578/'04 Prices'!F577-1)</f>
        <v/>
      </c>
      <c r="G577" s="25">
        <f>IF(OR($A577="",'04 Prices'!G577="",'04 Prices'!G578=""),"",'04 Prices'!G578/'04 Prices'!G577-1)</f>
        <v/>
      </c>
      <c r="H577" s="25">
        <f>IF(OR($A577="",'04 Prices'!H577="",'04 Prices'!H578=""),"",'04 Prices'!H578/'04 Prices'!H577-1)</f>
        <v/>
      </c>
    </row>
    <row r="578">
      <c r="A578" s="23">
        <f>IF('04 Prices'!A579="","",'04 Prices'!A579)</f>
        <v/>
      </c>
      <c r="B578" s="25">
        <f>IF(OR($A578="",'04 Prices'!B578="",'04 Prices'!B579=""),"",'04 Prices'!B579/'04 Prices'!B578-1)</f>
        <v/>
      </c>
      <c r="C578" s="25">
        <f>IF(OR($A578="",'04 Prices'!C578="",'04 Prices'!C579=""),"",'04 Prices'!C579/'04 Prices'!C578-1)</f>
        <v/>
      </c>
      <c r="D578" s="25">
        <f>IF(OR($A578="",'04 Prices'!D578="",'04 Prices'!D579=""),"",'04 Prices'!D579/'04 Prices'!D578-1)</f>
        <v/>
      </c>
      <c r="E578" s="25">
        <f>IF(OR($A578="",'04 Prices'!E578="",'04 Prices'!E579=""),"",'04 Prices'!E579/'04 Prices'!E578-1)</f>
        <v/>
      </c>
      <c r="F578" s="25">
        <f>IF(OR($A578="",'04 Prices'!F578="",'04 Prices'!F579=""),"",'04 Prices'!F579/'04 Prices'!F578-1)</f>
        <v/>
      </c>
      <c r="G578" s="25">
        <f>IF(OR($A578="",'04 Prices'!G578="",'04 Prices'!G579=""),"",'04 Prices'!G579/'04 Prices'!G578-1)</f>
        <v/>
      </c>
      <c r="H578" s="25">
        <f>IF(OR($A578="",'04 Prices'!H578="",'04 Prices'!H579=""),"",'04 Prices'!H579/'04 Prices'!H578-1)</f>
        <v/>
      </c>
    </row>
    <row r="579">
      <c r="A579" s="23">
        <f>IF('04 Prices'!A580="","",'04 Prices'!A580)</f>
        <v/>
      </c>
      <c r="B579" s="25">
        <f>IF(OR($A579="",'04 Prices'!B579="",'04 Prices'!B580=""),"",'04 Prices'!B580/'04 Prices'!B579-1)</f>
        <v/>
      </c>
      <c r="C579" s="25">
        <f>IF(OR($A579="",'04 Prices'!C579="",'04 Prices'!C580=""),"",'04 Prices'!C580/'04 Prices'!C579-1)</f>
        <v/>
      </c>
      <c r="D579" s="25">
        <f>IF(OR($A579="",'04 Prices'!D579="",'04 Prices'!D580=""),"",'04 Prices'!D580/'04 Prices'!D579-1)</f>
        <v/>
      </c>
      <c r="E579" s="25">
        <f>IF(OR($A579="",'04 Prices'!E579="",'04 Prices'!E580=""),"",'04 Prices'!E580/'04 Prices'!E579-1)</f>
        <v/>
      </c>
      <c r="F579" s="25">
        <f>IF(OR($A579="",'04 Prices'!F579="",'04 Prices'!F580=""),"",'04 Prices'!F580/'04 Prices'!F579-1)</f>
        <v/>
      </c>
      <c r="G579" s="25">
        <f>IF(OR($A579="",'04 Prices'!G579="",'04 Prices'!G580=""),"",'04 Prices'!G580/'04 Prices'!G579-1)</f>
        <v/>
      </c>
      <c r="H579" s="25">
        <f>IF(OR($A579="",'04 Prices'!H579="",'04 Prices'!H580=""),"",'04 Prices'!H580/'04 Prices'!H579-1)</f>
        <v/>
      </c>
    </row>
    <row r="580">
      <c r="A580" s="23">
        <f>IF('04 Prices'!A581="","",'04 Prices'!A581)</f>
        <v/>
      </c>
      <c r="B580" s="25">
        <f>IF(OR($A580="",'04 Prices'!B580="",'04 Prices'!B581=""),"",'04 Prices'!B581/'04 Prices'!B580-1)</f>
        <v/>
      </c>
      <c r="C580" s="25">
        <f>IF(OR($A580="",'04 Prices'!C580="",'04 Prices'!C581=""),"",'04 Prices'!C581/'04 Prices'!C580-1)</f>
        <v/>
      </c>
      <c r="D580" s="25">
        <f>IF(OR($A580="",'04 Prices'!D580="",'04 Prices'!D581=""),"",'04 Prices'!D581/'04 Prices'!D580-1)</f>
        <v/>
      </c>
      <c r="E580" s="25">
        <f>IF(OR($A580="",'04 Prices'!E580="",'04 Prices'!E581=""),"",'04 Prices'!E581/'04 Prices'!E580-1)</f>
        <v/>
      </c>
      <c r="F580" s="25">
        <f>IF(OR($A580="",'04 Prices'!F580="",'04 Prices'!F581=""),"",'04 Prices'!F581/'04 Prices'!F580-1)</f>
        <v/>
      </c>
      <c r="G580" s="25">
        <f>IF(OR($A580="",'04 Prices'!G580="",'04 Prices'!G581=""),"",'04 Prices'!G581/'04 Prices'!G580-1)</f>
        <v/>
      </c>
      <c r="H580" s="25">
        <f>IF(OR($A580="",'04 Prices'!H580="",'04 Prices'!H581=""),"",'04 Prices'!H581/'04 Prices'!H580-1)</f>
        <v/>
      </c>
    </row>
    <row r="581">
      <c r="A581" s="23">
        <f>IF('04 Prices'!A582="","",'04 Prices'!A582)</f>
        <v/>
      </c>
      <c r="B581" s="25">
        <f>IF(OR($A581="",'04 Prices'!B581="",'04 Prices'!B582=""),"",'04 Prices'!B582/'04 Prices'!B581-1)</f>
        <v/>
      </c>
      <c r="C581" s="25">
        <f>IF(OR($A581="",'04 Prices'!C581="",'04 Prices'!C582=""),"",'04 Prices'!C582/'04 Prices'!C581-1)</f>
        <v/>
      </c>
      <c r="D581" s="25">
        <f>IF(OR($A581="",'04 Prices'!D581="",'04 Prices'!D582=""),"",'04 Prices'!D582/'04 Prices'!D581-1)</f>
        <v/>
      </c>
      <c r="E581" s="25">
        <f>IF(OR($A581="",'04 Prices'!E581="",'04 Prices'!E582=""),"",'04 Prices'!E582/'04 Prices'!E581-1)</f>
        <v/>
      </c>
      <c r="F581" s="25">
        <f>IF(OR($A581="",'04 Prices'!F581="",'04 Prices'!F582=""),"",'04 Prices'!F582/'04 Prices'!F581-1)</f>
        <v/>
      </c>
      <c r="G581" s="25">
        <f>IF(OR($A581="",'04 Prices'!G581="",'04 Prices'!G582=""),"",'04 Prices'!G582/'04 Prices'!G581-1)</f>
        <v/>
      </c>
      <c r="H581" s="25">
        <f>IF(OR($A581="",'04 Prices'!H581="",'04 Prices'!H582=""),"",'04 Prices'!H582/'04 Prices'!H581-1)</f>
        <v/>
      </c>
    </row>
    <row r="582">
      <c r="A582" s="23">
        <f>IF('04 Prices'!A583="","",'04 Prices'!A583)</f>
        <v/>
      </c>
      <c r="B582" s="25">
        <f>IF(OR($A582="",'04 Prices'!B582="",'04 Prices'!B583=""),"",'04 Prices'!B583/'04 Prices'!B582-1)</f>
        <v/>
      </c>
      <c r="C582" s="25">
        <f>IF(OR($A582="",'04 Prices'!C582="",'04 Prices'!C583=""),"",'04 Prices'!C583/'04 Prices'!C582-1)</f>
        <v/>
      </c>
      <c r="D582" s="25">
        <f>IF(OR($A582="",'04 Prices'!D582="",'04 Prices'!D583=""),"",'04 Prices'!D583/'04 Prices'!D582-1)</f>
        <v/>
      </c>
      <c r="E582" s="25">
        <f>IF(OR($A582="",'04 Prices'!E582="",'04 Prices'!E583=""),"",'04 Prices'!E583/'04 Prices'!E582-1)</f>
        <v/>
      </c>
      <c r="F582" s="25">
        <f>IF(OR($A582="",'04 Prices'!F582="",'04 Prices'!F583=""),"",'04 Prices'!F583/'04 Prices'!F582-1)</f>
        <v/>
      </c>
      <c r="G582" s="25">
        <f>IF(OR($A582="",'04 Prices'!G582="",'04 Prices'!G583=""),"",'04 Prices'!G583/'04 Prices'!G582-1)</f>
        <v/>
      </c>
      <c r="H582" s="25">
        <f>IF(OR($A582="",'04 Prices'!H582="",'04 Prices'!H583=""),"",'04 Prices'!H583/'04 Prices'!H582-1)</f>
        <v/>
      </c>
    </row>
    <row r="583">
      <c r="A583" s="23">
        <f>IF('04 Prices'!A584="","",'04 Prices'!A584)</f>
        <v/>
      </c>
      <c r="B583" s="25">
        <f>IF(OR($A583="",'04 Prices'!B583="",'04 Prices'!B584=""),"",'04 Prices'!B584/'04 Prices'!B583-1)</f>
        <v/>
      </c>
      <c r="C583" s="25">
        <f>IF(OR($A583="",'04 Prices'!C583="",'04 Prices'!C584=""),"",'04 Prices'!C584/'04 Prices'!C583-1)</f>
        <v/>
      </c>
      <c r="D583" s="25">
        <f>IF(OR($A583="",'04 Prices'!D583="",'04 Prices'!D584=""),"",'04 Prices'!D584/'04 Prices'!D583-1)</f>
        <v/>
      </c>
      <c r="E583" s="25">
        <f>IF(OR($A583="",'04 Prices'!E583="",'04 Prices'!E584=""),"",'04 Prices'!E584/'04 Prices'!E583-1)</f>
        <v/>
      </c>
      <c r="F583" s="25">
        <f>IF(OR($A583="",'04 Prices'!F583="",'04 Prices'!F584=""),"",'04 Prices'!F584/'04 Prices'!F583-1)</f>
        <v/>
      </c>
      <c r="G583" s="25">
        <f>IF(OR($A583="",'04 Prices'!G583="",'04 Prices'!G584=""),"",'04 Prices'!G584/'04 Prices'!G583-1)</f>
        <v/>
      </c>
      <c r="H583" s="25">
        <f>IF(OR($A583="",'04 Prices'!H583="",'04 Prices'!H584=""),"",'04 Prices'!H584/'04 Prices'!H583-1)</f>
        <v/>
      </c>
    </row>
    <row r="584">
      <c r="A584" s="23">
        <f>IF('04 Prices'!A585="","",'04 Prices'!A585)</f>
        <v/>
      </c>
      <c r="B584" s="25">
        <f>IF(OR($A584="",'04 Prices'!B584="",'04 Prices'!B585=""),"",'04 Prices'!B585/'04 Prices'!B584-1)</f>
        <v/>
      </c>
      <c r="C584" s="25">
        <f>IF(OR($A584="",'04 Prices'!C584="",'04 Prices'!C585=""),"",'04 Prices'!C585/'04 Prices'!C584-1)</f>
        <v/>
      </c>
      <c r="D584" s="25">
        <f>IF(OR($A584="",'04 Prices'!D584="",'04 Prices'!D585=""),"",'04 Prices'!D585/'04 Prices'!D584-1)</f>
        <v/>
      </c>
      <c r="E584" s="25">
        <f>IF(OR($A584="",'04 Prices'!E584="",'04 Prices'!E585=""),"",'04 Prices'!E585/'04 Prices'!E584-1)</f>
        <v/>
      </c>
      <c r="F584" s="25">
        <f>IF(OR($A584="",'04 Prices'!F584="",'04 Prices'!F585=""),"",'04 Prices'!F585/'04 Prices'!F584-1)</f>
        <v/>
      </c>
      <c r="G584" s="25">
        <f>IF(OR($A584="",'04 Prices'!G584="",'04 Prices'!G585=""),"",'04 Prices'!G585/'04 Prices'!G584-1)</f>
        <v/>
      </c>
      <c r="H584" s="25">
        <f>IF(OR($A584="",'04 Prices'!H584="",'04 Prices'!H585=""),"",'04 Prices'!H585/'04 Prices'!H584-1)</f>
        <v/>
      </c>
    </row>
    <row r="585">
      <c r="A585" s="23">
        <f>IF('04 Prices'!A586="","",'04 Prices'!A586)</f>
        <v/>
      </c>
      <c r="B585" s="25">
        <f>IF(OR($A585="",'04 Prices'!B585="",'04 Prices'!B586=""),"",'04 Prices'!B586/'04 Prices'!B585-1)</f>
        <v/>
      </c>
      <c r="C585" s="25">
        <f>IF(OR($A585="",'04 Prices'!C585="",'04 Prices'!C586=""),"",'04 Prices'!C586/'04 Prices'!C585-1)</f>
        <v/>
      </c>
      <c r="D585" s="25">
        <f>IF(OR($A585="",'04 Prices'!D585="",'04 Prices'!D586=""),"",'04 Prices'!D586/'04 Prices'!D585-1)</f>
        <v/>
      </c>
      <c r="E585" s="25">
        <f>IF(OR($A585="",'04 Prices'!E585="",'04 Prices'!E586=""),"",'04 Prices'!E586/'04 Prices'!E585-1)</f>
        <v/>
      </c>
      <c r="F585" s="25">
        <f>IF(OR($A585="",'04 Prices'!F585="",'04 Prices'!F586=""),"",'04 Prices'!F586/'04 Prices'!F585-1)</f>
        <v/>
      </c>
      <c r="G585" s="25">
        <f>IF(OR($A585="",'04 Prices'!G585="",'04 Prices'!G586=""),"",'04 Prices'!G586/'04 Prices'!G585-1)</f>
        <v/>
      </c>
      <c r="H585" s="25">
        <f>IF(OR($A585="",'04 Prices'!H585="",'04 Prices'!H586=""),"",'04 Prices'!H586/'04 Prices'!H585-1)</f>
        <v/>
      </c>
    </row>
    <row r="586">
      <c r="A586" s="23">
        <f>IF('04 Prices'!A587="","",'04 Prices'!A587)</f>
        <v/>
      </c>
      <c r="B586" s="25">
        <f>IF(OR($A586="",'04 Prices'!B586="",'04 Prices'!B587=""),"",'04 Prices'!B587/'04 Prices'!B586-1)</f>
        <v/>
      </c>
      <c r="C586" s="25">
        <f>IF(OR($A586="",'04 Prices'!C586="",'04 Prices'!C587=""),"",'04 Prices'!C587/'04 Prices'!C586-1)</f>
        <v/>
      </c>
      <c r="D586" s="25">
        <f>IF(OR($A586="",'04 Prices'!D586="",'04 Prices'!D587=""),"",'04 Prices'!D587/'04 Prices'!D586-1)</f>
        <v/>
      </c>
      <c r="E586" s="25">
        <f>IF(OR($A586="",'04 Prices'!E586="",'04 Prices'!E587=""),"",'04 Prices'!E587/'04 Prices'!E586-1)</f>
        <v/>
      </c>
      <c r="F586" s="25">
        <f>IF(OR($A586="",'04 Prices'!F586="",'04 Prices'!F587=""),"",'04 Prices'!F587/'04 Prices'!F586-1)</f>
        <v/>
      </c>
      <c r="G586" s="25">
        <f>IF(OR($A586="",'04 Prices'!G586="",'04 Prices'!G587=""),"",'04 Prices'!G587/'04 Prices'!G586-1)</f>
        <v/>
      </c>
      <c r="H586" s="25">
        <f>IF(OR($A586="",'04 Prices'!H586="",'04 Prices'!H587=""),"",'04 Prices'!H587/'04 Prices'!H586-1)</f>
        <v/>
      </c>
    </row>
    <row r="587">
      <c r="A587" s="23">
        <f>IF('04 Prices'!A588="","",'04 Prices'!A588)</f>
        <v/>
      </c>
      <c r="B587" s="25">
        <f>IF(OR($A587="",'04 Prices'!B587="",'04 Prices'!B588=""),"",'04 Prices'!B588/'04 Prices'!B587-1)</f>
        <v/>
      </c>
      <c r="C587" s="25">
        <f>IF(OR($A587="",'04 Prices'!C587="",'04 Prices'!C588=""),"",'04 Prices'!C588/'04 Prices'!C587-1)</f>
        <v/>
      </c>
      <c r="D587" s="25">
        <f>IF(OR($A587="",'04 Prices'!D587="",'04 Prices'!D588=""),"",'04 Prices'!D588/'04 Prices'!D587-1)</f>
        <v/>
      </c>
      <c r="E587" s="25">
        <f>IF(OR($A587="",'04 Prices'!E587="",'04 Prices'!E588=""),"",'04 Prices'!E588/'04 Prices'!E587-1)</f>
        <v/>
      </c>
      <c r="F587" s="25">
        <f>IF(OR($A587="",'04 Prices'!F587="",'04 Prices'!F588=""),"",'04 Prices'!F588/'04 Prices'!F587-1)</f>
        <v/>
      </c>
      <c r="G587" s="25">
        <f>IF(OR($A587="",'04 Prices'!G587="",'04 Prices'!G588=""),"",'04 Prices'!G588/'04 Prices'!G587-1)</f>
        <v/>
      </c>
      <c r="H587" s="25">
        <f>IF(OR($A587="",'04 Prices'!H587="",'04 Prices'!H588=""),"",'04 Prices'!H588/'04 Prices'!H587-1)</f>
        <v/>
      </c>
    </row>
    <row r="588">
      <c r="A588" s="23">
        <f>IF('04 Prices'!A589="","",'04 Prices'!A589)</f>
        <v/>
      </c>
      <c r="B588" s="25">
        <f>IF(OR($A588="",'04 Prices'!B588="",'04 Prices'!B589=""),"",'04 Prices'!B589/'04 Prices'!B588-1)</f>
        <v/>
      </c>
      <c r="C588" s="25">
        <f>IF(OR($A588="",'04 Prices'!C588="",'04 Prices'!C589=""),"",'04 Prices'!C589/'04 Prices'!C588-1)</f>
        <v/>
      </c>
      <c r="D588" s="25">
        <f>IF(OR($A588="",'04 Prices'!D588="",'04 Prices'!D589=""),"",'04 Prices'!D589/'04 Prices'!D588-1)</f>
        <v/>
      </c>
      <c r="E588" s="25">
        <f>IF(OR($A588="",'04 Prices'!E588="",'04 Prices'!E589=""),"",'04 Prices'!E589/'04 Prices'!E588-1)</f>
        <v/>
      </c>
      <c r="F588" s="25">
        <f>IF(OR($A588="",'04 Prices'!F588="",'04 Prices'!F589=""),"",'04 Prices'!F589/'04 Prices'!F588-1)</f>
        <v/>
      </c>
      <c r="G588" s="25">
        <f>IF(OR($A588="",'04 Prices'!G588="",'04 Prices'!G589=""),"",'04 Prices'!G589/'04 Prices'!G588-1)</f>
        <v/>
      </c>
      <c r="H588" s="25">
        <f>IF(OR($A588="",'04 Prices'!H588="",'04 Prices'!H589=""),"",'04 Prices'!H589/'04 Prices'!H588-1)</f>
        <v/>
      </c>
    </row>
    <row r="589">
      <c r="A589" s="23">
        <f>IF('04 Prices'!A590="","",'04 Prices'!A590)</f>
        <v/>
      </c>
      <c r="B589" s="25">
        <f>IF(OR($A589="",'04 Prices'!B589="",'04 Prices'!B590=""),"",'04 Prices'!B590/'04 Prices'!B589-1)</f>
        <v/>
      </c>
      <c r="C589" s="25">
        <f>IF(OR($A589="",'04 Prices'!C589="",'04 Prices'!C590=""),"",'04 Prices'!C590/'04 Prices'!C589-1)</f>
        <v/>
      </c>
      <c r="D589" s="25">
        <f>IF(OR($A589="",'04 Prices'!D589="",'04 Prices'!D590=""),"",'04 Prices'!D590/'04 Prices'!D589-1)</f>
        <v/>
      </c>
      <c r="E589" s="25">
        <f>IF(OR($A589="",'04 Prices'!E589="",'04 Prices'!E590=""),"",'04 Prices'!E590/'04 Prices'!E589-1)</f>
        <v/>
      </c>
      <c r="F589" s="25">
        <f>IF(OR($A589="",'04 Prices'!F589="",'04 Prices'!F590=""),"",'04 Prices'!F590/'04 Prices'!F589-1)</f>
        <v/>
      </c>
      <c r="G589" s="25">
        <f>IF(OR($A589="",'04 Prices'!G589="",'04 Prices'!G590=""),"",'04 Prices'!G590/'04 Prices'!G589-1)</f>
        <v/>
      </c>
      <c r="H589" s="25">
        <f>IF(OR($A589="",'04 Prices'!H589="",'04 Prices'!H590=""),"",'04 Prices'!H590/'04 Prices'!H589-1)</f>
        <v/>
      </c>
    </row>
    <row r="590">
      <c r="A590" s="23">
        <f>IF('04 Prices'!A591="","",'04 Prices'!A591)</f>
        <v/>
      </c>
      <c r="B590" s="25">
        <f>IF(OR($A590="",'04 Prices'!B590="",'04 Prices'!B591=""),"",'04 Prices'!B591/'04 Prices'!B590-1)</f>
        <v/>
      </c>
      <c r="C590" s="25">
        <f>IF(OR($A590="",'04 Prices'!C590="",'04 Prices'!C591=""),"",'04 Prices'!C591/'04 Prices'!C590-1)</f>
        <v/>
      </c>
      <c r="D590" s="25">
        <f>IF(OR($A590="",'04 Prices'!D590="",'04 Prices'!D591=""),"",'04 Prices'!D591/'04 Prices'!D590-1)</f>
        <v/>
      </c>
      <c r="E590" s="25">
        <f>IF(OR($A590="",'04 Prices'!E590="",'04 Prices'!E591=""),"",'04 Prices'!E591/'04 Prices'!E590-1)</f>
        <v/>
      </c>
      <c r="F590" s="25">
        <f>IF(OR($A590="",'04 Prices'!F590="",'04 Prices'!F591=""),"",'04 Prices'!F591/'04 Prices'!F590-1)</f>
        <v/>
      </c>
      <c r="G590" s="25">
        <f>IF(OR($A590="",'04 Prices'!G590="",'04 Prices'!G591=""),"",'04 Prices'!G591/'04 Prices'!G590-1)</f>
        <v/>
      </c>
      <c r="H590" s="25">
        <f>IF(OR($A590="",'04 Prices'!H590="",'04 Prices'!H591=""),"",'04 Prices'!H591/'04 Prices'!H590-1)</f>
        <v/>
      </c>
    </row>
    <row r="591">
      <c r="A591" s="23">
        <f>IF('04 Prices'!A592="","",'04 Prices'!A592)</f>
        <v/>
      </c>
      <c r="B591" s="25">
        <f>IF(OR($A591="",'04 Prices'!B591="",'04 Prices'!B592=""),"",'04 Prices'!B592/'04 Prices'!B591-1)</f>
        <v/>
      </c>
      <c r="C591" s="25">
        <f>IF(OR($A591="",'04 Prices'!C591="",'04 Prices'!C592=""),"",'04 Prices'!C592/'04 Prices'!C591-1)</f>
        <v/>
      </c>
      <c r="D591" s="25">
        <f>IF(OR($A591="",'04 Prices'!D591="",'04 Prices'!D592=""),"",'04 Prices'!D592/'04 Prices'!D591-1)</f>
        <v/>
      </c>
      <c r="E591" s="25">
        <f>IF(OR($A591="",'04 Prices'!E591="",'04 Prices'!E592=""),"",'04 Prices'!E592/'04 Prices'!E591-1)</f>
        <v/>
      </c>
      <c r="F591" s="25">
        <f>IF(OR($A591="",'04 Prices'!F591="",'04 Prices'!F592=""),"",'04 Prices'!F592/'04 Prices'!F591-1)</f>
        <v/>
      </c>
      <c r="G591" s="25">
        <f>IF(OR($A591="",'04 Prices'!G591="",'04 Prices'!G592=""),"",'04 Prices'!G592/'04 Prices'!G591-1)</f>
        <v/>
      </c>
      <c r="H591" s="25">
        <f>IF(OR($A591="",'04 Prices'!H591="",'04 Prices'!H592=""),"",'04 Prices'!H592/'04 Prices'!H591-1)</f>
        <v/>
      </c>
    </row>
    <row r="592">
      <c r="A592" s="23">
        <f>IF('04 Prices'!A593="","",'04 Prices'!A593)</f>
        <v/>
      </c>
      <c r="B592" s="25">
        <f>IF(OR($A592="",'04 Prices'!B592="",'04 Prices'!B593=""),"",'04 Prices'!B593/'04 Prices'!B592-1)</f>
        <v/>
      </c>
      <c r="C592" s="25">
        <f>IF(OR($A592="",'04 Prices'!C592="",'04 Prices'!C593=""),"",'04 Prices'!C593/'04 Prices'!C592-1)</f>
        <v/>
      </c>
      <c r="D592" s="25">
        <f>IF(OR($A592="",'04 Prices'!D592="",'04 Prices'!D593=""),"",'04 Prices'!D593/'04 Prices'!D592-1)</f>
        <v/>
      </c>
      <c r="E592" s="25">
        <f>IF(OR($A592="",'04 Prices'!E592="",'04 Prices'!E593=""),"",'04 Prices'!E593/'04 Prices'!E592-1)</f>
        <v/>
      </c>
      <c r="F592" s="25">
        <f>IF(OR($A592="",'04 Prices'!F592="",'04 Prices'!F593=""),"",'04 Prices'!F593/'04 Prices'!F592-1)</f>
        <v/>
      </c>
      <c r="G592" s="25">
        <f>IF(OR($A592="",'04 Prices'!G592="",'04 Prices'!G593=""),"",'04 Prices'!G593/'04 Prices'!G592-1)</f>
        <v/>
      </c>
      <c r="H592" s="25">
        <f>IF(OR($A592="",'04 Prices'!H592="",'04 Prices'!H593=""),"",'04 Prices'!H593/'04 Prices'!H592-1)</f>
        <v/>
      </c>
    </row>
    <row r="593">
      <c r="A593" s="23">
        <f>IF('04 Prices'!A594="","",'04 Prices'!A594)</f>
        <v/>
      </c>
      <c r="B593" s="25">
        <f>IF(OR($A593="",'04 Prices'!B593="",'04 Prices'!B594=""),"",'04 Prices'!B594/'04 Prices'!B593-1)</f>
        <v/>
      </c>
      <c r="C593" s="25">
        <f>IF(OR($A593="",'04 Prices'!C593="",'04 Prices'!C594=""),"",'04 Prices'!C594/'04 Prices'!C593-1)</f>
        <v/>
      </c>
      <c r="D593" s="25">
        <f>IF(OR($A593="",'04 Prices'!D593="",'04 Prices'!D594=""),"",'04 Prices'!D594/'04 Prices'!D593-1)</f>
        <v/>
      </c>
      <c r="E593" s="25">
        <f>IF(OR($A593="",'04 Prices'!E593="",'04 Prices'!E594=""),"",'04 Prices'!E594/'04 Prices'!E593-1)</f>
        <v/>
      </c>
      <c r="F593" s="25">
        <f>IF(OR($A593="",'04 Prices'!F593="",'04 Prices'!F594=""),"",'04 Prices'!F594/'04 Prices'!F593-1)</f>
        <v/>
      </c>
      <c r="G593" s="25">
        <f>IF(OR($A593="",'04 Prices'!G593="",'04 Prices'!G594=""),"",'04 Prices'!G594/'04 Prices'!G593-1)</f>
        <v/>
      </c>
      <c r="H593" s="25">
        <f>IF(OR($A593="",'04 Prices'!H593="",'04 Prices'!H594=""),"",'04 Prices'!H594/'04 Prices'!H593-1)</f>
        <v/>
      </c>
    </row>
    <row r="594">
      <c r="A594" s="23">
        <f>IF('04 Prices'!A595="","",'04 Prices'!A595)</f>
        <v/>
      </c>
      <c r="B594" s="25">
        <f>IF(OR($A594="",'04 Prices'!B594="",'04 Prices'!B595=""),"",'04 Prices'!B595/'04 Prices'!B594-1)</f>
        <v/>
      </c>
      <c r="C594" s="25">
        <f>IF(OR($A594="",'04 Prices'!C594="",'04 Prices'!C595=""),"",'04 Prices'!C595/'04 Prices'!C594-1)</f>
        <v/>
      </c>
      <c r="D594" s="25">
        <f>IF(OR($A594="",'04 Prices'!D594="",'04 Prices'!D595=""),"",'04 Prices'!D595/'04 Prices'!D594-1)</f>
        <v/>
      </c>
      <c r="E594" s="25">
        <f>IF(OR($A594="",'04 Prices'!E594="",'04 Prices'!E595=""),"",'04 Prices'!E595/'04 Prices'!E594-1)</f>
        <v/>
      </c>
      <c r="F594" s="25">
        <f>IF(OR($A594="",'04 Prices'!F594="",'04 Prices'!F595=""),"",'04 Prices'!F595/'04 Prices'!F594-1)</f>
        <v/>
      </c>
      <c r="G594" s="25">
        <f>IF(OR($A594="",'04 Prices'!G594="",'04 Prices'!G595=""),"",'04 Prices'!G595/'04 Prices'!G594-1)</f>
        <v/>
      </c>
      <c r="H594" s="25">
        <f>IF(OR($A594="",'04 Prices'!H594="",'04 Prices'!H595=""),"",'04 Prices'!H595/'04 Prices'!H594-1)</f>
        <v/>
      </c>
    </row>
    <row r="595">
      <c r="A595" s="23">
        <f>IF('04 Prices'!A596="","",'04 Prices'!A596)</f>
        <v/>
      </c>
      <c r="B595" s="25">
        <f>IF(OR($A595="",'04 Prices'!B595="",'04 Prices'!B596=""),"",'04 Prices'!B596/'04 Prices'!B595-1)</f>
        <v/>
      </c>
      <c r="C595" s="25">
        <f>IF(OR($A595="",'04 Prices'!C595="",'04 Prices'!C596=""),"",'04 Prices'!C596/'04 Prices'!C595-1)</f>
        <v/>
      </c>
      <c r="D595" s="25">
        <f>IF(OR($A595="",'04 Prices'!D595="",'04 Prices'!D596=""),"",'04 Prices'!D596/'04 Prices'!D595-1)</f>
        <v/>
      </c>
      <c r="E595" s="25">
        <f>IF(OR($A595="",'04 Prices'!E595="",'04 Prices'!E596=""),"",'04 Prices'!E596/'04 Prices'!E595-1)</f>
        <v/>
      </c>
      <c r="F595" s="25">
        <f>IF(OR($A595="",'04 Prices'!F595="",'04 Prices'!F596=""),"",'04 Prices'!F596/'04 Prices'!F595-1)</f>
        <v/>
      </c>
      <c r="G595" s="25">
        <f>IF(OR($A595="",'04 Prices'!G595="",'04 Prices'!G596=""),"",'04 Prices'!G596/'04 Prices'!G595-1)</f>
        <v/>
      </c>
      <c r="H595" s="25">
        <f>IF(OR($A595="",'04 Prices'!H595="",'04 Prices'!H596=""),"",'04 Prices'!H596/'04 Prices'!H595-1)</f>
        <v/>
      </c>
    </row>
    <row r="596">
      <c r="A596" s="23">
        <f>IF('04 Prices'!A597="","",'04 Prices'!A597)</f>
        <v/>
      </c>
      <c r="B596" s="25">
        <f>IF(OR($A596="",'04 Prices'!B596="",'04 Prices'!B597=""),"",'04 Prices'!B597/'04 Prices'!B596-1)</f>
        <v/>
      </c>
      <c r="C596" s="25">
        <f>IF(OR($A596="",'04 Prices'!C596="",'04 Prices'!C597=""),"",'04 Prices'!C597/'04 Prices'!C596-1)</f>
        <v/>
      </c>
      <c r="D596" s="25">
        <f>IF(OR($A596="",'04 Prices'!D596="",'04 Prices'!D597=""),"",'04 Prices'!D597/'04 Prices'!D596-1)</f>
        <v/>
      </c>
      <c r="E596" s="25">
        <f>IF(OR($A596="",'04 Prices'!E596="",'04 Prices'!E597=""),"",'04 Prices'!E597/'04 Prices'!E596-1)</f>
        <v/>
      </c>
      <c r="F596" s="25">
        <f>IF(OR($A596="",'04 Prices'!F596="",'04 Prices'!F597=""),"",'04 Prices'!F597/'04 Prices'!F596-1)</f>
        <v/>
      </c>
      <c r="G596" s="25">
        <f>IF(OR($A596="",'04 Prices'!G596="",'04 Prices'!G597=""),"",'04 Prices'!G597/'04 Prices'!G596-1)</f>
        <v/>
      </c>
      <c r="H596" s="25">
        <f>IF(OR($A596="",'04 Prices'!H596="",'04 Prices'!H597=""),"",'04 Prices'!H597/'04 Prices'!H596-1)</f>
        <v/>
      </c>
    </row>
    <row r="597">
      <c r="A597" s="23">
        <f>IF('04 Prices'!A598="","",'04 Prices'!A598)</f>
        <v/>
      </c>
      <c r="B597" s="25">
        <f>IF(OR($A597="",'04 Prices'!B597="",'04 Prices'!B598=""),"",'04 Prices'!B598/'04 Prices'!B597-1)</f>
        <v/>
      </c>
      <c r="C597" s="25">
        <f>IF(OR($A597="",'04 Prices'!C597="",'04 Prices'!C598=""),"",'04 Prices'!C598/'04 Prices'!C597-1)</f>
        <v/>
      </c>
      <c r="D597" s="25">
        <f>IF(OR($A597="",'04 Prices'!D597="",'04 Prices'!D598=""),"",'04 Prices'!D598/'04 Prices'!D597-1)</f>
        <v/>
      </c>
      <c r="E597" s="25">
        <f>IF(OR($A597="",'04 Prices'!E597="",'04 Prices'!E598=""),"",'04 Prices'!E598/'04 Prices'!E597-1)</f>
        <v/>
      </c>
      <c r="F597" s="25">
        <f>IF(OR($A597="",'04 Prices'!F597="",'04 Prices'!F598=""),"",'04 Prices'!F598/'04 Prices'!F597-1)</f>
        <v/>
      </c>
      <c r="G597" s="25">
        <f>IF(OR($A597="",'04 Prices'!G597="",'04 Prices'!G598=""),"",'04 Prices'!G598/'04 Prices'!G597-1)</f>
        <v/>
      </c>
      <c r="H597" s="25">
        <f>IF(OR($A597="",'04 Prices'!H597="",'04 Prices'!H598=""),"",'04 Prices'!H598/'04 Prices'!H597-1)</f>
        <v/>
      </c>
    </row>
    <row r="598">
      <c r="A598" s="23">
        <f>IF('04 Prices'!A599="","",'04 Prices'!A599)</f>
        <v/>
      </c>
      <c r="B598" s="25">
        <f>IF(OR($A598="",'04 Prices'!B598="",'04 Prices'!B599=""),"",'04 Prices'!B599/'04 Prices'!B598-1)</f>
        <v/>
      </c>
      <c r="C598" s="25">
        <f>IF(OR($A598="",'04 Prices'!C598="",'04 Prices'!C599=""),"",'04 Prices'!C599/'04 Prices'!C598-1)</f>
        <v/>
      </c>
      <c r="D598" s="25">
        <f>IF(OR($A598="",'04 Prices'!D598="",'04 Prices'!D599=""),"",'04 Prices'!D599/'04 Prices'!D598-1)</f>
        <v/>
      </c>
      <c r="E598" s="25">
        <f>IF(OR($A598="",'04 Prices'!E598="",'04 Prices'!E599=""),"",'04 Prices'!E599/'04 Prices'!E598-1)</f>
        <v/>
      </c>
      <c r="F598" s="25">
        <f>IF(OR($A598="",'04 Prices'!F598="",'04 Prices'!F599=""),"",'04 Prices'!F599/'04 Prices'!F598-1)</f>
        <v/>
      </c>
      <c r="G598" s="25">
        <f>IF(OR($A598="",'04 Prices'!G598="",'04 Prices'!G599=""),"",'04 Prices'!G599/'04 Prices'!G598-1)</f>
        <v/>
      </c>
      <c r="H598" s="25">
        <f>IF(OR($A598="",'04 Prices'!H598="",'04 Prices'!H599=""),"",'04 Prices'!H599/'04 Prices'!H598-1)</f>
        <v/>
      </c>
    </row>
    <row r="599">
      <c r="A599" s="23">
        <f>IF('04 Prices'!A600="","",'04 Prices'!A600)</f>
        <v/>
      </c>
      <c r="B599" s="25">
        <f>IF(OR($A599="",'04 Prices'!B599="",'04 Prices'!B600=""),"",'04 Prices'!B600/'04 Prices'!B599-1)</f>
        <v/>
      </c>
      <c r="C599" s="25">
        <f>IF(OR($A599="",'04 Prices'!C599="",'04 Prices'!C600=""),"",'04 Prices'!C600/'04 Prices'!C599-1)</f>
        <v/>
      </c>
      <c r="D599" s="25">
        <f>IF(OR($A599="",'04 Prices'!D599="",'04 Prices'!D600=""),"",'04 Prices'!D600/'04 Prices'!D599-1)</f>
        <v/>
      </c>
      <c r="E599" s="25">
        <f>IF(OR($A599="",'04 Prices'!E599="",'04 Prices'!E600=""),"",'04 Prices'!E600/'04 Prices'!E599-1)</f>
        <v/>
      </c>
      <c r="F599" s="25">
        <f>IF(OR($A599="",'04 Prices'!F599="",'04 Prices'!F600=""),"",'04 Prices'!F600/'04 Prices'!F599-1)</f>
        <v/>
      </c>
      <c r="G599" s="25">
        <f>IF(OR($A599="",'04 Prices'!G599="",'04 Prices'!G600=""),"",'04 Prices'!G600/'04 Prices'!G599-1)</f>
        <v/>
      </c>
      <c r="H599" s="25">
        <f>IF(OR($A599="",'04 Prices'!H599="",'04 Prices'!H600=""),"",'04 Prices'!H600/'04 Prices'!H599-1)</f>
        <v/>
      </c>
    </row>
    <row r="600">
      <c r="A600" s="23">
        <f>IF('04 Prices'!A601="","",'04 Prices'!A601)</f>
        <v/>
      </c>
      <c r="B600" s="25">
        <f>IF(OR($A600="",'04 Prices'!B600="",'04 Prices'!B601=""),"",'04 Prices'!B601/'04 Prices'!B600-1)</f>
        <v/>
      </c>
      <c r="C600" s="25">
        <f>IF(OR($A600="",'04 Prices'!C600="",'04 Prices'!C601=""),"",'04 Prices'!C601/'04 Prices'!C600-1)</f>
        <v/>
      </c>
      <c r="D600" s="25">
        <f>IF(OR($A600="",'04 Prices'!D600="",'04 Prices'!D601=""),"",'04 Prices'!D601/'04 Prices'!D600-1)</f>
        <v/>
      </c>
      <c r="E600" s="25">
        <f>IF(OR($A600="",'04 Prices'!E600="",'04 Prices'!E601=""),"",'04 Prices'!E601/'04 Prices'!E600-1)</f>
        <v/>
      </c>
      <c r="F600" s="25">
        <f>IF(OR($A600="",'04 Prices'!F600="",'04 Prices'!F601=""),"",'04 Prices'!F601/'04 Prices'!F600-1)</f>
        <v/>
      </c>
      <c r="G600" s="25">
        <f>IF(OR($A600="",'04 Prices'!G600="",'04 Prices'!G601=""),"",'04 Prices'!G601/'04 Prices'!G600-1)</f>
        <v/>
      </c>
      <c r="H600" s="25">
        <f>IF(OR($A600="",'04 Prices'!H600="",'04 Prices'!H601=""),"",'04 Prices'!H601/'04 Prices'!H600-1)</f>
        <v/>
      </c>
    </row>
    <row r="601">
      <c r="A601" s="23">
        <f>IF('04 Prices'!A602="","",'04 Prices'!A602)</f>
        <v/>
      </c>
      <c r="B601" s="25">
        <f>IF(OR($A601="",'04 Prices'!B601="",'04 Prices'!B602=""),"",'04 Prices'!B602/'04 Prices'!B601-1)</f>
        <v/>
      </c>
      <c r="C601" s="25">
        <f>IF(OR($A601="",'04 Prices'!C601="",'04 Prices'!C602=""),"",'04 Prices'!C602/'04 Prices'!C601-1)</f>
        <v/>
      </c>
      <c r="D601" s="25">
        <f>IF(OR($A601="",'04 Prices'!D601="",'04 Prices'!D602=""),"",'04 Prices'!D602/'04 Prices'!D601-1)</f>
        <v/>
      </c>
      <c r="E601" s="25">
        <f>IF(OR($A601="",'04 Prices'!E601="",'04 Prices'!E602=""),"",'04 Prices'!E602/'04 Prices'!E601-1)</f>
        <v/>
      </c>
      <c r="F601" s="25">
        <f>IF(OR($A601="",'04 Prices'!F601="",'04 Prices'!F602=""),"",'04 Prices'!F602/'04 Prices'!F601-1)</f>
        <v/>
      </c>
      <c r="G601" s="25">
        <f>IF(OR($A601="",'04 Prices'!G601="",'04 Prices'!G602=""),"",'04 Prices'!G602/'04 Prices'!G601-1)</f>
        <v/>
      </c>
      <c r="H601" s="25">
        <f>IF(OR($A601="",'04 Prices'!H601="",'04 Prices'!H602=""),"",'04 Prices'!H602/'04 Prices'!H601-1)</f>
        <v/>
      </c>
    </row>
    <row r="602">
      <c r="A602" s="23">
        <f>IF('04 Prices'!A603="","",'04 Prices'!A603)</f>
        <v/>
      </c>
      <c r="B602" s="25">
        <f>IF(OR($A602="",'04 Prices'!B602="",'04 Prices'!B603=""),"",'04 Prices'!B603/'04 Prices'!B602-1)</f>
        <v/>
      </c>
      <c r="C602" s="25">
        <f>IF(OR($A602="",'04 Prices'!C602="",'04 Prices'!C603=""),"",'04 Prices'!C603/'04 Prices'!C602-1)</f>
        <v/>
      </c>
      <c r="D602" s="25">
        <f>IF(OR($A602="",'04 Prices'!D602="",'04 Prices'!D603=""),"",'04 Prices'!D603/'04 Prices'!D602-1)</f>
        <v/>
      </c>
      <c r="E602" s="25">
        <f>IF(OR($A602="",'04 Prices'!E602="",'04 Prices'!E603=""),"",'04 Prices'!E603/'04 Prices'!E602-1)</f>
        <v/>
      </c>
      <c r="F602" s="25">
        <f>IF(OR($A602="",'04 Prices'!F602="",'04 Prices'!F603=""),"",'04 Prices'!F603/'04 Prices'!F602-1)</f>
        <v/>
      </c>
      <c r="G602" s="25">
        <f>IF(OR($A602="",'04 Prices'!G602="",'04 Prices'!G603=""),"",'04 Prices'!G603/'04 Prices'!G602-1)</f>
        <v/>
      </c>
      <c r="H602" s="25">
        <f>IF(OR($A602="",'04 Prices'!H602="",'04 Prices'!H603=""),"",'04 Prices'!H603/'04 Prices'!H602-1)</f>
        <v/>
      </c>
    </row>
    <row r="603">
      <c r="A603" s="23">
        <f>IF('04 Prices'!A604="","",'04 Prices'!A604)</f>
        <v/>
      </c>
      <c r="B603" s="25">
        <f>IF(OR($A603="",'04 Prices'!B603="",'04 Prices'!B604=""),"",'04 Prices'!B604/'04 Prices'!B603-1)</f>
        <v/>
      </c>
      <c r="C603" s="25">
        <f>IF(OR($A603="",'04 Prices'!C603="",'04 Prices'!C604=""),"",'04 Prices'!C604/'04 Prices'!C603-1)</f>
        <v/>
      </c>
      <c r="D603" s="25">
        <f>IF(OR($A603="",'04 Prices'!D603="",'04 Prices'!D604=""),"",'04 Prices'!D604/'04 Prices'!D603-1)</f>
        <v/>
      </c>
      <c r="E603" s="25">
        <f>IF(OR($A603="",'04 Prices'!E603="",'04 Prices'!E604=""),"",'04 Prices'!E604/'04 Prices'!E603-1)</f>
        <v/>
      </c>
      <c r="F603" s="25">
        <f>IF(OR($A603="",'04 Prices'!F603="",'04 Prices'!F604=""),"",'04 Prices'!F604/'04 Prices'!F603-1)</f>
        <v/>
      </c>
      <c r="G603" s="25">
        <f>IF(OR($A603="",'04 Prices'!G603="",'04 Prices'!G604=""),"",'04 Prices'!G604/'04 Prices'!G603-1)</f>
        <v/>
      </c>
      <c r="H603" s="25">
        <f>IF(OR($A603="",'04 Prices'!H603="",'04 Prices'!H604=""),"",'04 Prices'!H604/'04 Prices'!H603-1)</f>
        <v/>
      </c>
    </row>
    <row r="604">
      <c r="A604" s="23">
        <f>IF('04 Prices'!A605="","",'04 Prices'!A605)</f>
        <v/>
      </c>
      <c r="B604" s="25">
        <f>IF(OR($A604="",'04 Prices'!B604="",'04 Prices'!B605=""),"",'04 Prices'!B605/'04 Prices'!B604-1)</f>
        <v/>
      </c>
      <c r="C604" s="25">
        <f>IF(OR($A604="",'04 Prices'!C604="",'04 Prices'!C605=""),"",'04 Prices'!C605/'04 Prices'!C604-1)</f>
        <v/>
      </c>
      <c r="D604" s="25">
        <f>IF(OR($A604="",'04 Prices'!D604="",'04 Prices'!D605=""),"",'04 Prices'!D605/'04 Prices'!D604-1)</f>
        <v/>
      </c>
      <c r="E604" s="25">
        <f>IF(OR($A604="",'04 Prices'!E604="",'04 Prices'!E605=""),"",'04 Prices'!E605/'04 Prices'!E604-1)</f>
        <v/>
      </c>
      <c r="F604" s="25">
        <f>IF(OR($A604="",'04 Prices'!F604="",'04 Prices'!F605=""),"",'04 Prices'!F605/'04 Prices'!F604-1)</f>
        <v/>
      </c>
      <c r="G604" s="25">
        <f>IF(OR($A604="",'04 Prices'!G604="",'04 Prices'!G605=""),"",'04 Prices'!G605/'04 Prices'!G604-1)</f>
        <v/>
      </c>
      <c r="H604" s="25">
        <f>IF(OR($A604="",'04 Prices'!H604="",'04 Prices'!H605=""),"",'04 Prices'!H605/'04 Prices'!H604-1)</f>
        <v/>
      </c>
    </row>
    <row r="605">
      <c r="A605" s="23">
        <f>IF('04 Prices'!A606="","",'04 Prices'!A606)</f>
        <v/>
      </c>
      <c r="B605" s="25">
        <f>IF(OR($A605="",'04 Prices'!B605="",'04 Prices'!B606=""),"",'04 Prices'!B606/'04 Prices'!B605-1)</f>
        <v/>
      </c>
      <c r="C605" s="25">
        <f>IF(OR($A605="",'04 Prices'!C605="",'04 Prices'!C606=""),"",'04 Prices'!C606/'04 Prices'!C605-1)</f>
        <v/>
      </c>
      <c r="D605" s="25">
        <f>IF(OR($A605="",'04 Prices'!D605="",'04 Prices'!D606=""),"",'04 Prices'!D606/'04 Prices'!D605-1)</f>
        <v/>
      </c>
      <c r="E605" s="25">
        <f>IF(OR($A605="",'04 Prices'!E605="",'04 Prices'!E606=""),"",'04 Prices'!E606/'04 Prices'!E605-1)</f>
        <v/>
      </c>
      <c r="F605" s="25">
        <f>IF(OR($A605="",'04 Prices'!F605="",'04 Prices'!F606=""),"",'04 Prices'!F606/'04 Prices'!F605-1)</f>
        <v/>
      </c>
      <c r="G605" s="25">
        <f>IF(OR($A605="",'04 Prices'!G605="",'04 Prices'!G606=""),"",'04 Prices'!G606/'04 Prices'!G605-1)</f>
        <v/>
      </c>
      <c r="H605" s="25">
        <f>IF(OR($A605="",'04 Prices'!H605="",'04 Prices'!H606=""),"",'04 Prices'!H606/'04 Prices'!H605-1)</f>
        <v/>
      </c>
    </row>
    <row r="606">
      <c r="A606" s="23">
        <f>IF('04 Prices'!A607="","",'04 Prices'!A607)</f>
        <v/>
      </c>
      <c r="B606" s="25">
        <f>IF(OR($A606="",'04 Prices'!B606="",'04 Prices'!B607=""),"",'04 Prices'!B607/'04 Prices'!B606-1)</f>
        <v/>
      </c>
      <c r="C606" s="25">
        <f>IF(OR($A606="",'04 Prices'!C606="",'04 Prices'!C607=""),"",'04 Prices'!C607/'04 Prices'!C606-1)</f>
        <v/>
      </c>
      <c r="D606" s="25">
        <f>IF(OR($A606="",'04 Prices'!D606="",'04 Prices'!D607=""),"",'04 Prices'!D607/'04 Prices'!D606-1)</f>
        <v/>
      </c>
      <c r="E606" s="25">
        <f>IF(OR($A606="",'04 Prices'!E606="",'04 Prices'!E607=""),"",'04 Prices'!E607/'04 Prices'!E606-1)</f>
        <v/>
      </c>
      <c r="F606" s="25">
        <f>IF(OR($A606="",'04 Prices'!F606="",'04 Prices'!F607=""),"",'04 Prices'!F607/'04 Prices'!F606-1)</f>
        <v/>
      </c>
      <c r="G606" s="25">
        <f>IF(OR($A606="",'04 Prices'!G606="",'04 Prices'!G607=""),"",'04 Prices'!G607/'04 Prices'!G606-1)</f>
        <v/>
      </c>
      <c r="H606" s="25">
        <f>IF(OR($A606="",'04 Prices'!H606="",'04 Prices'!H607=""),"",'04 Prices'!H607/'04 Prices'!H606-1)</f>
        <v/>
      </c>
    </row>
    <row r="607">
      <c r="A607" s="23">
        <f>IF('04 Prices'!A608="","",'04 Prices'!A608)</f>
        <v/>
      </c>
      <c r="B607" s="25">
        <f>IF(OR($A607="",'04 Prices'!B607="",'04 Prices'!B608=""),"",'04 Prices'!B608/'04 Prices'!B607-1)</f>
        <v/>
      </c>
      <c r="C607" s="25">
        <f>IF(OR($A607="",'04 Prices'!C607="",'04 Prices'!C608=""),"",'04 Prices'!C608/'04 Prices'!C607-1)</f>
        <v/>
      </c>
      <c r="D607" s="25">
        <f>IF(OR($A607="",'04 Prices'!D607="",'04 Prices'!D608=""),"",'04 Prices'!D608/'04 Prices'!D607-1)</f>
        <v/>
      </c>
      <c r="E607" s="25">
        <f>IF(OR($A607="",'04 Prices'!E607="",'04 Prices'!E608=""),"",'04 Prices'!E608/'04 Prices'!E607-1)</f>
        <v/>
      </c>
      <c r="F607" s="25">
        <f>IF(OR($A607="",'04 Prices'!F607="",'04 Prices'!F608=""),"",'04 Prices'!F608/'04 Prices'!F607-1)</f>
        <v/>
      </c>
      <c r="G607" s="25">
        <f>IF(OR($A607="",'04 Prices'!G607="",'04 Prices'!G608=""),"",'04 Prices'!G608/'04 Prices'!G607-1)</f>
        <v/>
      </c>
      <c r="H607" s="25">
        <f>IF(OR($A607="",'04 Prices'!H607="",'04 Prices'!H608=""),"",'04 Prices'!H608/'04 Prices'!H607-1)</f>
        <v/>
      </c>
    </row>
    <row r="608">
      <c r="A608" s="23">
        <f>IF('04 Prices'!A609="","",'04 Prices'!A609)</f>
        <v/>
      </c>
      <c r="B608" s="25">
        <f>IF(OR($A608="",'04 Prices'!B608="",'04 Prices'!B609=""),"",'04 Prices'!B609/'04 Prices'!B608-1)</f>
        <v/>
      </c>
      <c r="C608" s="25">
        <f>IF(OR($A608="",'04 Prices'!C608="",'04 Prices'!C609=""),"",'04 Prices'!C609/'04 Prices'!C608-1)</f>
        <v/>
      </c>
      <c r="D608" s="25">
        <f>IF(OR($A608="",'04 Prices'!D608="",'04 Prices'!D609=""),"",'04 Prices'!D609/'04 Prices'!D608-1)</f>
        <v/>
      </c>
      <c r="E608" s="25">
        <f>IF(OR($A608="",'04 Prices'!E608="",'04 Prices'!E609=""),"",'04 Prices'!E609/'04 Prices'!E608-1)</f>
        <v/>
      </c>
      <c r="F608" s="25">
        <f>IF(OR($A608="",'04 Prices'!F608="",'04 Prices'!F609=""),"",'04 Prices'!F609/'04 Prices'!F608-1)</f>
        <v/>
      </c>
      <c r="G608" s="25">
        <f>IF(OR($A608="",'04 Prices'!G608="",'04 Prices'!G609=""),"",'04 Prices'!G609/'04 Prices'!G608-1)</f>
        <v/>
      </c>
      <c r="H608" s="25">
        <f>IF(OR($A608="",'04 Prices'!H608="",'04 Prices'!H609=""),"",'04 Prices'!H609/'04 Prices'!H608-1)</f>
        <v/>
      </c>
    </row>
    <row r="609">
      <c r="A609" s="23">
        <f>IF('04 Prices'!A610="","",'04 Prices'!A610)</f>
        <v/>
      </c>
      <c r="B609" s="25">
        <f>IF(OR($A609="",'04 Prices'!B609="",'04 Prices'!B610=""),"",'04 Prices'!B610/'04 Prices'!B609-1)</f>
        <v/>
      </c>
      <c r="C609" s="25">
        <f>IF(OR($A609="",'04 Prices'!C609="",'04 Prices'!C610=""),"",'04 Prices'!C610/'04 Prices'!C609-1)</f>
        <v/>
      </c>
      <c r="D609" s="25">
        <f>IF(OR($A609="",'04 Prices'!D609="",'04 Prices'!D610=""),"",'04 Prices'!D610/'04 Prices'!D609-1)</f>
        <v/>
      </c>
      <c r="E609" s="25">
        <f>IF(OR($A609="",'04 Prices'!E609="",'04 Prices'!E610=""),"",'04 Prices'!E610/'04 Prices'!E609-1)</f>
        <v/>
      </c>
      <c r="F609" s="25">
        <f>IF(OR($A609="",'04 Prices'!F609="",'04 Prices'!F610=""),"",'04 Prices'!F610/'04 Prices'!F609-1)</f>
        <v/>
      </c>
      <c r="G609" s="25">
        <f>IF(OR($A609="",'04 Prices'!G609="",'04 Prices'!G610=""),"",'04 Prices'!G610/'04 Prices'!G609-1)</f>
        <v/>
      </c>
      <c r="H609" s="25">
        <f>IF(OR($A609="",'04 Prices'!H609="",'04 Prices'!H610=""),"",'04 Prices'!H610/'04 Prices'!H609-1)</f>
        <v/>
      </c>
    </row>
    <row r="610">
      <c r="A610" s="23">
        <f>IF('04 Prices'!A611="","",'04 Prices'!A611)</f>
        <v/>
      </c>
      <c r="B610" s="25">
        <f>IF(OR($A610="",'04 Prices'!B610="",'04 Prices'!B611=""),"",'04 Prices'!B611/'04 Prices'!B610-1)</f>
        <v/>
      </c>
      <c r="C610" s="25">
        <f>IF(OR($A610="",'04 Prices'!C610="",'04 Prices'!C611=""),"",'04 Prices'!C611/'04 Prices'!C610-1)</f>
        <v/>
      </c>
      <c r="D610" s="25">
        <f>IF(OR($A610="",'04 Prices'!D610="",'04 Prices'!D611=""),"",'04 Prices'!D611/'04 Prices'!D610-1)</f>
        <v/>
      </c>
      <c r="E610" s="25">
        <f>IF(OR($A610="",'04 Prices'!E610="",'04 Prices'!E611=""),"",'04 Prices'!E611/'04 Prices'!E610-1)</f>
        <v/>
      </c>
      <c r="F610" s="25">
        <f>IF(OR($A610="",'04 Prices'!F610="",'04 Prices'!F611=""),"",'04 Prices'!F611/'04 Prices'!F610-1)</f>
        <v/>
      </c>
      <c r="G610" s="25">
        <f>IF(OR($A610="",'04 Prices'!G610="",'04 Prices'!G611=""),"",'04 Prices'!G611/'04 Prices'!G610-1)</f>
        <v/>
      </c>
      <c r="H610" s="25">
        <f>IF(OR($A610="",'04 Prices'!H610="",'04 Prices'!H611=""),"",'04 Prices'!H611/'04 Prices'!H610-1)</f>
        <v/>
      </c>
    </row>
    <row r="611">
      <c r="A611" s="23">
        <f>IF('04 Prices'!A612="","",'04 Prices'!A612)</f>
        <v/>
      </c>
      <c r="B611" s="25">
        <f>IF(OR($A611="",'04 Prices'!B611="",'04 Prices'!B612=""),"",'04 Prices'!B612/'04 Prices'!B611-1)</f>
        <v/>
      </c>
      <c r="C611" s="25">
        <f>IF(OR($A611="",'04 Prices'!C611="",'04 Prices'!C612=""),"",'04 Prices'!C612/'04 Prices'!C611-1)</f>
        <v/>
      </c>
      <c r="D611" s="25">
        <f>IF(OR($A611="",'04 Prices'!D611="",'04 Prices'!D612=""),"",'04 Prices'!D612/'04 Prices'!D611-1)</f>
        <v/>
      </c>
      <c r="E611" s="25">
        <f>IF(OR($A611="",'04 Prices'!E611="",'04 Prices'!E612=""),"",'04 Prices'!E612/'04 Prices'!E611-1)</f>
        <v/>
      </c>
      <c r="F611" s="25">
        <f>IF(OR($A611="",'04 Prices'!F611="",'04 Prices'!F612=""),"",'04 Prices'!F612/'04 Prices'!F611-1)</f>
        <v/>
      </c>
      <c r="G611" s="25">
        <f>IF(OR($A611="",'04 Prices'!G611="",'04 Prices'!G612=""),"",'04 Prices'!G612/'04 Prices'!G611-1)</f>
        <v/>
      </c>
      <c r="H611" s="25">
        <f>IF(OR($A611="",'04 Prices'!H611="",'04 Prices'!H612=""),"",'04 Prices'!H612/'04 Prices'!H611-1)</f>
        <v/>
      </c>
    </row>
    <row r="612">
      <c r="A612" s="23">
        <f>IF('04 Prices'!A613="","",'04 Prices'!A613)</f>
        <v/>
      </c>
      <c r="B612" s="25">
        <f>IF(OR($A612="",'04 Prices'!B612="",'04 Prices'!B613=""),"",'04 Prices'!B613/'04 Prices'!B612-1)</f>
        <v/>
      </c>
      <c r="C612" s="25">
        <f>IF(OR($A612="",'04 Prices'!C612="",'04 Prices'!C613=""),"",'04 Prices'!C613/'04 Prices'!C612-1)</f>
        <v/>
      </c>
      <c r="D612" s="25">
        <f>IF(OR($A612="",'04 Prices'!D612="",'04 Prices'!D613=""),"",'04 Prices'!D613/'04 Prices'!D612-1)</f>
        <v/>
      </c>
      <c r="E612" s="25">
        <f>IF(OR($A612="",'04 Prices'!E612="",'04 Prices'!E613=""),"",'04 Prices'!E613/'04 Prices'!E612-1)</f>
        <v/>
      </c>
      <c r="F612" s="25">
        <f>IF(OR($A612="",'04 Prices'!F612="",'04 Prices'!F613=""),"",'04 Prices'!F613/'04 Prices'!F612-1)</f>
        <v/>
      </c>
      <c r="G612" s="25">
        <f>IF(OR($A612="",'04 Prices'!G612="",'04 Prices'!G613=""),"",'04 Prices'!G613/'04 Prices'!G612-1)</f>
        <v/>
      </c>
      <c r="H612" s="25">
        <f>IF(OR($A612="",'04 Prices'!H612="",'04 Prices'!H613=""),"",'04 Prices'!H613/'04 Prices'!H612-1)</f>
        <v/>
      </c>
    </row>
    <row r="613">
      <c r="A613" s="23">
        <f>IF('04 Prices'!A614="","",'04 Prices'!A614)</f>
        <v/>
      </c>
      <c r="B613" s="25">
        <f>IF(OR($A613="",'04 Prices'!B613="",'04 Prices'!B614=""),"",'04 Prices'!B614/'04 Prices'!B613-1)</f>
        <v/>
      </c>
      <c r="C613" s="25">
        <f>IF(OR($A613="",'04 Prices'!C613="",'04 Prices'!C614=""),"",'04 Prices'!C614/'04 Prices'!C613-1)</f>
        <v/>
      </c>
      <c r="D613" s="25">
        <f>IF(OR($A613="",'04 Prices'!D613="",'04 Prices'!D614=""),"",'04 Prices'!D614/'04 Prices'!D613-1)</f>
        <v/>
      </c>
      <c r="E613" s="25">
        <f>IF(OR($A613="",'04 Prices'!E613="",'04 Prices'!E614=""),"",'04 Prices'!E614/'04 Prices'!E613-1)</f>
        <v/>
      </c>
      <c r="F613" s="25">
        <f>IF(OR($A613="",'04 Prices'!F613="",'04 Prices'!F614=""),"",'04 Prices'!F614/'04 Prices'!F613-1)</f>
        <v/>
      </c>
      <c r="G613" s="25">
        <f>IF(OR($A613="",'04 Prices'!G613="",'04 Prices'!G614=""),"",'04 Prices'!G614/'04 Prices'!G613-1)</f>
        <v/>
      </c>
      <c r="H613" s="25">
        <f>IF(OR($A613="",'04 Prices'!H613="",'04 Prices'!H614=""),"",'04 Prices'!H614/'04 Prices'!H613-1)</f>
        <v/>
      </c>
    </row>
    <row r="614">
      <c r="A614" s="23">
        <f>IF('04 Prices'!A615="","",'04 Prices'!A615)</f>
        <v/>
      </c>
      <c r="B614" s="25">
        <f>IF(OR($A614="",'04 Prices'!B614="",'04 Prices'!B615=""),"",'04 Prices'!B615/'04 Prices'!B614-1)</f>
        <v/>
      </c>
      <c r="C614" s="25">
        <f>IF(OR($A614="",'04 Prices'!C614="",'04 Prices'!C615=""),"",'04 Prices'!C615/'04 Prices'!C614-1)</f>
        <v/>
      </c>
      <c r="D614" s="25">
        <f>IF(OR($A614="",'04 Prices'!D614="",'04 Prices'!D615=""),"",'04 Prices'!D615/'04 Prices'!D614-1)</f>
        <v/>
      </c>
      <c r="E614" s="25">
        <f>IF(OR($A614="",'04 Prices'!E614="",'04 Prices'!E615=""),"",'04 Prices'!E615/'04 Prices'!E614-1)</f>
        <v/>
      </c>
      <c r="F614" s="25">
        <f>IF(OR($A614="",'04 Prices'!F614="",'04 Prices'!F615=""),"",'04 Prices'!F615/'04 Prices'!F614-1)</f>
        <v/>
      </c>
      <c r="G614" s="25">
        <f>IF(OR($A614="",'04 Prices'!G614="",'04 Prices'!G615=""),"",'04 Prices'!G615/'04 Prices'!G614-1)</f>
        <v/>
      </c>
      <c r="H614" s="25">
        <f>IF(OR($A614="",'04 Prices'!H614="",'04 Prices'!H615=""),"",'04 Prices'!H615/'04 Prices'!H614-1)</f>
        <v/>
      </c>
    </row>
    <row r="615">
      <c r="A615" s="23">
        <f>IF('04 Prices'!A616="","",'04 Prices'!A616)</f>
        <v/>
      </c>
      <c r="B615" s="25">
        <f>IF(OR($A615="",'04 Prices'!B615="",'04 Prices'!B616=""),"",'04 Prices'!B616/'04 Prices'!B615-1)</f>
        <v/>
      </c>
      <c r="C615" s="25">
        <f>IF(OR($A615="",'04 Prices'!C615="",'04 Prices'!C616=""),"",'04 Prices'!C616/'04 Prices'!C615-1)</f>
        <v/>
      </c>
      <c r="D615" s="25">
        <f>IF(OR($A615="",'04 Prices'!D615="",'04 Prices'!D616=""),"",'04 Prices'!D616/'04 Prices'!D615-1)</f>
        <v/>
      </c>
      <c r="E615" s="25">
        <f>IF(OR($A615="",'04 Prices'!E615="",'04 Prices'!E616=""),"",'04 Prices'!E616/'04 Prices'!E615-1)</f>
        <v/>
      </c>
      <c r="F615" s="25">
        <f>IF(OR($A615="",'04 Prices'!F615="",'04 Prices'!F616=""),"",'04 Prices'!F616/'04 Prices'!F615-1)</f>
        <v/>
      </c>
      <c r="G615" s="25">
        <f>IF(OR($A615="",'04 Prices'!G615="",'04 Prices'!G616=""),"",'04 Prices'!G616/'04 Prices'!G615-1)</f>
        <v/>
      </c>
      <c r="H615" s="25">
        <f>IF(OR($A615="",'04 Prices'!H615="",'04 Prices'!H616=""),"",'04 Prices'!H616/'04 Prices'!H615-1)</f>
        <v/>
      </c>
    </row>
    <row r="616">
      <c r="A616" s="23">
        <f>IF('04 Prices'!A617="","",'04 Prices'!A617)</f>
        <v/>
      </c>
      <c r="B616" s="25">
        <f>IF(OR($A616="",'04 Prices'!B616="",'04 Prices'!B617=""),"",'04 Prices'!B617/'04 Prices'!B616-1)</f>
        <v/>
      </c>
      <c r="C616" s="25">
        <f>IF(OR($A616="",'04 Prices'!C616="",'04 Prices'!C617=""),"",'04 Prices'!C617/'04 Prices'!C616-1)</f>
        <v/>
      </c>
      <c r="D616" s="25">
        <f>IF(OR($A616="",'04 Prices'!D616="",'04 Prices'!D617=""),"",'04 Prices'!D617/'04 Prices'!D616-1)</f>
        <v/>
      </c>
      <c r="E616" s="25">
        <f>IF(OR($A616="",'04 Prices'!E616="",'04 Prices'!E617=""),"",'04 Prices'!E617/'04 Prices'!E616-1)</f>
        <v/>
      </c>
      <c r="F616" s="25">
        <f>IF(OR($A616="",'04 Prices'!F616="",'04 Prices'!F617=""),"",'04 Prices'!F617/'04 Prices'!F616-1)</f>
        <v/>
      </c>
      <c r="G616" s="25">
        <f>IF(OR($A616="",'04 Prices'!G616="",'04 Prices'!G617=""),"",'04 Prices'!G617/'04 Prices'!G616-1)</f>
        <v/>
      </c>
      <c r="H616" s="25">
        <f>IF(OR($A616="",'04 Prices'!H616="",'04 Prices'!H617=""),"",'04 Prices'!H617/'04 Prices'!H616-1)</f>
        <v/>
      </c>
    </row>
    <row r="617">
      <c r="A617" s="23">
        <f>IF('04 Prices'!A618="","",'04 Prices'!A618)</f>
        <v/>
      </c>
      <c r="B617" s="25">
        <f>IF(OR($A617="",'04 Prices'!B617="",'04 Prices'!B618=""),"",'04 Prices'!B618/'04 Prices'!B617-1)</f>
        <v/>
      </c>
      <c r="C617" s="25">
        <f>IF(OR($A617="",'04 Prices'!C617="",'04 Prices'!C618=""),"",'04 Prices'!C618/'04 Prices'!C617-1)</f>
        <v/>
      </c>
      <c r="D617" s="25">
        <f>IF(OR($A617="",'04 Prices'!D617="",'04 Prices'!D618=""),"",'04 Prices'!D618/'04 Prices'!D617-1)</f>
        <v/>
      </c>
      <c r="E617" s="25">
        <f>IF(OR($A617="",'04 Prices'!E617="",'04 Prices'!E618=""),"",'04 Prices'!E618/'04 Prices'!E617-1)</f>
        <v/>
      </c>
      <c r="F617" s="25">
        <f>IF(OR($A617="",'04 Prices'!F617="",'04 Prices'!F618=""),"",'04 Prices'!F618/'04 Prices'!F617-1)</f>
        <v/>
      </c>
      <c r="G617" s="25">
        <f>IF(OR($A617="",'04 Prices'!G617="",'04 Prices'!G618=""),"",'04 Prices'!G618/'04 Prices'!G617-1)</f>
        <v/>
      </c>
      <c r="H617" s="25">
        <f>IF(OR($A617="",'04 Prices'!H617="",'04 Prices'!H618=""),"",'04 Prices'!H618/'04 Prices'!H617-1)</f>
        <v/>
      </c>
    </row>
    <row r="618">
      <c r="A618" s="23">
        <f>IF('04 Prices'!A619="","",'04 Prices'!A619)</f>
        <v/>
      </c>
      <c r="B618" s="25">
        <f>IF(OR($A618="",'04 Prices'!B618="",'04 Prices'!B619=""),"",'04 Prices'!B619/'04 Prices'!B618-1)</f>
        <v/>
      </c>
      <c r="C618" s="25">
        <f>IF(OR($A618="",'04 Prices'!C618="",'04 Prices'!C619=""),"",'04 Prices'!C619/'04 Prices'!C618-1)</f>
        <v/>
      </c>
      <c r="D618" s="25">
        <f>IF(OR($A618="",'04 Prices'!D618="",'04 Prices'!D619=""),"",'04 Prices'!D619/'04 Prices'!D618-1)</f>
        <v/>
      </c>
      <c r="E618" s="25">
        <f>IF(OR($A618="",'04 Prices'!E618="",'04 Prices'!E619=""),"",'04 Prices'!E619/'04 Prices'!E618-1)</f>
        <v/>
      </c>
      <c r="F618" s="25">
        <f>IF(OR($A618="",'04 Prices'!F618="",'04 Prices'!F619=""),"",'04 Prices'!F619/'04 Prices'!F618-1)</f>
        <v/>
      </c>
      <c r="G618" s="25">
        <f>IF(OR($A618="",'04 Prices'!G618="",'04 Prices'!G619=""),"",'04 Prices'!G619/'04 Prices'!G618-1)</f>
        <v/>
      </c>
      <c r="H618" s="25">
        <f>IF(OR($A618="",'04 Prices'!H618="",'04 Prices'!H619=""),"",'04 Prices'!H619/'04 Prices'!H618-1)</f>
        <v/>
      </c>
    </row>
    <row r="619">
      <c r="A619" s="23">
        <f>IF('04 Prices'!A620="","",'04 Prices'!A620)</f>
        <v/>
      </c>
      <c r="B619" s="25">
        <f>IF(OR($A619="",'04 Prices'!B619="",'04 Prices'!B620=""),"",'04 Prices'!B620/'04 Prices'!B619-1)</f>
        <v/>
      </c>
      <c r="C619" s="25">
        <f>IF(OR($A619="",'04 Prices'!C619="",'04 Prices'!C620=""),"",'04 Prices'!C620/'04 Prices'!C619-1)</f>
        <v/>
      </c>
      <c r="D619" s="25">
        <f>IF(OR($A619="",'04 Prices'!D619="",'04 Prices'!D620=""),"",'04 Prices'!D620/'04 Prices'!D619-1)</f>
        <v/>
      </c>
      <c r="E619" s="25">
        <f>IF(OR($A619="",'04 Prices'!E619="",'04 Prices'!E620=""),"",'04 Prices'!E620/'04 Prices'!E619-1)</f>
        <v/>
      </c>
      <c r="F619" s="25">
        <f>IF(OR($A619="",'04 Prices'!F619="",'04 Prices'!F620=""),"",'04 Prices'!F620/'04 Prices'!F619-1)</f>
        <v/>
      </c>
      <c r="G619" s="25">
        <f>IF(OR($A619="",'04 Prices'!G619="",'04 Prices'!G620=""),"",'04 Prices'!G620/'04 Prices'!G619-1)</f>
        <v/>
      </c>
      <c r="H619" s="25">
        <f>IF(OR($A619="",'04 Prices'!H619="",'04 Prices'!H620=""),"",'04 Prices'!H620/'04 Prices'!H619-1)</f>
        <v/>
      </c>
    </row>
    <row r="620">
      <c r="A620" s="23">
        <f>IF('04 Prices'!A621="","",'04 Prices'!A621)</f>
        <v/>
      </c>
      <c r="B620" s="25">
        <f>IF(OR($A620="",'04 Prices'!B620="",'04 Prices'!B621=""),"",'04 Prices'!B621/'04 Prices'!B620-1)</f>
        <v/>
      </c>
      <c r="C620" s="25">
        <f>IF(OR($A620="",'04 Prices'!C620="",'04 Prices'!C621=""),"",'04 Prices'!C621/'04 Prices'!C620-1)</f>
        <v/>
      </c>
      <c r="D620" s="25">
        <f>IF(OR($A620="",'04 Prices'!D620="",'04 Prices'!D621=""),"",'04 Prices'!D621/'04 Prices'!D620-1)</f>
        <v/>
      </c>
      <c r="E620" s="25">
        <f>IF(OR($A620="",'04 Prices'!E620="",'04 Prices'!E621=""),"",'04 Prices'!E621/'04 Prices'!E620-1)</f>
        <v/>
      </c>
      <c r="F620" s="25">
        <f>IF(OR($A620="",'04 Prices'!F620="",'04 Prices'!F621=""),"",'04 Prices'!F621/'04 Prices'!F620-1)</f>
        <v/>
      </c>
      <c r="G620" s="25">
        <f>IF(OR($A620="",'04 Prices'!G620="",'04 Prices'!G621=""),"",'04 Prices'!G621/'04 Prices'!G620-1)</f>
        <v/>
      </c>
      <c r="H620" s="25">
        <f>IF(OR($A620="",'04 Prices'!H620="",'04 Prices'!H621=""),"",'04 Prices'!H621/'04 Prices'!H620-1)</f>
        <v/>
      </c>
    </row>
    <row r="621">
      <c r="A621" s="23">
        <f>IF('04 Prices'!A622="","",'04 Prices'!A622)</f>
        <v/>
      </c>
      <c r="B621" s="25">
        <f>IF(OR($A621="",'04 Prices'!B621="",'04 Prices'!B622=""),"",'04 Prices'!B622/'04 Prices'!B621-1)</f>
        <v/>
      </c>
      <c r="C621" s="25">
        <f>IF(OR($A621="",'04 Prices'!C621="",'04 Prices'!C622=""),"",'04 Prices'!C622/'04 Prices'!C621-1)</f>
        <v/>
      </c>
      <c r="D621" s="25">
        <f>IF(OR($A621="",'04 Prices'!D621="",'04 Prices'!D622=""),"",'04 Prices'!D622/'04 Prices'!D621-1)</f>
        <v/>
      </c>
      <c r="E621" s="25">
        <f>IF(OR($A621="",'04 Prices'!E621="",'04 Prices'!E622=""),"",'04 Prices'!E622/'04 Prices'!E621-1)</f>
        <v/>
      </c>
      <c r="F621" s="25">
        <f>IF(OR($A621="",'04 Prices'!F621="",'04 Prices'!F622=""),"",'04 Prices'!F622/'04 Prices'!F621-1)</f>
        <v/>
      </c>
      <c r="G621" s="25">
        <f>IF(OR($A621="",'04 Prices'!G621="",'04 Prices'!G622=""),"",'04 Prices'!G622/'04 Prices'!G621-1)</f>
        <v/>
      </c>
      <c r="H621" s="25">
        <f>IF(OR($A621="",'04 Prices'!H621="",'04 Prices'!H622=""),"",'04 Prices'!H622/'04 Prices'!H621-1)</f>
        <v/>
      </c>
    </row>
    <row r="622">
      <c r="A622" s="23">
        <f>IF('04 Prices'!A623="","",'04 Prices'!A623)</f>
        <v/>
      </c>
      <c r="B622" s="25">
        <f>IF(OR($A622="",'04 Prices'!B622="",'04 Prices'!B623=""),"",'04 Prices'!B623/'04 Prices'!B622-1)</f>
        <v/>
      </c>
      <c r="C622" s="25">
        <f>IF(OR($A622="",'04 Prices'!C622="",'04 Prices'!C623=""),"",'04 Prices'!C623/'04 Prices'!C622-1)</f>
        <v/>
      </c>
      <c r="D622" s="25">
        <f>IF(OR($A622="",'04 Prices'!D622="",'04 Prices'!D623=""),"",'04 Prices'!D623/'04 Prices'!D622-1)</f>
        <v/>
      </c>
      <c r="E622" s="25">
        <f>IF(OR($A622="",'04 Prices'!E622="",'04 Prices'!E623=""),"",'04 Prices'!E623/'04 Prices'!E622-1)</f>
        <v/>
      </c>
      <c r="F622" s="25">
        <f>IF(OR($A622="",'04 Prices'!F622="",'04 Prices'!F623=""),"",'04 Prices'!F623/'04 Prices'!F622-1)</f>
        <v/>
      </c>
      <c r="G622" s="25">
        <f>IF(OR($A622="",'04 Prices'!G622="",'04 Prices'!G623=""),"",'04 Prices'!G623/'04 Prices'!G622-1)</f>
        <v/>
      </c>
      <c r="H622" s="25">
        <f>IF(OR($A622="",'04 Prices'!H622="",'04 Prices'!H623=""),"",'04 Prices'!H623/'04 Prices'!H622-1)</f>
        <v/>
      </c>
    </row>
    <row r="623">
      <c r="A623" s="23">
        <f>IF('04 Prices'!A624="","",'04 Prices'!A624)</f>
        <v/>
      </c>
      <c r="B623" s="25">
        <f>IF(OR($A623="",'04 Prices'!B623="",'04 Prices'!B624=""),"",'04 Prices'!B624/'04 Prices'!B623-1)</f>
        <v/>
      </c>
      <c r="C623" s="25">
        <f>IF(OR($A623="",'04 Prices'!C623="",'04 Prices'!C624=""),"",'04 Prices'!C624/'04 Prices'!C623-1)</f>
        <v/>
      </c>
      <c r="D623" s="25">
        <f>IF(OR($A623="",'04 Prices'!D623="",'04 Prices'!D624=""),"",'04 Prices'!D624/'04 Prices'!D623-1)</f>
        <v/>
      </c>
      <c r="E623" s="25">
        <f>IF(OR($A623="",'04 Prices'!E623="",'04 Prices'!E624=""),"",'04 Prices'!E624/'04 Prices'!E623-1)</f>
        <v/>
      </c>
      <c r="F623" s="25">
        <f>IF(OR($A623="",'04 Prices'!F623="",'04 Prices'!F624=""),"",'04 Prices'!F624/'04 Prices'!F623-1)</f>
        <v/>
      </c>
      <c r="G623" s="25">
        <f>IF(OR($A623="",'04 Prices'!G623="",'04 Prices'!G624=""),"",'04 Prices'!G624/'04 Prices'!G623-1)</f>
        <v/>
      </c>
      <c r="H623" s="25">
        <f>IF(OR($A623="",'04 Prices'!H623="",'04 Prices'!H624=""),"",'04 Prices'!H624/'04 Prices'!H623-1)</f>
        <v/>
      </c>
    </row>
    <row r="624">
      <c r="A624" s="23">
        <f>IF('04 Prices'!A625="","",'04 Prices'!A625)</f>
        <v/>
      </c>
      <c r="B624" s="25">
        <f>IF(OR($A624="",'04 Prices'!B624="",'04 Prices'!B625=""),"",'04 Prices'!B625/'04 Prices'!B624-1)</f>
        <v/>
      </c>
      <c r="C624" s="25">
        <f>IF(OR($A624="",'04 Prices'!C624="",'04 Prices'!C625=""),"",'04 Prices'!C625/'04 Prices'!C624-1)</f>
        <v/>
      </c>
      <c r="D624" s="25">
        <f>IF(OR($A624="",'04 Prices'!D624="",'04 Prices'!D625=""),"",'04 Prices'!D625/'04 Prices'!D624-1)</f>
        <v/>
      </c>
      <c r="E624" s="25">
        <f>IF(OR($A624="",'04 Prices'!E624="",'04 Prices'!E625=""),"",'04 Prices'!E625/'04 Prices'!E624-1)</f>
        <v/>
      </c>
      <c r="F624" s="25">
        <f>IF(OR($A624="",'04 Prices'!F624="",'04 Prices'!F625=""),"",'04 Prices'!F625/'04 Prices'!F624-1)</f>
        <v/>
      </c>
      <c r="G624" s="25">
        <f>IF(OR($A624="",'04 Prices'!G624="",'04 Prices'!G625=""),"",'04 Prices'!G625/'04 Prices'!G624-1)</f>
        <v/>
      </c>
      <c r="H624" s="25">
        <f>IF(OR($A624="",'04 Prices'!H624="",'04 Prices'!H625=""),"",'04 Prices'!H625/'04 Prices'!H624-1)</f>
        <v/>
      </c>
    </row>
    <row r="625">
      <c r="A625" s="23">
        <f>IF('04 Prices'!A626="","",'04 Prices'!A626)</f>
        <v/>
      </c>
      <c r="B625" s="25">
        <f>IF(OR($A625="",'04 Prices'!B625="",'04 Prices'!B626=""),"",'04 Prices'!B626/'04 Prices'!B625-1)</f>
        <v/>
      </c>
      <c r="C625" s="25">
        <f>IF(OR($A625="",'04 Prices'!C625="",'04 Prices'!C626=""),"",'04 Prices'!C626/'04 Prices'!C625-1)</f>
        <v/>
      </c>
      <c r="D625" s="25">
        <f>IF(OR($A625="",'04 Prices'!D625="",'04 Prices'!D626=""),"",'04 Prices'!D626/'04 Prices'!D625-1)</f>
        <v/>
      </c>
      <c r="E625" s="25">
        <f>IF(OR($A625="",'04 Prices'!E625="",'04 Prices'!E626=""),"",'04 Prices'!E626/'04 Prices'!E625-1)</f>
        <v/>
      </c>
      <c r="F625" s="25">
        <f>IF(OR($A625="",'04 Prices'!F625="",'04 Prices'!F626=""),"",'04 Prices'!F626/'04 Prices'!F625-1)</f>
        <v/>
      </c>
      <c r="G625" s="25">
        <f>IF(OR($A625="",'04 Prices'!G625="",'04 Prices'!G626=""),"",'04 Prices'!G626/'04 Prices'!G625-1)</f>
        <v/>
      </c>
      <c r="H625" s="25">
        <f>IF(OR($A625="",'04 Prices'!H625="",'04 Prices'!H626=""),"",'04 Prices'!H626/'04 Prices'!H625-1)</f>
        <v/>
      </c>
    </row>
    <row r="626">
      <c r="A626" s="23">
        <f>IF('04 Prices'!A627="","",'04 Prices'!A627)</f>
        <v/>
      </c>
      <c r="B626" s="25">
        <f>IF(OR($A626="",'04 Prices'!B626="",'04 Prices'!B627=""),"",'04 Prices'!B627/'04 Prices'!B626-1)</f>
        <v/>
      </c>
      <c r="C626" s="25">
        <f>IF(OR($A626="",'04 Prices'!C626="",'04 Prices'!C627=""),"",'04 Prices'!C627/'04 Prices'!C626-1)</f>
        <v/>
      </c>
      <c r="D626" s="25">
        <f>IF(OR($A626="",'04 Prices'!D626="",'04 Prices'!D627=""),"",'04 Prices'!D627/'04 Prices'!D626-1)</f>
        <v/>
      </c>
      <c r="E626" s="25">
        <f>IF(OR($A626="",'04 Prices'!E626="",'04 Prices'!E627=""),"",'04 Prices'!E627/'04 Prices'!E626-1)</f>
        <v/>
      </c>
      <c r="F626" s="25">
        <f>IF(OR($A626="",'04 Prices'!F626="",'04 Prices'!F627=""),"",'04 Prices'!F627/'04 Prices'!F626-1)</f>
        <v/>
      </c>
      <c r="G626" s="25">
        <f>IF(OR($A626="",'04 Prices'!G626="",'04 Prices'!G627=""),"",'04 Prices'!G627/'04 Prices'!G626-1)</f>
        <v/>
      </c>
      <c r="H626" s="25">
        <f>IF(OR($A626="",'04 Prices'!H626="",'04 Prices'!H627=""),"",'04 Prices'!H627/'04 Prices'!H626-1)</f>
        <v/>
      </c>
    </row>
    <row r="627">
      <c r="A627" s="23">
        <f>IF('04 Prices'!A628="","",'04 Prices'!A628)</f>
        <v/>
      </c>
      <c r="B627" s="25">
        <f>IF(OR($A627="",'04 Prices'!B627="",'04 Prices'!B628=""),"",'04 Prices'!B628/'04 Prices'!B627-1)</f>
        <v/>
      </c>
      <c r="C627" s="25">
        <f>IF(OR($A627="",'04 Prices'!C627="",'04 Prices'!C628=""),"",'04 Prices'!C628/'04 Prices'!C627-1)</f>
        <v/>
      </c>
      <c r="D627" s="25">
        <f>IF(OR($A627="",'04 Prices'!D627="",'04 Prices'!D628=""),"",'04 Prices'!D628/'04 Prices'!D627-1)</f>
        <v/>
      </c>
      <c r="E627" s="25">
        <f>IF(OR($A627="",'04 Prices'!E627="",'04 Prices'!E628=""),"",'04 Prices'!E628/'04 Prices'!E627-1)</f>
        <v/>
      </c>
      <c r="F627" s="25">
        <f>IF(OR($A627="",'04 Prices'!F627="",'04 Prices'!F628=""),"",'04 Prices'!F628/'04 Prices'!F627-1)</f>
        <v/>
      </c>
      <c r="G627" s="25">
        <f>IF(OR($A627="",'04 Prices'!G627="",'04 Prices'!G628=""),"",'04 Prices'!G628/'04 Prices'!G627-1)</f>
        <v/>
      </c>
      <c r="H627" s="25">
        <f>IF(OR($A627="",'04 Prices'!H627="",'04 Prices'!H628=""),"",'04 Prices'!H628/'04 Prices'!H627-1)</f>
        <v/>
      </c>
    </row>
    <row r="628">
      <c r="A628" s="23">
        <f>IF('04 Prices'!A629="","",'04 Prices'!A629)</f>
        <v/>
      </c>
      <c r="B628" s="25">
        <f>IF(OR($A628="",'04 Prices'!B628="",'04 Prices'!B629=""),"",'04 Prices'!B629/'04 Prices'!B628-1)</f>
        <v/>
      </c>
      <c r="C628" s="25">
        <f>IF(OR($A628="",'04 Prices'!C628="",'04 Prices'!C629=""),"",'04 Prices'!C629/'04 Prices'!C628-1)</f>
        <v/>
      </c>
      <c r="D628" s="25">
        <f>IF(OR($A628="",'04 Prices'!D628="",'04 Prices'!D629=""),"",'04 Prices'!D629/'04 Prices'!D628-1)</f>
        <v/>
      </c>
      <c r="E628" s="25">
        <f>IF(OR($A628="",'04 Prices'!E628="",'04 Prices'!E629=""),"",'04 Prices'!E629/'04 Prices'!E628-1)</f>
        <v/>
      </c>
      <c r="F628" s="25">
        <f>IF(OR($A628="",'04 Prices'!F628="",'04 Prices'!F629=""),"",'04 Prices'!F629/'04 Prices'!F628-1)</f>
        <v/>
      </c>
      <c r="G628" s="25">
        <f>IF(OR($A628="",'04 Prices'!G628="",'04 Prices'!G629=""),"",'04 Prices'!G629/'04 Prices'!G628-1)</f>
        <v/>
      </c>
      <c r="H628" s="25">
        <f>IF(OR($A628="",'04 Prices'!H628="",'04 Prices'!H629=""),"",'04 Prices'!H629/'04 Prices'!H628-1)</f>
        <v/>
      </c>
    </row>
    <row r="629">
      <c r="A629" s="23">
        <f>IF('04 Prices'!A630="","",'04 Prices'!A630)</f>
        <v/>
      </c>
      <c r="B629" s="25">
        <f>IF(OR($A629="",'04 Prices'!B629="",'04 Prices'!B630=""),"",'04 Prices'!B630/'04 Prices'!B629-1)</f>
        <v/>
      </c>
      <c r="C629" s="25">
        <f>IF(OR($A629="",'04 Prices'!C629="",'04 Prices'!C630=""),"",'04 Prices'!C630/'04 Prices'!C629-1)</f>
        <v/>
      </c>
      <c r="D629" s="25">
        <f>IF(OR($A629="",'04 Prices'!D629="",'04 Prices'!D630=""),"",'04 Prices'!D630/'04 Prices'!D629-1)</f>
        <v/>
      </c>
      <c r="E629" s="25">
        <f>IF(OR($A629="",'04 Prices'!E629="",'04 Prices'!E630=""),"",'04 Prices'!E630/'04 Prices'!E629-1)</f>
        <v/>
      </c>
      <c r="F629" s="25">
        <f>IF(OR($A629="",'04 Prices'!F629="",'04 Prices'!F630=""),"",'04 Prices'!F630/'04 Prices'!F629-1)</f>
        <v/>
      </c>
      <c r="G629" s="25">
        <f>IF(OR($A629="",'04 Prices'!G629="",'04 Prices'!G630=""),"",'04 Prices'!G630/'04 Prices'!G629-1)</f>
        <v/>
      </c>
      <c r="H629" s="25">
        <f>IF(OR($A629="",'04 Prices'!H629="",'04 Prices'!H630=""),"",'04 Prices'!H630/'04 Prices'!H629-1)</f>
        <v/>
      </c>
    </row>
    <row r="630">
      <c r="A630" s="23">
        <f>IF('04 Prices'!A631="","",'04 Prices'!A631)</f>
        <v/>
      </c>
      <c r="B630" s="25">
        <f>IF(OR($A630="",'04 Prices'!B630="",'04 Prices'!B631=""),"",'04 Prices'!B631/'04 Prices'!B630-1)</f>
        <v/>
      </c>
      <c r="C630" s="25">
        <f>IF(OR($A630="",'04 Prices'!C630="",'04 Prices'!C631=""),"",'04 Prices'!C631/'04 Prices'!C630-1)</f>
        <v/>
      </c>
      <c r="D630" s="25">
        <f>IF(OR($A630="",'04 Prices'!D630="",'04 Prices'!D631=""),"",'04 Prices'!D631/'04 Prices'!D630-1)</f>
        <v/>
      </c>
      <c r="E630" s="25">
        <f>IF(OR($A630="",'04 Prices'!E630="",'04 Prices'!E631=""),"",'04 Prices'!E631/'04 Prices'!E630-1)</f>
        <v/>
      </c>
      <c r="F630" s="25">
        <f>IF(OR($A630="",'04 Prices'!F630="",'04 Prices'!F631=""),"",'04 Prices'!F631/'04 Prices'!F630-1)</f>
        <v/>
      </c>
      <c r="G630" s="25">
        <f>IF(OR($A630="",'04 Prices'!G630="",'04 Prices'!G631=""),"",'04 Prices'!G631/'04 Prices'!G630-1)</f>
        <v/>
      </c>
      <c r="H630" s="25">
        <f>IF(OR($A630="",'04 Prices'!H630="",'04 Prices'!H631=""),"",'04 Prices'!H631/'04 Prices'!H630-1)</f>
        <v/>
      </c>
    </row>
    <row r="631">
      <c r="A631" s="23">
        <f>IF('04 Prices'!A632="","",'04 Prices'!A632)</f>
        <v/>
      </c>
      <c r="B631" s="25">
        <f>IF(OR($A631="",'04 Prices'!B631="",'04 Prices'!B632=""),"",'04 Prices'!B632/'04 Prices'!B631-1)</f>
        <v/>
      </c>
      <c r="C631" s="25">
        <f>IF(OR($A631="",'04 Prices'!C631="",'04 Prices'!C632=""),"",'04 Prices'!C632/'04 Prices'!C631-1)</f>
        <v/>
      </c>
      <c r="D631" s="25">
        <f>IF(OR($A631="",'04 Prices'!D631="",'04 Prices'!D632=""),"",'04 Prices'!D632/'04 Prices'!D631-1)</f>
        <v/>
      </c>
      <c r="E631" s="25">
        <f>IF(OR($A631="",'04 Prices'!E631="",'04 Prices'!E632=""),"",'04 Prices'!E632/'04 Prices'!E631-1)</f>
        <v/>
      </c>
      <c r="F631" s="25">
        <f>IF(OR($A631="",'04 Prices'!F631="",'04 Prices'!F632=""),"",'04 Prices'!F632/'04 Prices'!F631-1)</f>
        <v/>
      </c>
      <c r="G631" s="25">
        <f>IF(OR($A631="",'04 Prices'!G631="",'04 Prices'!G632=""),"",'04 Prices'!G632/'04 Prices'!G631-1)</f>
        <v/>
      </c>
      <c r="H631" s="25">
        <f>IF(OR($A631="",'04 Prices'!H631="",'04 Prices'!H632=""),"",'04 Prices'!H632/'04 Prices'!H631-1)</f>
        <v/>
      </c>
    </row>
    <row r="632">
      <c r="A632" s="23">
        <f>IF('04 Prices'!A633="","",'04 Prices'!A633)</f>
        <v/>
      </c>
      <c r="B632" s="25">
        <f>IF(OR($A632="",'04 Prices'!B632="",'04 Prices'!B633=""),"",'04 Prices'!B633/'04 Prices'!B632-1)</f>
        <v/>
      </c>
      <c r="C632" s="25">
        <f>IF(OR($A632="",'04 Prices'!C632="",'04 Prices'!C633=""),"",'04 Prices'!C633/'04 Prices'!C632-1)</f>
        <v/>
      </c>
      <c r="D632" s="25">
        <f>IF(OR($A632="",'04 Prices'!D632="",'04 Prices'!D633=""),"",'04 Prices'!D633/'04 Prices'!D632-1)</f>
        <v/>
      </c>
      <c r="E632" s="25">
        <f>IF(OR($A632="",'04 Prices'!E632="",'04 Prices'!E633=""),"",'04 Prices'!E633/'04 Prices'!E632-1)</f>
        <v/>
      </c>
      <c r="F632" s="25">
        <f>IF(OR($A632="",'04 Prices'!F632="",'04 Prices'!F633=""),"",'04 Prices'!F633/'04 Prices'!F632-1)</f>
        <v/>
      </c>
      <c r="G632" s="25">
        <f>IF(OR($A632="",'04 Prices'!G632="",'04 Prices'!G633=""),"",'04 Prices'!G633/'04 Prices'!G632-1)</f>
        <v/>
      </c>
      <c r="H632" s="25">
        <f>IF(OR($A632="",'04 Prices'!H632="",'04 Prices'!H633=""),"",'04 Prices'!H633/'04 Prices'!H632-1)</f>
        <v/>
      </c>
    </row>
    <row r="633">
      <c r="A633" s="23">
        <f>IF('04 Prices'!A634="","",'04 Prices'!A634)</f>
        <v/>
      </c>
      <c r="B633" s="25">
        <f>IF(OR($A633="",'04 Prices'!B633="",'04 Prices'!B634=""),"",'04 Prices'!B634/'04 Prices'!B633-1)</f>
        <v/>
      </c>
      <c r="C633" s="25">
        <f>IF(OR($A633="",'04 Prices'!C633="",'04 Prices'!C634=""),"",'04 Prices'!C634/'04 Prices'!C633-1)</f>
        <v/>
      </c>
      <c r="D633" s="25">
        <f>IF(OR($A633="",'04 Prices'!D633="",'04 Prices'!D634=""),"",'04 Prices'!D634/'04 Prices'!D633-1)</f>
        <v/>
      </c>
      <c r="E633" s="25">
        <f>IF(OR($A633="",'04 Prices'!E633="",'04 Prices'!E634=""),"",'04 Prices'!E634/'04 Prices'!E633-1)</f>
        <v/>
      </c>
      <c r="F633" s="25">
        <f>IF(OR($A633="",'04 Prices'!F633="",'04 Prices'!F634=""),"",'04 Prices'!F634/'04 Prices'!F633-1)</f>
        <v/>
      </c>
      <c r="G633" s="25">
        <f>IF(OR($A633="",'04 Prices'!G633="",'04 Prices'!G634=""),"",'04 Prices'!G634/'04 Prices'!G633-1)</f>
        <v/>
      </c>
      <c r="H633" s="25">
        <f>IF(OR($A633="",'04 Prices'!H633="",'04 Prices'!H634=""),"",'04 Prices'!H634/'04 Prices'!H633-1)</f>
        <v/>
      </c>
    </row>
    <row r="634">
      <c r="A634" s="23">
        <f>IF('04 Prices'!A635="","",'04 Prices'!A635)</f>
        <v/>
      </c>
      <c r="B634" s="25">
        <f>IF(OR($A634="",'04 Prices'!B634="",'04 Prices'!B635=""),"",'04 Prices'!B635/'04 Prices'!B634-1)</f>
        <v/>
      </c>
      <c r="C634" s="25">
        <f>IF(OR($A634="",'04 Prices'!C634="",'04 Prices'!C635=""),"",'04 Prices'!C635/'04 Prices'!C634-1)</f>
        <v/>
      </c>
      <c r="D634" s="25">
        <f>IF(OR($A634="",'04 Prices'!D634="",'04 Prices'!D635=""),"",'04 Prices'!D635/'04 Prices'!D634-1)</f>
        <v/>
      </c>
      <c r="E634" s="25">
        <f>IF(OR($A634="",'04 Prices'!E634="",'04 Prices'!E635=""),"",'04 Prices'!E635/'04 Prices'!E634-1)</f>
        <v/>
      </c>
      <c r="F634" s="25">
        <f>IF(OR($A634="",'04 Prices'!F634="",'04 Prices'!F635=""),"",'04 Prices'!F635/'04 Prices'!F634-1)</f>
        <v/>
      </c>
      <c r="G634" s="25">
        <f>IF(OR($A634="",'04 Prices'!G634="",'04 Prices'!G635=""),"",'04 Prices'!G635/'04 Prices'!G634-1)</f>
        <v/>
      </c>
      <c r="H634" s="25">
        <f>IF(OR($A634="",'04 Prices'!H634="",'04 Prices'!H635=""),"",'04 Prices'!H635/'04 Prices'!H634-1)</f>
        <v/>
      </c>
    </row>
    <row r="635">
      <c r="A635" s="23">
        <f>IF('04 Prices'!A636="","",'04 Prices'!A636)</f>
        <v/>
      </c>
      <c r="B635" s="25">
        <f>IF(OR($A635="",'04 Prices'!B635="",'04 Prices'!B636=""),"",'04 Prices'!B636/'04 Prices'!B635-1)</f>
        <v/>
      </c>
      <c r="C635" s="25">
        <f>IF(OR($A635="",'04 Prices'!C635="",'04 Prices'!C636=""),"",'04 Prices'!C636/'04 Prices'!C635-1)</f>
        <v/>
      </c>
      <c r="D635" s="25">
        <f>IF(OR($A635="",'04 Prices'!D635="",'04 Prices'!D636=""),"",'04 Prices'!D636/'04 Prices'!D635-1)</f>
        <v/>
      </c>
      <c r="E635" s="25">
        <f>IF(OR($A635="",'04 Prices'!E635="",'04 Prices'!E636=""),"",'04 Prices'!E636/'04 Prices'!E635-1)</f>
        <v/>
      </c>
      <c r="F635" s="25">
        <f>IF(OR($A635="",'04 Prices'!F635="",'04 Prices'!F636=""),"",'04 Prices'!F636/'04 Prices'!F635-1)</f>
        <v/>
      </c>
      <c r="G635" s="25">
        <f>IF(OR($A635="",'04 Prices'!G635="",'04 Prices'!G636=""),"",'04 Prices'!G636/'04 Prices'!G635-1)</f>
        <v/>
      </c>
      <c r="H635" s="25">
        <f>IF(OR($A635="",'04 Prices'!H635="",'04 Prices'!H636=""),"",'04 Prices'!H636/'04 Prices'!H635-1)</f>
        <v/>
      </c>
    </row>
    <row r="636">
      <c r="A636" s="23">
        <f>IF('04 Prices'!A637="","",'04 Prices'!A637)</f>
        <v/>
      </c>
      <c r="B636" s="25">
        <f>IF(OR($A636="",'04 Prices'!B636="",'04 Prices'!B637=""),"",'04 Prices'!B637/'04 Prices'!B636-1)</f>
        <v/>
      </c>
      <c r="C636" s="25">
        <f>IF(OR($A636="",'04 Prices'!C636="",'04 Prices'!C637=""),"",'04 Prices'!C637/'04 Prices'!C636-1)</f>
        <v/>
      </c>
      <c r="D636" s="25">
        <f>IF(OR($A636="",'04 Prices'!D636="",'04 Prices'!D637=""),"",'04 Prices'!D637/'04 Prices'!D636-1)</f>
        <v/>
      </c>
      <c r="E636" s="25">
        <f>IF(OR($A636="",'04 Prices'!E636="",'04 Prices'!E637=""),"",'04 Prices'!E637/'04 Prices'!E636-1)</f>
        <v/>
      </c>
      <c r="F636" s="25">
        <f>IF(OR($A636="",'04 Prices'!F636="",'04 Prices'!F637=""),"",'04 Prices'!F637/'04 Prices'!F636-1)</f>
        <v/>
      </c>
      <c r="G636" s="25">
        <f>IF(OR($A636="",'04 Prices'!G636="",'04 Prices'!G637=""),"",'04 Prices'!G637/'04 Prices'!G636-1)</f>
        <v/>
      </c>
      <c r="H636" s="25">
        <f>IF(OR($A636="",'04 Prices'!H636="",'04 Prices'!H637=""),"",'04 Prices'!H637/'04 Prices'!H636-1)</f>
        <v/>
      </c>
    </row>
    <row r="637">
      <c r="A637" s="23">
        <f>IF('04 Prices'!A638="","",'04 Prices'!A638)</f>
        <v/>
      </c>
      <c r="B637" s="25">
        <f>IF(OR($A637="",'04 Prices'!B637="",'04 Prices'!B638=""),"",'04 Prices'!B638/'04 Prices'!B637-1)</f>
        <v/>
      </c>
      <c r="C637" s="25">
        <f>IF(OR($A637="",'04 Prices'!C637="",'04 Prices'!C638=""),"",'04 Prices'!C638/'04 Prices'!C637-1)</f>
        <v/>
      </c>
      <c r="D637" s="25">
        <f>IF(OR($A637="",'04 Prices'!D637="",'04 Prices'!D638=""),"",'04 Prices'!D638/'04 Prices'!D637-1)</f>
        <v/>
      </c>
      <c r="E637" s="25">
        <f>IF(OR($A637="",'04 Prices'!E637="",'04 Prices'!E638=""),"",'04 Prices'!E638/'04 Prices'!E637-1)</f>
        <v/>
      </c>
      <c r="F637" s="25">
        <f>IF(OR($A637="",'04 Prices'!F637="",'04 Prices'!F638=""),"",'04 Prices'!F638/'04 Prices'!F637-1)</f>
        <v/>
      </c>
      <c r="G637" s="25">
        <f>IF(OR($A637="",'04 Prices'!G637="",'04 Prices'!G638=""),"",'04 Prices'!G638/'04 Prices'!G637-1)</f>
        <v/>
      </c>
      <c r="H637" s="25">
        <f>IF(OR($A637="",'04 Prices'!H637="",'04 Prices'!H638=""),"",'04 Prices'!H638/'04 Prices'!H637-1)</f>
        <v/>
      </c>
    </row>
    <row r="638">
      <c r="A638" s="23">
        <f>IF('04 Prices'!A639="","",'04 Prices'!A639)</f>
        <v/>
      </c>
      <c r="B638" s="25">
        <f>IF(OR($A638="",'04 Prices'!B638="",'04 Prices'!B639=""),"",'04 Prices'!B639/'04 Prices'!B638-1)</f>
        <v/>
      </c>
      <c r="C638" s="25">
        <f>IF(OR($A638="",'04 Prices'!C638="",'04 Prices'!C639=""),"",'04 Prices'!C639/'04 Prices'!C638-1)</f>
        <v/>
      </c>
      <c r="D638" s="25">
        <f>IF(OR($A638="",'04 Prices'!D638="",'04 Prices'!D639=""),"",'04 Prices'!D639/'04 Prices'!D638-1)</f>
        <v/>
      </c>
      <c r="E638" s="25">
        <f>IF(OR($A638="",'04 Prices'!E638="",'04 Prices'!E639=""),"",'04 Prices'!E639/'04 Prices'!E638-1)</f>
        <v/>
      </c>
      <c r="F638" s="25">
        <f>IF(OR($A638="",'04 Prices'!F638="",'04 Prices'!F639=""),"",'04 Prices'!F639/'04 Prices'!F638-1)</f>
        <v/>
      </c>
      <c r="G638" s="25">
        <f>IF(OR($A638="",'04 Prices'!G638="",'04 Prices'!G639=""),"",'04 Prices'!G639/'04 Prices'!G638-1)</f>
        <v/>
      </c>
      <c r="H638" s="25">
        <f>IF(OR($A638="",'04 Prices'!H638="",'04 Prices'!H639=""),"",'04 Prices'!H639/'04 Prices'!H638-1)</f>
        <v/>
      </c>
    </row>
    <row r="639">
      <c r="A639" s="23">
        <f>IF('04 Prices'!A640="","",'04 Prices'!A640)</f>
        <v/>
      </c>
      <c r="B639" s="25">
        <f>IF(OR($A639="",'04 Prices'!B639="",'04 Prices'!B640=""),"",'04 Prices'!B640/'04 Prices'!B639-1)</f>
        <v/>
      </c>
      <c r="C639" s="25">
        <f>IF(OR($A639="",'04 Prices'!C639="",'04 Prices'!C640=""),"",'04 Prices'!C640/'04 Prices'!C639-1)</f>
        <v/>
      </c>
      <c r="D639" s="25">
        <f>IF(OR($A639="",'04 Prices'!D639="",'04 Prices'!D640=""),"",'04 Prices'!D640/'04 Prices'!D639-1)</f>
        <v/>
      </c>
      <c r="E639" s="25">
        <f>IF(OR($A639="",'04 Prices'!E639="",'04 Prices'!E640=""),"",'04 Prices'!E640/'04 Prices'!E639-1)</f>
        <v/>
      </c>
      <c r="F639" s="25">
        <f>IF(OR($A639="",'04 Prices'!F639="",'04 Prices'!F640=""),"",'04 Prices'!F640/'04 Prices'!F639-1)</f>
        <v/>
      </c>
      <c r="G639" s="25">
        <f>IF(OR($A639="",'04 Prices'!G639="",'04 Prices'!G640=""),"",'04 Prices'!G640/'04 Prices'!G639-1)</f>
        <v/>
      </c>
      <c r="H639" s="25">
        <f>IF(OR($A639="",'04 Prices'!H639="",'04 Prices'!H640=""),"",'04 Prices'!H640/'04 Prices'!H639-1)</f>
        <v/>
      </c>
    </row>
    <row r="640">
      <c r="A640" s="23">
        <f>IF('04 Prices'!A641="","",'04 Prices'!A641)</f>
        <v/>
      </c>
      <c r="B640" s="25">
        <f>IF(OR($A640="",'04 Prices'!B640="",'04 Prices'!B641=""),"",'04 Prices'!B641/'04 Prices'!B640-1)</f>
        <v/>
      </c>
      <c r="C640" s="25">
        <f>IF(OR($A640="",'04 Prices'!C640="",'04 Prices'!C641=""),"",'04 Prices'!C641/'04 Prices'!C640-1)</f>
        <v/>
      </c>
      <c r="D640" s="25">
        <f>IF(OR($A640="",'04 Prices'!D640="",'04 Prices'!D641=""),"",'04 Prices'!D641/'04 Prices'!D640-1)</f>
        <v/>
      </c>
      <c r="E640" s="25">
        <f>IF(OR($A640="",'04 Prices'!E640="",'04 Prices'!E641=""),"",'04 Prices'!E641/'04 Prices'!E640-1)</f>
        <v/>
      </c>
      <c r="F640" s="25">
        <f>IF(OR($A640="",'04 Prices'!F640="",'04 Prices'!F641=""),"",'04 Prices'!F641/'04 Prices'!F640-1)</f>
        <v/>
      </c>
      <c r="G640" s="25">
        <f>IF(OR($A640="",'04 Prices'!G640="",'04 Prices'!G641=""),"",'04 Prices'!G641/'04 Prices'!G640-1)</f>
        <v/>
      </c>
      <c r="H640" s="25">
        <f>IF(OR($A640="",'04 Prices'!H640="",'04 Prices'!H641=""),"",'04 Prices'!H641/'04 Prices'!H640-1)</f>
        <v/>
      </c>
    </row>
    <row r="641">
      <c r="A641" s="23">
        <f>IF('04 Prices'!A642="","",'04 Prices'!A642)</f>
        <v/>
      </c>
      <c r="B641" s="25">
        <f>IF(OR($A641="",'04 Prices'!B641="",'04 Prices'!B642=""),"",'04 Prices'!B642/'04 Prices'!B641-1)</f>
        <v/>
      </c>
      <c r="C641" s="25">
        <f>IF(OR($A641="",'04 Prices'!C641="",'04 Prices'!C642=""),"",'04 Prices'!C642/'04 Prices'!C641-1)</f>
        <v/>
      </c>
      <c r="D641" s="25">
        <f>IF(OR($A641="",'04 Prices'!D641="",'04 Prices'!D642=""),"",'04 Prices'!D642/'04 Prices'!D641-1)</f>
        <v/>
      </c>
      <c r="E641" s="25">
        <f>IF(OR($A641="",'04 Prices'!E641="",'04 Prices'!E642=""),"",'04 Prices'!E642/'04 Prices'!E641-1)</f>
        <v/>
      </c>
      <c r="F641" s="25">
        <f>IF(OR($A641="",'04 Prices'!F641="",'04 Prices'!F642=""),"",'04 Prices'!F642/'04 Prices'!F641-1)</f>
        <v/>
      </c>
      <c r="G641" s="25">
        <f>IF(OR($A641="",'04 Prices'!G641="",'04 Prices'!G642=""),"",'04 Prices'!G642/'04 Prices'!G641-1)</f>
        <v/>
      </c>
      <c r="H641" s="25">
        <f>IF(OR($A641="",'04 Prices'!H641="",'04 Prices'!H642=""),"",'04 Prices'!H642/'04 Prices'!H641-1)</f>
        <v/>
      </c>
    </row>
    <row r="642">
      <c r="A642" s="23">
        <f>IF('04 Prices'!A643="","",'04 Prices'!A643)</f>
        <v/>
      </c>
      <c r="B642" s="25">
        <f>IF(OR($A642="",'04 Prices'!B642="",'04 Prices'!B643=""),"",'04 Prices'!B643/'04 Prices'!B642-1)</f>
        <v/>
      </c>
      <c r="C642" s="25">
        <f>IF(OR($A642="",'04 Prices'!C642="",'04 Prices'!C643=""),"",'04 Prices'!C643/'04 Prices'!C642-1)</f>
        <v/>
      </c>
      <c r="D642" s="25">
        <f>IF(OR($A642="",'04 Prices'!D642="",'04 Prices'!D643=""),"",'04 Prices'!D643/'04 Prices'!D642-1)</f>
        <v/>
      </c>
      <c r="E642" s="25">
        <f>IF(OR($A642="",'04 Prices'!E642="",'04 Prices'!E643=""),"",'04 Prices'!E643/'04 Prices'!E642-1)</f>
        <v/>
      </c>
      <c r="F642" s="25">
        <f>IF(OR($A642="",'04 Prices'!F642="",'04 Prices'!F643=""),"",'04 Prices'!F643/'04 Prices'!F642-1)</f>
        <v/>
      </c>
      <c r="G642" s="25">
        <f>IF(OR($A642="",'04 Prices'!G642="",'04 Prices'!G643=""),"",'04 Prices'!G643/'04 Prices'!G642-1)</f>
        <v/>
      </c>
      <c r="H642" s="25">
        <f>IF(OR($A642="",'04 Prices'!H642="",'04 Prices'!H643=""),"",'04 Prices'!H643/'04 Prices'!H642-1)</f>
        <v/>
      </c>
    </row>
    <row r="643">
      <c r="A643" s="23">
        <f>IF('04 Prices'!A644="","",'04 Prices'!A644)</f>
        <v/>
      </c>
      <c r="B643" s="25">
        <f>IF(OR($A643="",'04 Prices'!B643="",'04 Prices'!B644=""),"",'04 Prices'!B644/'04 Prices'!B643-1)</f>
        <v/>
      </c>
      <c r="C643" s="25">
        <f>IF(OR($A643="",'04 Prices'!C643="",'04 Prices'!C644=""),"",'04 Prices'!C644/'04 Prices'!C643-1)</f>
        <v/>
      </c>
      <c r="D643" s="25">
        <f>IF(OR($A643="",'04 Prices'!D643="",'04 Prices'!D644=""),"",'04 Prices'!D644/'04 Prices'!D643-1)</f>
        <v/>
      </c>
      <c r="E643" s="25">
        <f>IF(OR($A643="",'04 Prices'!E643="",'04 Prices'!E644=""),"",'04 Prices'!E644/'04 Prices'!E643-1)</f>
        <v/>
      </c>
      <c r="F643" s="25">
        <f>IF(OR($A643="",'04 Prices'!F643="",'04 Prices'!F644=""),"",'04 Prices'!F644/'04 Prices'!F643-1)</f>
        <v/>
      </c>
      <c r="G643" s="25">
        <f>IF(OR($A643="",'04 Prices'!G643="",'04 Prices'!G644=""),"",'04 Prices'!G644/'04 Prices'!G643-1)</f>
        <v/>
      </c>
      <c r="H643" s="25">
        <f>IF(OR($A643="",'04 Prices'!H643="",'04 Prices'!H644=""),"",'04 Prices'!H644/'04 Prices'!H643-1)</f>
        <v/>
      </c>
    </row>
    <row r="644">
      <c r="A644" s="23">
        <f>IF('04 Prices'!A645="","",'04 Prices'!A645)</f>
        <v/>
      </c>
      <c r="B644" s="25">
        <f>IF(OR($A644="",'04 Prices'!B644="",'04 Prices'!B645=""),"",'04 Prices'!B645/'04 Prices'!B644-1)</f>
        <v/>
      </c>
      <c r="C644" s="25">
        <f>IF(OR($A644="",'04 Prices'!C644="",'04 Prices'!C645=""),"",'04 Prices'!C645/'04 Prices'!C644-1)</f>
        <v/>
      </c>
      <c r="D644" s="25">
        <f>IF(OR($A644="",'04 Prices'!D644="",'04 Prices'!D645=""),"",'04 Prices'!D645/'04 Prices'!D644-1)</f>
        <v/>
      </c>
      <c r="E644" s="25">
        <f>IF(OR($A644="",'04 Prices'!E644="",'04 Prices'!E645=""),"",'04 Prices'!E645/'04 Prices'!E644-1)</f>
        <v/>
      </c>
      <c r="F644" s="25">
        <f>IF(OR($A644="",'04 Prices'!F644="",'04 Prices'!F645=""),"",'04 Prices'!F645/'04 Prices'!F644-1)</f>
        <v/>
      </c>
      <c r="G644" s="25">
        <f>IF(OR($A644="",'04 Prices'!G644="",'04 Prices'!G645=""),"",'04 Prices'!G645/'04 Prices'!G644-1)</f>
        <v/>
      </c>
      <c r="H644" s="25">
        <f>IF(OR($A644="",'04 Prices'!H644="",'04 Prices'!H645=""),"",'04 Prices'!H645/'04 Prices'!H644-1)</f>
        <v/>
      </c>
    </row>
    <row r="645">
      <c r="A645" s="23">
        <f>IF('04 Prices'!A646="","",'04 Prices'!A646)</f>
        <v/>
      </c>
      <c r="B645" s="25">
        <f>IF(OR($A645="",'04 Prices'!B645="",'04 Prices'!B646=""),"",'04 Prices'!B646/'04 Prices'!B645-1)</f>
        <v/>
      </c>
      <c r="C645" s="25">
        <f>IF(OR($A645="",'04 Prices'!C645="",'04 Prices'!C646=""),"",'04 Prices'!C646/'04 Prices'!C645-1)</f>
        <v/>
      </c>
      <c r="D645" s="25">
        <f>IF(OR($A645="",'04 Prices'!D645="",'04 Prices'!D646=""),"",'04 Prices'!D646/'04 Prices'!D645-1)</f>
        <v/>
      </c>
      <c r="E645" s="25">
        <f>IF(OR($A645="",'04 Prices'!E645="",'04 Prices'!E646=""),"",'04 Prices'!E646/'04 Prices'!E645-1)</f>
        <v/>
      </c>
      <c r="F645" s="25">
        <f>IF(OR($A645="",'04 Prices'!F645="",'04 Prices'!F646=""),"",'04 Prices'!F646/'04 Prices'!F645-1)</f>
        <v/>
      </c>
      <c r="G645" s="25">
        <f>IF(OR($A645="",'04 Prices'!G645="",'04 Prices'!G646=""),"",'04 Prices'!G646/'04 Prices'!G645-1)</f>
        <v/>
      </c>
      <c r="H645" s="25">
        <f>IF(OR($A645="",'04 Prices'!H645="",'04 Prices'!H646=""),"",'04 Prices'!H646/'04 Prices'!H645-1)</f>
        <v/>
      </c>
    </row>
    <row r="646">
      <c r="A646" s="23">
        <f>IF('04 Prices'!A647="","",'04 Prices'!A647)</f>
        <v/>
      </c>
      <c r="B646" s="25">
        <f>IF(OR($A646="",'04 Prices'!B646="",'04 Prices'!B647=""),"",'04 Prices'!B647/'04 Prices'!B646-1)</f>
        <v/>
      </c>
      <c r="C646" s="25">
        <f>IF(OR($A646="",'04 Prices'!C646="",'04 Prices'!C647=""),"",'04 Prices'!C647/'04 Prices'!C646-1)</f>
        <v/>
      </c>
      <c r="D646" s="25">
        <f>IF(OR($A646="",'04 Prices'!D646="",'04 Prices'!D647=""),"",'04 Prices'!D647/'04 Prices'!D646-1)</f>
        <v/>
      </c>
      <c r="E646" s="25">
        <f>IF(OR($A646="",'04 Prices'!E646="",'04 Prices'!E647=""),"",'04 Prices'!E647/'04 Prices'!E646-1)</f>
        <v/>
      </c>
      <c r="F646" s="25">
        <f>IF(OR($A646="",'04 Prices'!F646="",'04 Prices'!F647=""),"",'04 Prices'!F647/'04 Prices'!F646-1)</f>
        <v/>
      </c>
      <c r="G646" s="25">
        <f>IF(OR($A646="",'04 Prices'!G646="",'04 Prices'!G647=""),"",'04 Prices'!G647/'04 Prices'!G646-1)</f>
        <v/>
      </c>
      <c r="H646" s="25">
        <f>IF(OR($A646="",'04 Prices'!H646="",'04 Prices'!H647=""),"",'04 Prices'!H647/'04 Prices'!H646-1)</f>
        <v/>
      </c>
    </row>
    <row r="647">
      <c r="A647" s="23">
        <f>IF('04 Prices'!A648="","",'04 Prices'!A648)</f>
        <v/>
      </c>
      <c r="B647" s="25">
        <f>IF(OR($A647="",'04 Prices'!B647="",'04 Prices'!B648=""),"",'04 Prices'!B648/'04 Prices'!B647-1)</f>
        <v/>
      </c>
      <c r="C647" s="25">
        <f>IF(OR($A647="",'04 Prices'!C647="",'04 Prices'!C648=""),"",'04 Prices'!C648/'04 Prices'!C647-1)</f>
        <v/>
      </c>
      <c r="D647" s="25">
        <f>IF(OR($A647="",'04 Prices'!D647="",'04 Prices'!D648=""),"",'04 Prices'!D648/'04 Prices'!D647-1)</f>
        <v/>
      </c>
      <c r="E647" s="25">
        <f>IF(OR($A647="",'04 Prices'!E647="",'04 Prices'!E648=""),"",'04 Prices'!E648/'04 Prices'!E647-1)</f>
        <v/>
      </c>
      <c r="F647" s="25">
        <f>IF(OR($A647="",'04 Prices'!F647="",'04 Prices'!F648=""),"",'04 Prices'!F648/'04 Prices'!F647-1)</f>
        <v/>
      </c>
      <c r="G647" s="25">
        <f>IF(OR($A647="",'04 Prices'!G647="",'04 Prices'!G648=""),"",'04 Prices'!G648/'04 Prices'!G647-1)</f>
        <v/>
      </c>
      <c r="H647" s="25">
        <f>IF(OR($A647="",'04 Prices'!H647="",'04 Prices'!H648=""),"",'04 Prices'!H648/'04 Prices'!H647-1)</f>
        <v/>
      </c>
    </row>
    <row r="648">
      <c r="A648" s="23">
        <f>IF('04 Prices'!A649="","",'04 Prices'!A649)</f>
        <v/>
      </c>
      <c r="B648" s="25">
        <f>IF(OR($A648="",'04 Prices'!B648="",'04 Prices'!B649=""),"",'04 Prices'!B649/'04 Prices'!B648-1)</f>
        <v/>
      </c>
      <c r="C648" s="25">
        <f>IF(OR($A648="",'04 Prices'!C648="",'04 Prices'!C649=""),"",'04 Prices'!C649/'04 Prices'!C648-1)</f>
        <v/>
      </c>
      <c r="D648" s="25">
        <f>IF(OR($A648="",'04 Prices'!D648="",'04 Prices'!D649=""),"",'04 Prices'!D649/'04 Prices'!D648-1)</f>
        <v/>
      </c>
      <c r="E648" s="25">
        <f>IF(OR($A648="",'04 Prices'!E648="",'04 Prices'!E649=""),"",'04 Prices'!E649/'04 Prices'!E648-1)</f>
        <v/>
      </c>
      <c r="F648" s="25">
        <f>IF(OR($A648="",'04 Prices'!F648="",'04 Prices'!F649=""),"",'04 Prices'!F649/'04 Prices'!F648-1)</f>
        <v/>
      </c>
      <c r="G648" s="25">
        <f>IF(OR($A648="",'04 Prices'!G648="",'04 Prices'!G649=""),"",'04 Prices'!G649/'04 Prices'!G648-1)</f>
        <v/>
      </c>
      <c r="H648" s="25">
        <f>IF(OR($A648="",'04 Prices'!H648="",'04 Prices'!H649=""),"",'04 Prices'!H649/'04 Prices'!H648-1)</f>
        <v/>
      </c>
    </row>
    <row r="649">
      <c r="A649" s="23">
        <f>IF('04 Prices'!A650="","",'04 Prices'!A650)</f>
        <v/>
      </c>
      <c r="B649" s="25">
        <f>IF(OR($A649="",'04 Prices'!B649="",'04 Prices'!B650=""),"",'04 Prices'!B650/'04 Prices'!B649-1)</f>
        <v/>
      </c>
      <c r="C649" s="25">
        <f>IF(OR($A649="",'04 Prices'!C649="",'04 Prices'!C650=""),"",'04 Prices'!C650/'04 Prices'!C649-1)</f>
        <v/>
      </c>
      <c r="D649" s="25">
        <f>IF(OR($A649="",'04 Prices'!D649="",'04 Prices'!D650=""),"",'04 Prices'!D650/'04 Prices'!D649-1)</f>
        <v/>
      </c>
      <c r="E649" s="25">
        <f>IF(OR($A649="",'04 Prices'!E649="",'04 Prices'!E650=""),"",'04 Prices'!E650/'04 Prices'!E649-1)</f>
        <v/>
      </c>
      <c r="F649" s="25">
        <f>IF(OR($A649="",'04 Prices'!F649="",'04 Prices'!F650=""),"",'04 Prices'!F650/'04 Prices'!F649-1)</f>
        <v/>
      </c>
      <c r="G649" s="25">
        <f>IF(OR($A649="",'04 Prices'!G649="",'04 Prices'!G650=""),"",'04 Prices'!G650/'04 Prices'!G649-1)</f>
        <v/>
      </c>
      <c r="H649" s="25">
        <f>IF(OR($A649="",'04 Prices'!H649="",'04 Prices'!H650=""),"",'04 Prices'!H650/'04 Prices'!H649-1)</f>
        <v/>
      </c>
    </row>
    <row r="650">
      <c r="A650" s="23">
        <f>IF('04 Prices'!A651="","",'04 Prices'!A651)</f>
        <v/>
      </c>
      <c r="B650" s="25">
        <f>IF(OR($A650="",'04 Prices'!B650="",'04 Prices'!B651=""),"",'04 Prices'!B651/'04 Prices'!B650-1)</f>
        <v/>
      </c>
      <c r="C650" s="25">
        <f>IF(OR($A650="",'04 Prices'!C650="",'04 Prices'!C651=""),"",'04 Prices'!C651/'04 Prices'!C650-1)</f>
        <v/>
      </c>
      <c r="D650" s="25">
        <f>IF(OR($A650="",'04 Prices'!D650="",'04 Prices'!D651=""),"",'04 Prices'!D651/'04 Prices'!D650-1)</f>
        <v/>
      </c>
      <c r="E650" s="25">
        <f>IF(OR($A650="",'04 Prices'!E650="",'04 Prices'!E651=""),"",'04 Prices'!E651/'04 Prices'!E650-1)</f>
        <v/>
      </c>
      <c r="F650" s="25">
        <f>IF(OR($A650="",'04 Prices'!F650="",'04 Prices'!F651=""),"",'04 Prices'!F651/'04 Prices'!F650-1)</f>
        <v/>
      </c>
      <c r="G650" s="25">
        <f>IF(OR($A650="",'04 Prices'!G650="",'04 Prices'!G651=""),"",'04 Prices'!G651/'04 Prices'!G650-1)</f>
        <v/>
      </c>
      <c r="H650" s="25">
        <f>IF(OR($A650="",'04 Prices'!H650="",'04 Prices'!H651=""),"",'04 Prices'!H651/'04 Prices'!H650-1)</f>
        <v/>
      </c>
    </row>
    <row r="651">
      <c r="A651" s="23">
        <f>IF('04 Prices'!A652="","",'04 Prices'!A652)</f>
        <v/>
      </c>
      <c r="B651" s="25">
        <f>IF(OR($A651="",'04 Prices'!B651="",'04 Prices'!B652=""),"",'04 Prices'!B652/'04 Prices'!B651-1)</f>
        <v/>
      </c>
      <c r="C651" s="25">
        <f>IF(OR($A651="",'04 Prices'!C651="",'04 Prices'!C652=""),"",'04 Prices'!C652/'04 Prices'!C651-1)</f>
        <v/>
      </c>
      <c r="D651" s="25">
        <f>IF(OR($A651="",'04 Prices'!D651="",'04 Prices'!D652=""),"",'04 Prices'!D652/'04 Prices'!D651-1)</f>
        <v/>
      </c>
      <c r="E651" s="25">
        <f>IF(OR($A651="",'04 Prices'!E651="",'04 Prices'!E652=""),"",'04 Prices'!E652/'04 Prices'!E651-1)</f>
        <v/>
      </c>
      <c r="F651" s="25">
        <f>IF(OR($A651="",'04 Prices'!F651="",'04 Prices'!F652=""),"",'04 Prices'!F652/'04 Prices'!F651-1)</f>
        <v/>
      </c>
      <c r="G651" s="25">
        <f>IF(OR($A651="",'04 Prices'!G651="",'04 Prices'!G652=""),"",'04 Prices'!G652/'04 Prices'!G651-1)</f>
        <v/>
      </c>
      <c r="H651" s="25">
        <f>IF(OR($A651="",'04 Prices'!H651="",'04 Prices'!H652=""),"",'04 Prices'!H652/'04 Prices'!H651-1)</f>
        <v/>
      </c>
    </row>
    <row r="652">
      <c r="A652" s="23">
        <f>IF('04 Prices'!A653="","",'04 Prices'!A653)</f>
        <v/>
      </c>
      <c r="B652" s="25">
        <f>IF(OR($A652="",'04 Prices'!B652="",'04 Prices'!B653=""),"",'04 Prices'!B653/'04 Prices'!B652-1)</f>
        <v/>
      </c>
      <c r="C652" s="25">
        <f>IF(OR($A652="",'04 Prices'!C652="",'04 Prices'!C653=""),"",'04 Prices'!C653/'04 Prices'!C652-1)</f>
        <v/>
      </c>
      <c r="D652" s="25">
        <f>IF(OR($A652="",'04 Prices'!D652="",'04 Prices'!D653=""),"",'04 Prices'!D653/'04 Prices'!D652-1)</f>
        <v/>
      </c>
      <c r="E652" s="25">
        <f>IF(OR($A652="",'04 Prices'!E652="",'04 Prices'!E653=""),"",'04 Prices'!E653/'04 Prices'!E652-1)</f>
        <v/>
      </c>
      <c r="F652" s="25">
        <f>IF(OR($A652="",'04 Prices'!F652="",'04 Prices'!F653=""),"",'04 Prices'!F653/'04 Prices'!F652-1)</f>
        <v/>
      </c>
      <c r="G652" s="25">
        <f>IF(OR($A652="",'04 Prices'!G652="",'04 Prices'!G653=""),"",'04 Prices'!G653/'04 Prices'!G652-1)</f>
        <v/>
      </c>
      <c r="H652" s="25">
        <f>IF(OR($A652="",'04 Prices'!H652="",'04 Prices'!H653=""),"",'04 Prices'!H653/'04 Prices'!H652-1)</f>
        <v/>
      </c>
    </row>
    <row r="653">
      <c r="A653" s="23">
        <f>IF('04 Prices'!A654="","",'04 Prices'!A654)</f>
        <v/>
      </c>
      <c r="B653" s="25">
        <f>IF(OR($A653="",'04 Prices'!B653="",'04 Prices'!B654=""),"",'04 Prices'!B654/'04 Prices'!B653-1)</f>
        <v/>
      </c>
      <c r="C653" s="25">
        <f>IF(OR($A653="",'04 Prices'!C653="",'04 Prices'!C654=""),"",'04 Prices'!C654/'04 Prices'!C653-1)</f>
        <v/>
      </c>
      <c r="D653" s="25">
        <f>IF(OR($A653="",'04 Prices'!D653="",'04 Prices'!D654=""),"",'04 Prices'!D654/'04 Prices'!D653-1)</f>
        <v/>
      </c>
      <c r="E653" s="25">
        <f>IF(OR($A653="",'04 Prices'!E653="",'04 Prices'!E654=""),"",'04 Prices'!E654/'04 Prices'!E653-1)</f>
        <v/>
      </c>
      <c r="F653" s="25">
        <f>IF(OR($A653="",'04 Prices'!F653="",'04 Prices'!F654=""),"",'04 Prices'!F654/'04 Prices'!F653-1)</f>
        <v/>
      </c>
      <c r="G653" s="25">
        <f>IF(OR($A653="",'04 Prices'!G653="",'04 Prices'!G654=""),"",'04 Prices'!G654/'04 Prices'!G653-1)</f>
        <v/>
      </c>
      <c r="H653" s="25">
        <f>IF(OR($A653="",'04 Prices'!H653="",'04 Prices'!H654=""),"",'04 Prices'!H654/'04 Prices'!H653-1)</f>
        <v/>
      </c>
    </row>
    <row r="654">
      <c r="A654" s="23">
        <f>IF('04 Prices'!A655="","",'04 Prices'!A655)</f>
        <v/>
      </c>
      <c r="B654" s="25">
        <f>IF(OR($A654="",'04 Prices'!B654="",'04 Prices'!B655=""),"",'04 Prices'!B655/'04 Prices'!B654-1)</f>
        <v/>
      </c>
      <c r="C654" s="25">
        <f>IF(OR($A654="",'04 Prices'!C654="",'04 Prices'!C655=""),"",'04 Prices'!C655/'04 Prices'!C654-1)</f>
        <v/>
      </c>
      <c r="D654" s="25">
        <f>IF(OR($A654="",'04 Prices'!D654="",'04 Prices'!D655=""),"",'04 Prices'!D655/'04 Prices'!D654-1)</f>
        <v/>
      </c>
      <c r="E654" s="25">
        <f>IF(OR($A654="",'04 Prices'!E654="",'04 Prices'!E655=""),"",'04 Prices'!E655/'04 Prices'!E654-1)</f>
        <v/>
      </c>
      <c r="F654" s="25">
        <f>IF(OR($A654="",'04 Prices'!F654="",'04 Prices'!F655=""),"",'04 Prices'!F655/'04 Prices'!F654-1)</f>
        <v/>
      </c>
      <c r="G654" s="25">
        <f>IF(OR($A654="",'04 Prices'!G654="",'04 Prices'!G655=""),"",'04 Prices'!G655/'04 Prices'!G654-1)</f>
        <v/>
      </c>
      <c r="H654" s="25">
        <f>IF(OR($A654="",'04 Prices'!H654="",'04 Prices'!H655=""),"",'04 Prices'!H655/'04 Prices'!H654-1)</f>
        <v/>
      </c>
    </row>
    <row r="655">
      <c r="A655" s="23">
        <f>IF('04 Prices'!A656="","",'04 Prices'!A656)</f>
        <v/>
      </c>
      <c r="B655" s="25">
        <f>IF(OR($A655="",'04 Prices'!B655="",'04 Prices'!B656=""),"",'04 Prices'!B656/'04 Prices'!B655-1)</f>
        <v/>
      </c>
      <c r="C655" s="25">
        <f>IF(OR($A655="",'04 Prices'!C655="",'04 Prices'!C656=""),"",'04 Prices'!C656/'04 Prices'!C655-1)</f>
        <v/>
      </c>
      <c r="D655" s="25">
        <f>IF(OR($A655="",'04 Prices'!D655="",'04 Prices'!D656=""),"",'04 Prices'!D656/'04 Prices'!D655-1)</f>
        <v/>
      </c>
      <c r="E655" s="25">
        <f>IF(OR($A655="",'04 Prices'!E655="",'04 Prices'!E656=""),"",'04 Prices'!E656/'04 Prices'!E655-1)</f>
        <v/>
      </c>
      <c r="F655" s="25">
        <f>IF(OR($A655="",'04 Prices'!F655="",'04 Prices'!F656=""),"",'04 Prices'!F656/'04 Prices'!F655-1)</f>
        <v/>
      </c>
      <c r="G655" s="25">
        <f>IF(OR($A655="",'04 Prices'!G655="",'04 Prices'!G656=""),"",'04 Prices'!G656/'04 Prices'!G655-1)</f>
        <v/>
      </c>
      <c r="H655" s="25">
        <f>IF(OR($A655="",'04 Prices'!H655="",'04 Prices'!H656=""),"",'04 Prices'!H656/'04 Prices'!H655-1)</f>
        <v/>
      </c>
    </row>
    <row r="656">
      <c r="A656" s="23">
        <f>IF('04 Prices'!A657="","",'04 Prices'!A657)</f>
        <v/>
      </c>
      <c r="B656" s="25">
        <f>IF(OR($A656="",'04 Prices'!B656="",'04 Prices'!B657=""),"",'04 Prices'!B657/'04 Prices'!B656-1)</f>
        <v/>
      </c>
      <c r="C656" s="25">
        <f>IF(OR($A656="",'04 Prices'!C656="",'04 Prices'!C657=""),"",'04 Prices'!C657/'04 Prices'!C656-1)</f>
        <v/>
      </c>
      <c r="D656" s="25">
        <f>IF(OR($A656="",'04 Prices'!D656="",'04 Prices'!D657=""),"",'04 Prices'!D657/'04 Prices'!D656-1)</f>
        <v/>
      </c>
      <c r="E656" s="25">
        <f>IF(OR($A656="",'04 Prices'!E656="",'04 Prices'!E657=""),"",'04 Prices'!E657/'04 Prices'!E656-1)</f>
        <v/>
      </c>
      <c r="F656" s="25">
        <f>IF(OR($A656="",'04 Prices'!F656="",'04 Prices'!F657=""),"",'04 Prices'!F657/'04 Prices'!F656-1)</f>
        <v/>
      </c>
      <c r="G656" s="25">
        <f>IF(OR($A656="",'04 Prices'!G656="",'04 Prices'!G657=""),"",'04 Prices'!G657/'04 Prices'!G656-1)</f>
        <v/>
      </c>
      <c r="H656" s="25">
        <f>IF(OR($A656="",'04 Prices'!H656="",'04 Prices'!H657=""),"",'04 Prices'!H657/'04 Prices'!H656-1)</f>
        <v/>
      </c>
    </row>
    <row r="657">
      <c r="A657" s="23">
        <f>IF('04 Prices'!A658="","",'04 Prices'!A658)</f>
        <v/>
      </c>
      <c r="B657" s="25">
        <f>IF(OR($A657="",'04 Prices'!B657="",'04 Prices'!B658=""),"",'04 Prices'!B658/'04 Prices'!B657-1)</f>
        <v/>
      </c>
      <c r="C657" s="25">
        <f>IF(OR($A657="",'04 Prices'!C657="",'04 Prices'!C658=""),"",'04 Prices'!C658/'04 Prices'!C657-1)</f>
        <v/>
      </c>
      <c r="D657" s="25">
        <f>IF(OR($A657="",'04 Prices'!D657="",'04 Prices'!D658=""),"",'04 Prices'!D658/'04 Prices'!D657-1)</f>
        <v/>
      </c>
      <c r="E657" s="25">
        <f>IF(OR($A657="",'04 Prices'!E657="",'04 Prices'!E658=""),"",'04 Prices'!E658/'04 Prices'!E657-1)</f>
        <v/>
      </c>
      <c r="F657" s="25">
        <f>IF(OR($A657="",'04 Prices'!F657="",'04 Prices'!F658=""),"",'04 Prices'!F658/'04 Prices'!F657-1)</f>
        <v/>
      </c>
      <c r="G657" s="25">
        <f>IF(OR($A657="",'04 Prices'!G657="",'04 Prices'!G658=""),"",'04 Prices'!G658/'04 Prices'!G657-1)</f>
        <v/>
      </c>
      <c r="H657" s="25">
        <f>IF(OR($A657="",'04 Prices'!H657="",'04 Prices'!H658=""),"",'04 Prices'!H658/'04 Prices'!H657-1)</f>
        <v/>
      </c>
    </row>
    <row r="658">
      <c r="A658" s="23">
        <f>IF('04 Prices'!A659="","",'04 Prices'!A659)</f>
        <v/>
      </c>
      <c r="B658" s="25">
        <f>IF(OR($A658="",'04 Prices'!B658="",'04 Prices'!B659=""),"",'04 Prices'!B659/'04 Prices'!B658-1)</f>
        <v/>
      </c>
      <c r="C658" s="25">
        <f>IF(OR($A658="",'04 Prices'!C658="",'04 Prices'!C659=""),"",'04 Prices'!C659/'04 Prices'!C658-1)</f>
        <v/>
      </c>
      <c r="D658" s="25">
        <f>IF(OR($A658="",'04 Prices'!D658="",'04 Prices'!D659=""),"",'04 Prices'!D659/'04 Prices'!D658-1)</f>
        <v/>
      </c>
      <c r="E658" s="25">
        <f>IF(OR($A658="",'04 Prices'!E658="",'04 Prices'!E659=""),"",'04 Prices'!E659/'04 Prices'!E658-1)</f>
        <v/>
      </c>
      <c r="F658" s="25">
        <f>IF(OR($A658="",'04 Prices'!F658="",'04 Prices'!F659=""),"",'04 Prices'!F659/'04 Prices'!F658-1)</f>
        <v/>
      </c>
      <c r="G658" s="25">
        <f>IF(OR($A658="",'04 Prices'!G658="",'04 Prices'!G659=""),"",'04 Prices'!G659/'04 Prices'!G658-1)</f>
        <v/>
      </c>
      <c r="H658" s="25">
        <f>IF(OR($A658="",'04 Prices'!H658="",'04 Prices'!H659=""),"",'04 Prices'!H659/'04 Prices'!H658-1)</f>
        <v/>
      </c>
    </row>
    <row r="659">
      <c r="A659" s="23">
        <f>IF('04 Prices'!A660="","",'04 Prices'!A660)</f>
        <v/>
      </c>
      <c r="B659" s="25">
        <f>IF(OR($A659="",'04 Prices'!B659="",'04 Prices'!B660=""),"",'04 Prices'!B660/'04 Prices'!B659-1)</f>
        <v/>
      </c>
      <c r="C659" s="25">
        <f>IF(OR($A659="",'04 Prices'!C659="",'04 Prices'!C660=""),"",'04 Prices'!C660/'04 Prices'!C659-1)</f>
        <v/>
      </c>
      <c r="D659" s="25">
        <f>IF(OR($A659="",'04 Prices'!D659="",'04 Prices'!D660=""),"",'04 Prices'!D660/'04 Prices'!D659-1)</f>
        <v/>
      </c>
      <c r="E659" s="25">
        <f>IF(OR($A659="",'04 Prices'!E659="",'04 Prices'!E660=""),"",'04 Prices'!E660/'04 Prices'!E659-1)</f>
        <v/>
      </c>
      <c r="F659" s="25">
        <f>IF(OR($A659="",'04 Prices'!F659="",'04 Prices'!F660=""),"",'04 Prices'!F660/'04 Prices'!F659-1)</f>
        <v/>
      </c>
      <c r="G659" s="25">
        <f>IF(OR($A659="",'04 Prices'!G659="",'04 Prices'!G660=""),"",'04 Prices'!G660/'04 Prices'!G659-1)</f>
        <v/>
      </c>
      <c r="H659" s="25">
        <f>IF(OR($A659="",'04 Prices'!H659="",'04 Prices'!H660=""),"",'04 Prices'!H660/'04 Prices'!H659-1)</f>
        <v/>
      </c>
    </row>
    <row r="660">
      <c r="A660" s="23">
        <f>IF('04 Prices'!A661="","",'04 Prices'!A661)</f>
        <v/>
      </c>
      <c r="B660" s="25">
        <f>IF(OR($A660="",'04 Prices'!B660="",'04 Prices'!B661=""),"",'04 Prices'!B661/'04 Prices'!B660-1)</f>
        <v/>
      </c>
      <c r="C660" s="25">
        <f>IF(OR($A660="",'04 Prices'!C660="",'04 Prices'!C661=""),"",'04 Prices'!C661/'04 Prices'!C660-1)</f>
        <v/>
      </c>
      <c r="D660" s="25">
        <f>IF(OR($A660="",'04 Prices'!D660="",'04 Prices'!D661=""),"",'04 Prices'!D661/'04 Prices'!D660-1)</f>
        <v/>
      </c>
      <c r="E660" s="25">
        <f>IF(OR($A660="",'04 Prices'!E660="",'04 Prices'!E661=""),"",'04 Prices'!E661/'04 Prices'!E660-1)</f>
        <v/>
      </c>
      <c r="F660" s="25">
        <f>IF(OR($A660="",'04 Prices'!F660="",'04 Prices'!F661=""),"",'04 Prices'!F661/'04 Prices'!F660-1)</f>
        <v/>
      </c>
      <c r="G660" s="25">
        <f>IF(OR($A660="",'04 Prices'!G660="",'04 Prices'!G661=""),"",'04 Prices'!G661/'04 Prices'!G660-1)</f>
        <v/>
      </c>
      <c r="H660" s="25">
        <f>IF(OR($A660="",'04 Prices'!H660="",'04 Prices'!H661=""),"",'04 Prices'!H661/'04 Prices'!H660-1)</f>
        <v/>
      </c>
    </row>
    <row r="661">
      <c r="A661" s="23">
        <f>IF('04 Prices'!A662="","",'04 Prices'!A662)</f>
        <v/>
      </c>
      <c r="B661" s="25">
        <f>IF(OR($A661="",'04 Prices'!B661="",'04 Prices'!B662=""),"",'04 Prices'!B662/'04 Prices'!B661-1)</f>
        <v/>
      </c>
      <c r="C661" s="25">
        <f>IF(OR($A661="",'04 Prices'!C661="",'04 Prices'!C662=""),"",'04 Prices'!C662/'04 Prices'!C661-1)</f>
        <v/>
      </c>
      <c r="D661" s="25">
        <f>IF(OR($A661="",'04 Prices'!D661="",'04 Prices'!D662=""),"",'04 Prices'!D662/'04 Prices'!D661-1)</f>
        <v/>
      </c>
      <c r="E661" s="25">
        <f>IF(OR($A661="",'04 Prices'!E661="",'04 Prices'!E662=""),"",'04 Prices'!E662/'04 Prices'!E661-1)</f>
        <v/>
      </c>
      <c r="F661" s="25">
        <f>IF(OR($A661="",'04 Prices'!F661="",'04 Prices'!F662=""),"",'04 Prices'!F662/'04 Prices'!F661-1)</f>
        <v/>
      </c>
      <c r="G661" s="25">
        <f>IF(OR($A661="",'04 Prices'!G661="",'04 Prices'!G662=""),"",'04 Prices'!G662/'04 Prices'!G661-1)</f>
        <v/>
      </c>
      <c r="H661" s="25">
        <f>IF(OR($A661="",'04 Prices'!H661="",'04 Prices'!H662=""),"",'04 Prices'!H662/'04 Prices'!H661-1)</f>
        <v/>
      </c>
    </row>
    <row r="662">
      <c r="A662" s="23">
        <f>IF('04 Prices'!A663="","",'04 Prices'!A663)</f>
        <v/>
      </c>
      <c r="B662" s="25">
        <f>IF(OR($A662="",'04 Prices'!B662="",'04 Prices'!B663=""),"",'04 Prices'!B663/'04 Prices'!B662-1)</f>
        <v/>
      </c>
      <c r="C662" s="25">
        <f>IF(OR($A662="",'04 Prices'!C662="",'04 Prices'!C663=""),"",'04 Prices'!C663/'04 Prices'!C662-1)</f>
        <v/>
      </c>
      <c r="D662" s="25">
        <f>IF(OR($A662="",'04 Prices'!D662="",'04 Prices'!D663=""),"",'04 Prices'!D663/'04 Prices'!D662-1)</f>
        <v/>
      </c>
      <c r="E662" s="25">
        <f>IF(OR($A662="",'04 Prices'!E662="",'04 Prices'!E663=""),"",'04 Prices'!E663/'04 Prices'!E662-1)</f>
        <v/>
      </c>
      <c r="F662" s="25">
        <f>IF(OR($A662="",'04 Prices'!F662="",'04 Prices'!F663=""),"",'04 Prices'!F663/'04 Prices'!F662-1)</f>
        <v/>
      </c>
      <c r="G662" s="25">
        <f>IF(OR($A662="",'04 Prices'!G662="",'04 Prices'!G663=""),"",'04 Prices'!G663/'04 Prices'!G662-1)</f>
        <v/>
      </c>
      <c r="H662" s="25">
        <f>IF(OR($A662="",'04 Prices'!H662="",'04 Prices'!H663=""),"",'04 Prices'!H663/'04 Prices'!H662-1)</f>
        <v/>
      </c>
    </row>
    <row r="663">
      <c r="A663" s="23">
        <f>IF('04 Prices'!A664="","",'04 Prices'!A664)</f>
        <v/>
      </c>
      <c r="B663" s="25">
        <f>IF(OR($A663="",'04 Prices'!B663="",'04 Prices'!B664=""),"",'04 Prices'!B664/'04 Prices'!B663-1)</f>
        <v/>
      </c>
      <c r="C663" s="25">
        <f>IF(OR($A663="",'04 Prices'!C663="",'04 Prices'!C664=""),"",'04 Prices'!C664/'04 Prices'!C663-1)</f>
        <v/>
      </c>
      <c r="D663" s="25">
        <f>IF(OR($A663="",'04 Prices'!D663="",'04 Prices'!D664=""),"",'04 Prices'!D664/'04 Prices'!D663-1)</f>
        <v/>
      </c>
      <c r="E663" s="25">
        <f>IF(OR($A663="",'04 Prices'!E663="",'04 Prices'!E664=""),"",'04 Prices'!E664/'04 Prices'!E663-1)</f>
        <v/>
      </c>
      <c r="F663" s="25">
        <f>IF(OR($A663="",'04 Prices'!F663="",'04 Prices'!F664=""),"",'04 Prices'!F664/'04 Prices'!F663-1)</f>
        <v/>
      </c>
      <c r="G663" s="25">
        <f>IF(OR($A663="",'04 Prices'!G663="",'04 Prices'!G664=""),"",'04 Prices'!G664/'04 Prices'!G663-1)</f>
        <v/>
      </c>
      <c r="H663" s="25">
        <f>IF(OR($A663="",'04 Prices'!H663="",'04 Prices'!H664=""),"",'04 Prices'!H664/'04 Prices'!H663-1)</f>
        <v/>
      </c>
    </row>
    <row r="664">
      <c r="A664" s="23">
        <f>IF('04 Prices'!A665="","",'04 Prices'!A665)</f>
        <v/>
      </c>
      <c r="B664" s="25">
        <f>IF(OR($A664="",'04 Prices'!B664="",'04 Prices'!B665=""),"",'04 Prices'!B665/'04 Prices'!B664-1)</f>
        <v/>
      </c>
      <c r="C664" s="25">
        <f>IF(OR($A664="",'04 Prices'!C664="",'04 Prices'!C665=""),"",'04 Prices'!C665/'04 Prices'!C664-1)</f>
        <v/>
      </c>
      <c r="D664" s="25">
        <f>IF(OR($A664="",'04 Prices'!D664="",'04 Prices'!D665=""),"",'04 Prices'!D665/'04 Prices'!D664-1)</f>
        <v/>
      </c>
      <c r="E664" s="25">
        <f>IF(OR($A664="",'04 Prices'!E664="",'04 Prices'!E665=""),"",'04 Prices'!E665/'04 Prices'!E664-1)</f>
        <v/>
      </c>
      <c r="F664" s="25">
        <f>IF(OR($A664="",'04 Prices'!F664="",'04 Prices'!F665=""),"",'04 Prices'!F665/'04 Prices'!F664-1)</f>
        <v/>
      </c>
      <c r="G664" s="25">
        <f>IF(OR($A664="",'04 Prices'!G664="",'04 Prices'!G665=""),"",'04 Prices'!G665/'04 Prices'!G664-1)</f>
        <v/>
      </c>
      <c r="H664" s="25">
        <f>IF(OR($A664="",'04 Prices'!H664="",'04 Prices'!H665=""),"",'04 Prices'!H665/'04 Prices'!H664-1)</f>
        <v/>
      </c>
    </row>
    <row r="665">
      <c r="A665" s="23">
        <f>IF('04 Prices'!A666="","",'04 Prices'!A666)</f>
        <v/>
      </c>
      <c r="B665" s="25">
        <f>IF(OR($A665="",'04 Prices'!B665="",'04 Prices'!B666=""),"",'04 Prices'!B666/'04 Prices'!B665-1)</f>
        <v/>
      </c>
      <c r="C665" s="25">
        <f>IF(OR($A665="",'04 Prices'!C665="",'04 Prices'!C666=""),"",'04 Prices'!C666/'04 Prices'!C665-1)</f>
        <v/>
      </c>
      <c r="D665" s="25">
        <f>IF(OR($A665="",'04 Prices'!D665="",'04 Prices'!D666=""),"",'04 Prices'!D666/'04 Prices'!D665-1)</f>
        <v/>
      </c>
      <c r="E665" s="25">
        <f>IF(OR($A665="",'04 Prices'!E665="",'04 Prices'!E666=""),"",'04 Prices'!E666/'04 Prices'!E665-1)</f>
        <v/>
      </c>
      <c r="F665" s="25">
        <f>IF(OR($A665="",'04 Prices'!F665="",'04 Prices'!F666=""),"",'04 Prices'!F666/'04 Prices'!F665-1)</f>
        <v/>
      </c>
      <c r="G665" s="25">
        <f>IF(OR($A665="",'04 Prices'!G665="",'04 Prices'!G666=""),"",'04 Prices'!G666/'04 Prices'!G665-1)</f>
        <v/>
      </c>
      <c r="H665" s="25">
        <f>IF(OR($A665="",'04 Prices'!H665="",'04 Prices'!H666=""),"",'04 Prices'!H666/'04 Prices'!H665-1)</f>
        <v/>
      </c>
    </row>
    <row r="666">
      <c r="A666" s="23">
        <f>IF('04 Prices'!A667="","",'04 Prices'!A667)</f>
        <v/>
      </c>
      <c r="B666" s="25">
        <f>IF(OR($A666="",'04 Prices'!B666="",'04 Prices'!B667=""),"",'04 Prices'!B667/'04 Prices'!B666-1)</f>
        <v/>
      </c>
      <c r="C666" s="25">
        <f>IF(OR($A666="",'04 Prices'!C666="",'04 Prices'!C667=""),"",'04 Prices'!C667/'04 Prices'!C666-1)</f>
        <v/>
      </c>
      <c r="D666" s="25">
        <f>IF(OR($A666="",'04 Prices'!D666="",'04 Prices'!D667=""),"",'04 Prices'!D667/'04 Prices'!D666-1)</f>
        <v/>
      </c>
      <c r="E666" s="25">
        <f>IF(OR($A666="",'04 Prices'!E666="",'04 Prices'!E667=""),"",'04 Prices'!E667/'04 Prices'!E666-1)</f>
        <v/>
      </c>
      <c r="F666" s="25">
        <f>IF(OR($A666="",'04 Prices'!F666="",'04 Prices'!F667=""),"",'04 Prices'!F667/'04 Prices'!F666-1)</f>
        <v/>
      </c>
      <c r="G666" s="25">
        <f>IF(OR($A666="",'04 Prices'!G666="",'04 Prices'!G667=""),"",'04 Prices'!G667/'04 Prices'!G666-1)</f>
        <v/>
      </c>
      <c r="H666" s="25">
        <f>IF(OR($A666="",'04 Prices'!H666="",'04 Prices'!H667=""),"",'04 Prices'!H667/'04 Prices'!H666-1)</f>
        <v/>
      </c>
    </row>
    <row r="667">
      <c r="A667" s="23">
        <f>IF('04 Prices'!A668="","",'04 Prices'!A668)</f>
        <v/>
      </c>
      <c r="B667" s="25">
        <f>IF(OR($A667="",'04 Prices'!B667="",'04 Prices'!B668=""),"",'04 Prices'!B668/'04 Prices'!B667-1)</f>
        <v/>
      </c>
      <c r="C667" s="25">
        <f>IF(OR($A667="",'04 Prices'!C667="",'04 Prices'!C668=""),"",'04 Prices'!C668/'04 Prices'!C667-1)</f>
        <v/>
      </c>
      <c r="D667" s="25">
        <f>IF(OR($A667="",'04 Prices'!D667="",'04 Prices'!D668=""),"",'04 Prices'!D668/'04 Prices'!D667-1)</f>
        <v/>
      </c>
      <c r="E667" s="25">
        <f>IF(OR($A667="",'04 Prices'!E667="",'04 Prices'!E668=""),"",'04 Prices'!E668/'04 Prices'!E667-1)</f>
        <v/>
      </c>
      <c r="F667" s="25">
        <f>IF(OR($A667="",'04 Prices'!F667="",'04 Prices'!F668=""),"",'04 Prices'!F668/'04 Prices'!F667-1)</f>
        <v/>
      </c>
      <c r="G667" s="25">
        <f>IF(OR($A667="",'04 Prices'!G667="",'04 Prices'!G668=""),"",'04 Prices'!G668/'04 Prices'!G667-1)</f>
        <v/>
      </c>
      <c r="H667" s="25">
        <f>IF(OR($A667="",'04 Prices'!H667="",'04 Prices'!H668=""),"",'04 Prices'!H668/'04 Prices'!H667-1)</f>
        <v/>
      </c>
    </row>
    <row r="668">
      <c r="A668" s="23">
        <f>IF('04 Prices'!A669="","",'04 Prices'!A669)</f>
        <v/>
      </c>
      <c r="B668" s="25">
        <f>IF(OR($A668="",'04 Prices'!B668="",'04 Prices'!B669=""),"",'04 Prices'!B669/'04 Prices'!B668-1)</f>
        <v/>
      </c>
      <c r="C668" s="25">
        <f>IF(OR($A668="",'04 Prices'!C668="",'04 Prices'!C669=""),"",'04 Prices'!C669/'04 Prices'!C668-1)</f>
        <v/>
      </c>
      <c r="D668" s="25">
        <f>IF(OR($A668="",'04 Prices'!D668="",'04 Prices'!D669=""),"",'04 Prices'!D669/'04 Prices'!D668-1)</f>
        <v/>
      </c>
      <c r="E668" s="25">
        <f>IF(OR($A668="",'04 Prices'!E668="",'04 Prices'!E669=""),"",'04 Prices'!E669/'04 Prices'!E668-1)</f>
        <v/>
      </c>
      <c r="F668" s="25">
        <f>IF(OR($A668="",'04 Prices'!F668="",'04 Prices'!F669=""),"",'04 Prices'!F669/'04 Prices'!F668-1)</f>
        <v/>
      </c>
      <c r="G668" s="25">
        <f>IF(OR($A668="",'04 Prices'!G668="",'04 Prices'!G669=""),"",'04 Prices'!G669/'04 Prices'!G668-1)</f>
        <v/>
      </c>
      <c r="H668" s="25">
        <f>IF(OR($A668="",'04 Prices'!H668="",'04 Prices'!H669=""),"",'04 Prices'!H669/'04 Prices'!H668-1)</f>
        <v/>
      </c>
    </row>
    <row r="669">
      <c r="A669" s="23">
        <f>IF('04 Prices'!A670="","",'04 Prices'!A670)</f>
        <v/>
      </c>
      <c r="B669" s="25">
        <f>IF(OR($A669="",'04 Prices'!B669="",'04 Prices'!B670=""),"",'04 Prices'!B670/'04 Prices'!B669-1)</f>
        <v/>
      </c>
      <c r="C669" s="25">
        <f>IF(OR($A669="",'04 Prices'!C669="",'04 Prices'!C670=""),"",'04 Prices'!C670/'04 Prices'!C669-1)</f>
        <v/>
      </c>
      <c r="D669" s="25">
        <f>IF(OR($A669="",'04 Prices'!D669="",'04 Prices'!D670=""),"",'04 Prices'!D670/'04 Prices'!D669-1)</f>
        <v/>
      </c>
      <c r="E669" s="25">
        <f>IF(OR($A669="",'04 Prices'!E669="",'04 Prices'!E670=""),"",'04 Prices'!E670/'04 Prices'!E669-1)</f>
        <v/>
      </c>
      <c r="F669" s="25">
        <f>IF(OR($A669="",'04 Prices'!F669="",'04 Prices'!F670=""),"",'04 Prices'!F670/'04 Prices'!F669-1)</f>
        <v/>
      </c>
      <c r="G669" s="25">
        <f>IF(OR($A669="",'04 Prices'!G669="",'04 Prices'!G670=""),"",'04 Prices'!G670/'04 Prices'!G669-1)</f>
        <v/>
      </c>
      <c r="H669" s="25">
        <f>IF(OR($A669="",'04 Prices'!H669="",'04 Prices'!H670=""),"",'04 Prices'!H670/'04 Prices'!H669-1)</f>
        <v/>
      </c>
    </row>
    <row r="670">
      <c r="A670" s="23">
        <f>IF('04 Prices'!A671="","",'04 Prices'!A671)</f>
        <v/>
      </c>
      <c r="B670" s="25">
        <f>IF(OR($A670="",'04 Prices'!B670="",'04 Prices'!B671=""),"",'04 Prices'!B671/'04 Prices'!B670-1)</f>
        <v/>
      </c>
      <c r="C670" s="25">
        <f>IF(OR($A670="",'04 Prices'!C670="",'04 Prices'!C671=""),"",'04 Prices'!C671/'04 Prices'!C670-1)</f>
        <v/>
      </c>
      <c r="D670" s="25">
        <f>IF(OR($A670="",'04 Prices'!D670="",'04 Prices'!D671=""),"",'04 Prices'!D671/'04 Prices'!D670-1)</f>
        <v/>
      </c>
      <c r="E670" s="25">
        <f>IF(OR($A670="",'04 Prices'!E670="",'04 Prices'!E671=""),"",'04 Prices'!E671/'04 Prices'!E670-1)</f>
        <v/>
      </c>
      <c r="F670" s="25">
        <f>IF(OR($A670="",'04 Prices'!F670="",'04 Prices'!F671=""),"",'04 Prices'!F671/'04 Prices'!F670-1)</f>
        <v/>
      </c>
      <c r="G670" s="25">
        <f>IF(OR($A670="",'04 Prices'!G670="",'04 Prices'!G671=""),"",'04 Prices'!G671/'04 Prices'!G670-1)</f>
        <v/>
      </c>
      <c r="H670" s="25">
        <f>IF(OR($A670="",'04 Prices'!H670="",'04 Prices'!H671=""),"",'04 Prices'!H671/'04 Prices'!H670-1)</f>
        <v/>
      </c>
    </row>
    <row r="671">
      <c r="A671" s="23">
        <f>IF('04 Prices'!A672="","",'04 Prices'!A672)</f>
        <v/>
      </c>
      <c r="B671" s="25">
        <f>IF(OR($A671="",'04 Prices'!B671="",'04 Prices'!B672=""),"",'04 Prices'!B672/'04 Prices'!B671-1)</f>
        <v/>
      </c>
      <c r="C671" s="25">
        <f>IF(OR($A671="",'04 Prices'!C671="",'04 Prices'!C672=""),"",'04 Prices'!C672/'04 Prices'!C671-1)</f>
        <v/>
      </c>
      <c r="D671" s="25">
        <f>IF(OR($A671="",'04 Prices'!D671="",'04 Prices'!D672=""),"",'04 Prices'!D672/'04 Prices'!D671-1)</f>
        <v/>
      </c>
      <c r="E671" s="25">
        <f>IF(OR($A671="",'04 Prices'!E671="",'04 Prices'!E672=""),"",'04 Prices'!E672/'04 Prices'!E671-1)</f>
        <v/>
      </c>
      <c r="F671" s="25">
        <f>IF(OR($A671="",'04 Prices'!F671="",'04 Prices'!F672=""),"",'04 Prices'!F672/'04 Prices'!F671-1)</f>
        <v/>
      </c>
      <c r="G671" s="25">
        <f>IF(OR($A671="",'04 Prices'!G671="",'04 Prices'!G672=""),"",'04 Prices'!G672/'04 Prices'!G671-1)</f>
        <v/>
      </c>
      <c r="H671" s="25">
        <f>IF(OR($A671="",'04 Prices'!H671="",'04 Prices'!H672=""),"",'04 Prices'!H672/'04 Prices'!H671-1)</f>
        <v/>
      </c>
    </row>
    <row r="672">
      <c r="A672" s="23">
        <f>IF('04 Prices'!A673="","",'04 Prices'!A673)</f>
        <v/>
      </c>
      <c r="B672" s="25">
        <f>IF(OR($A672="",'04 Prices'!B672="",'04 Prices'!B673=""),"",'04 Prices'!B673/'04 Prices'!B672-1)</f>
        <v/>
      </c>
      <c r="C672" s="25">
        <f>IF(OR($A672="",'04 Prices'!C672="",'04 Prices'!C673=""),"",'04 Prices'!C673/'04 Prices'!C672-1)</f>
        <v/>
      </c>
      <c r="D672" s="25">
        <f>IF(OR($A672="",'04 Prices'!D672="",'04 Prices'!D673=""),"",'04 Prices'!D673/'04 Prices'!D672-1)</f>
        <v/>
      </c>
      <c r="E672" s="25">
        <f>IF(OR($A672="",'04 Prices'!E672="",'04 Prices'!E673=""),"",'04 Prices'!E673/'04 Prices'!E672-1)</f>
        <v/>
      </c>
      <c r="F672" s="25">
        <f>IF(OR($A672="",'04 Prices'!F672="",'04 Prices'!F673=""),"",'04 Prices'!F673/'04 Prices'!F672-1)</f>
        <v/>
      </c>
      <c r="G672" s="25">
        <f>IF(OR($A672="",'04 Prices'!G672="",'04 Prices'!G673=""),"",'04 Prices'!G673/'04 Prices'!G672-1)</f>
        <v/>
      </c>
      <c r="H672" s="25">
        <f>IF(OR($A672="",'04 Prices'!H672="",'04 Prices'!H673=""),"",'04 Prices'!H673/'04 Prices'!H672-1)</f>
        <v/>
      </c>
    </row>
    <row r="673">
      <c r="A673" s="23">
        <f>IF('04 Prices'!A674="","",'04 Prices'!A674)</f>
        <v/>
      </c>
      <c r="B673" s="25">
        <f>IF(OR($A673="",'04 Prices'!B673="",'04 Prices'!B674=""),"",'04 Prices'!B674/'04 Prices'!B673-1)</f>
        <v/>
      </c>
      <c r="C673" s="25">
        <f>IF(OR($A673="",'04 Prices'!C673="",'04 Prices'!C674=""),"",'04 Prices'!C674/'04 Prices'!C673-1)</f>
        <v/>
      </c>
      <c r="D673" s="25">
        <f>IF(OR($A673="",'04 Prices'!D673="",'04 Prices'!D674=""),"",'04 Prices'!D674/'04 Prices'!D673-1)</f>
        <v/>
      </c>
      <c r="E673" s="25">
        <f>IF(OR($A673="",'04 Prices'!E673="",'04 Prices'!E674=""),"",'04 Prices'!E674/'04 Prices'!E673-1)</f>
        <v/>
      </c>
      <c r="F673" s="25">
        <f>IF(OR($A673="",'04 Prices'!F673="",'04 Prices'!F674=""),"",'04 Prices'!F674/'04 Prices'!F673-1)</f>
        <v/>
      </c>
      <c r="G673" s="25">
        <f>IF(OR($A673="",'04 Prices'!G673="",'04 Prices'!G674=""),"",'04 Prices'!G674/'04 Prices'!G673-1)</f>
        <v/>
      </c>
      <c r="H673" s="25">
        <f>IF(OR($A673="",'04 Prices'!H673="",'04 Prices'!H674=""),"",'04 Prices'!H674/'04 Prices'!H673-1)</f>
        <v/>
      </c>
    </row>
    <row r="674">
      <c r="A674" s="23">
        <f>IF('04 Prices'!A675="","",'04 Prices'!A675)</f>
        <v/>
      </c>
      <c r="B674" s="25">
        <f>IF(OR($A674="",'04 Prices'!B674="",'04 Prices'!B675=""),"",'04 Prices'!B675/'04 Prices'!B674-1)</f>
        <v/>
      </c>
      <c r="C674" s="25">
        <f>IF(OR($A674="",'04 Prices'!C674="",'04 Prices'!C675=""),"",'04 Prices'!C675/'04 Prices'!C674-1)</f>
        <v/>
      </c>
      <c r="D674" s="25">
        <f>IF(OR($A674="",'04 Prices'!D674="",'04 Prices'!D675=""),"",'04 Prices'!D675/'04 Prices'!D674-1)</f>
        <v/>
      </c>
      <c r="E674" s="25">
        <f>IF(OR($A674="",'04 Prices'!E674="",'04 Prices'!E675=""),"",'04 Prices'!E675/'04 Prices'!E674-1)</f>
        <v/>
      </c>
      <c r="F674" s="25">
        <f>IF(OR($A674="",'04 Prices'!F674="",'04 Prices'!F675=""),"",'04 Prices'!F675/'04 Prices'!F674-1)</f>
        <v/>
      </c>
      <c r="G674" s="25">
        <f>IF(OR($A674="",'04 Prices'!G674="",'04 Prices'!G675=""),"",'04 Prices'!G675/'04 Prices'!G674-1)</f>
        <v/>
      </c>
      <c r="H674" s="25">
        <f>IF(OR($A674="",'04 Prices'!H674="",'04 Prices'!H675=""),"",'04 Prices'!H675/'04 Prices'!H674-1)</f>
        <v/>
      </c>
    </row>
    <row r="675">
      <c r="A675" s="23">
        <f>IF('04 Prices'!A676="","",'04 Prices'!A676)</f>
        <v/>
      </c>
      <c r="B675" s="25">
        <f>IF(OR($A675="",'04 Prices'!B675="",'04 Prices'!B676=""),"",'04 Prices'!B676/'04 Prices'!B675-1)</f>
        <v/>
      </c>
      <c r="C675" s="25">
        <f>IF(OR($A675="",'04 Prices'!C675="",'04 Prices'!C676=""),"",'04 Prices'!C676/'04 Prices'!C675-1)</f>
        <v/>
      </c>
      <c r="D675" s="25">
        <f>IF(OR($A675="",'04 Prices'!D675="",'04 Prices'!D676=""),"",'04 Prices'!D676/'04 Prices'!D675-1)</f>
        <v/>
      </c>
      <c r="E675" s="25">
        <f>IF(OR($A675="",'04 Prices'!E675="",'04 Prices'!E676=""),"",'04 Prices'!E676/'04 Prices'!E675-1)</f>
        <v/>
      </c>
      <c r="F675" s="25">
        <f>IF(OR($A675="",'04 Prices'!F675="",'04 Prices'!F676=""),"",'04 Prices'!F676/'04 Prices'!F675-1)</f>
        <v/>
      </c>
      <c r="G675" s="25">
        <f>IF(OR($A675="",'04 Prices'!G675="",'04 Prices'!G676=""),"",'04 Prices'!G676/'04 Prices'!G675-1)</f>
        <v/>
      </c>
      <c r="H675" s="25">
        <f>IF(OR($A675="",'04 Prices'!H675="",'04 Prices'!H676=""),"",'04 Prices'!H676/'04 Prices'!H675-1)</f>
        <v/>
      </c>
    </row>
    <row r="676">
      <c r="A676" s="23">
        <f>IF('04 Prices'!A677="","",'04 Prices'!A677)</f>
        <v/>
      </c>
      <c r="B676" s="25">
        <f>IF(OR($A676="",'04 Prices'!B676="",'04 Prices'!B677=""),"",'04 Prices'!B677/'04 Prices'!B676-1)</f>
        <v/>
      </c>
      <c r="C676" s="25">
        <f>IF(OR($A676="",'04 Prices'!C676="",'04 Prices'!C677=""),"",'04 Prices'!C677/'04 Prices'!C676-1)</f>
        <v/>
      </c>
      <c r="D676" s="25">
        <f>IF(OR($A676="",'04 Prices'!D676="",'04 Prices'!D677=""),"",'04 Prices'!D677/'04 Prices'!D676-1)</f>
        <v/>
      </c>
      <c r="E676" s="25">
        <f>IF(OR($A676="",'04 Prices'!E676="",'04 Prices'!E677=""),"",'04 Prices'!E677/'04 Prices'!E676-1)</f>
        <v/>
      </c>
      <c r="F676" s="25">
        <f>IF(OR($A676="",'04 Prices'!F676="",'04 Prices'!F677=""),"",'04 Prices'!F677/'04 Prices'!F676-1)</f>
        <v/>
      </c>
      <c r="G676" s="25">
        <f>IF(OR($A676="",'04 Prices'!G676="",'04 Prices'!G677=""),"",'04 Prices'!G677/'04 Prices'!G676-1)</f>
        <v/>
      </c>
      <c r="H676" s="25">
        <f>IF(OR($A676="",'04 Prices'!H676="",'04 Prices'!H677=""),"",'04 Prices'!H677/'04 Prices'!H676-1)</f>
        <v/>
      </c>
    </row>
    <row r="677">
      <c r="A677" s="23">
        <f>IF('04 Prices'!A678="","",'04 Prices'!A678)</f>
        <v/>
      </c>
      <c r="B677" s="25">
        <f>IF(OR($A677="",'04 Prices'!B677="",'04 Prices'!B678=""),"",'04 Prices'!B678/'04 Prices'!B677-1)</f>
        <v/>
      </c>
      <c r="C677" s="25">
        <f>IF(OR($A677="",'04 Prices'!C677="",'04 Prices'!C678=""),"",'04 Prices'!C678/'04 Prices'!C677-1)</f>
        <v/>
      </c>
      <c r="D677" s="25">
        <f>IF(OR($A677="",'04 Prices'!D677="",'04 Prices'!D678=""),"",'04 Prices'!D678/'04 Prices'!D677-1)</f>
        <v/>
      </c>
      <c r="E677" s="25">
        <f>IF(OR($A677="",'04 Prices'!E677="",'04 Prices'!E678=""),"",'04 Prices'!E678/'04 Prices'!E677-1)</f>
        <v/>
      </c>
      <c r="F677" s="25">
        <f>IF(OR($A677="",'04 Prices'!F677="",'04 Prices'!F678=""),"",'04 Prices'!F678/'04 Prices'!F677-1)</f>
        <v/>
      </c>
      <c r="G677" s="25">
        <f>IF(OR($A677="",'04 Prices'!G677="",'04 Prices'!G678=""),"",'04 Prices'!G678/'04 Prices'!G677-1)</f>
        <v/>
      </c>
      <c r="H677" s="25">
        <f>IF(OR($A677="",'04 Prices'!H677="",'04 Prices'!H678=""),"",'04 Prices'!H678/'04 Prices'!H677-1)</f>
        <v/>
      </c>
    </row>
    <row r="678">
      <c r="A678" s="23">
        <f>IF('04 Prices'!A679="","",'04 Prices'!A679)</f>
        <v/>
      </c>
      <c r="B678" s="25">
        <f>IF(OR($A678="",'04 Prices'!B678="",'04 Prices'!B679=""),"",'04 Prices'!B679/'04 Prices'!B678-1)</f>
        <v/>
      </c>
      <c r="C678" s="25">
        <f>IF(OR($A678="",'04 Prices'!C678="",'04 Prices'!C679=""),"",'04 Prices'!C679/'04 Prices'!C678-1)</f>
        <v/>
      </c>
      <c r="D678" s="25">
        <f>IF(OR($A678="",'04 Prices'!D678="",'04 Prices'!D679=""),"",'04 Prices'!D679/'04 Prices'!D678-1)</f>
        <v/>
      </c>
      <c r="E678" s="25">
        <f>IF(OR($A678="",'04 Prices'!E678="",'04 Prices'!E679=""),"",'04 Prices'!E679/'04 Prices'!E678-1)</f>
        <v/>
      </c>
      <c r="F678" s="25">
        <f>IF(OR($A678="",'04 Prices'!F678="",'04 Prices'!F679=""),"",'04 Prices'!F679/'04 Prices'!F678-1)</f>
        <v/>
      </c>
      <c r="G678" s="25">
        <f>IF(OR($A678="",'04 Prices'!G678="",'04 Prices'!G679=""),"",'04 Prices'!G679/'04 Prices'!G678-1)</f>
        <v/>
      </c>
      <c r="H678" s="25">
        <f>IF(OR($A678="",'04 Prices'!H678="",'04 Prices'!H679=""),"",'04 Prices'!H679/'04 Prices'!H678-1)</f>
        <v/>
      </c>
    </row>
    <row r="679">
      <c r="A679" s="23">
        <f>IF('04 Prices'!A680="","",'04 Prices'!A680)</f>
        <v/>
      </c>
      <c r="B679" s="25">
        <f>IF(OR($A679="",'04 Prices'!B679="",'04 Prices'!B680=""),"",'04 Prices'!B680/'04 Prices'!B679-1)</f>
        <v/>
      </c>
      <c r="C679" s="25">
        <f>IF(OR($A679="",'04 Prices'!C679="",'04 Prices'!C680=""),"",'04 Prices'!C680/'04 Prices'!C679-1)</f>
        <v/>
      </c>
      <c r="D679" s="25">
        <f>IF(OR($A679="",'04 Prices'!D679="",'04 Prices'!D680=""),"",'04 Prices'!D680/'04 Prices'!D679-1)</f>
        <v/>
      </c>
      <c r="E679" s="25">
        <f>IF(OR($A679="",'04 Prices'!E679="",'04 Prices'!E680=""),"",'04 Prices'!E680/'04 Prices'!E679-1)</f>
        <v/>
      </c>
      <c r="F679" s="25">
        <f>IF(OR($A679="",'04 Prices'!F679="",'04 Prices'!F680=""),"",'04 Prices'!F680/'04 Prices'!F679-1)</f>
        <v/>
      </c>
      <c r="G679" s="25">
        <f>IF(OR($A679="",'04 Prices'!G679="",'04 Prices'!G680=""),"",'04 Prices'!G680/'04 Prices'!G679-1)</f>
        <v/>
      </c>
      <c r="H679" s="25">
        <f>IF(OR($A679="",'04 Prices'!H679="",'04 Prices'!H680=""),"",'04 Prices'!H680/'04 Prices'!H679-1)</f>
        <v/>
      </c>
    </row>
    <row r="680">
      <c r="A680" s="23">
        <f>IF('04 Prices'!A681="","",'04 Prices'!A681)</f>
        <v/>
      </c>
      <c r="B680" s="25">
        <f>IF(OR($A680="",'04 Prices'!B680="",'04 Prices'!B681=""),"",'04 Prices'!B681/'04 Prices'!B680-1)</f>
        <v/>
      </c>
      <c r="C680" s="25">
        <f>IF(OR($A680="",'04 Prices'!C680="",'04 Prices'!C681=""),"",'04 Prices'!C681/'04 Prices'!C680-1)</f>
        <v/>
      </c>
      <c r="D680" s="25">
        <f>IF(OR($A680="",'04 Prices'!D680="",'04 Prices'!D681=""),"",'04 Prices'!D681/'04 Prices'!D680-1)</f>
        <v/>
      </c>
      <c r="E680" s="25">
        <f>IF(OR($A680="",'04 Prices'!E680="",'04 Prices'!E681=""),"",'04 Prices'!E681/'04 Prices'!E680-1)</f>
        <v/>
      </c>
      <c r="F680" s="25">
        <f>IF(OR($A680="",'04 Prices'!F680="",'04 Prices'!F681=""),"",'04 Prices'!F681/'04 Prices'!F680-1)</f>
        <v/>
      </c>
      <c r="G680" s="25">
        <f>IF(OR($A680="",'04 Prices'!G680="",'04 Prices'!G681=""),"",'04 Prices'!G681/'04 Prices'!G680-1)</f>
        <v/>
      </c>
      <c r="H680" s="25">
        <f>IF(OR($A680="",'04 Prices'!H680="",'04 Prices'!H681=""),"",'04 Prices'!H681/'04 Prices'!H680-1)</f>
        <v/>
      </c>
    </row>
    <row r="681">
      <c r="A681" s="23">
        <f>IF('04 Prices'!A682="","",'04 Prices'!A682)</f>
        <v/>
      </c>
      <c r="B681" s="25">
        <f>IF(OR($A681="",'04 Prices'!B681="",'04 Prices'!B682=""),"",'04 Prices'!B682/'04 Prices'!B681-1)</f>
        <v/>
      </c>
      <c r="C681" s="25">
        <f>IF(OR($A681="",'04 Prices'!C681="",'04 Prices'!C682=""),"",'04 Prices'!C682/'04 Prices'!C681-1)</f>
        <v/>
      </c>
      <c r="D681" s="25">
        <f>IF(OR($A681="",'04 Prices'!D681="",'04 Prices'!D682=""),"",'04 Prices'!D682/'04 Prices'!D681-1)</f>
        <v/>
      </c>
      <c r="E681" s="25">
        <f>IF(OR($A681="",'04 Prices'!E681="",'04 Prices'!E682=""),"",'04 Prices'!E682/'04 Prices'!E681-1)</f>
        <v/>
      </c>
      <c r="F681" s="25">
        <f>IF(OR($A681="",'04 Prices'!F681="",'04 Prices'!F682=""),"",'04 Prices'!F682/'04 Prices'!F681-1)</f>
        <v/>
      </c>
      <c r="G681" s="25">
        <f>IF(OR($A681="",'04 Prices'!G681="",'04 Prices'!G682=""),"",'04 Prices'!G682/'04 Prices'!G681-1)</f>
        <v/>
      </c>
      <c r="H681" s="25">
        <f>IF(OR($A681="",'04 Prices'!H681="",'04 Prices'!H682=""),"",'04 Prices'!H682/'04 Prices'!H681-1)</f>
        <v/>
      </c>
    </row>
    <row r="682">
      <c r="A682" s="23">
        <f>IF('04 Prices'!A683="","",'04 Prices'!A683)</f>
        <v/>
      </c>
      <c r="B682" s="25">
        <f>IF(OR($A682="",'04 Prices'!B682="",'04 Prices'!B683=""),"",'04 Prices'!B683/'04 Prices'!B682-1)</f>
        <v/>
      </c>
      <c r="C682" s="25">
        <f>IF(OR($A682="",'04 Prices'!C682="",'04 Prices'!C683=""),"",'04 Prices'!C683/'04 Prices'!C682-1)</f>
        <v/>
      </c>
      <c r="D682" s="25">
        <f>IF(OR($A682="",'04 Prices'!D682="",'04 Prices'!D683=""),"",'04 Prices'!D683/'04 Prices'!D682-1)</f>
        <v/>
      </c>
      <c r="E682" s="25">
        <f>IF(OR($A682="",'04 Prices'!E682="",'04 Prices'!E683=""),"",'04 Prices'!E683/'04 Prices'!E682-1)</f>
        <v/>
      </c>
      <c r="F682" s="25">
        <f>IF(OR($A682="",'04 Prices'!F682="",'04 Prices'!F683=""),"",'04 Prices'!F683/'04 Prices'!F682-1)</f>
        <v/>
      </c>
      <c r="G682" s="25">
        <f>IF(OR($A682="",'04 Prices'!G682="",'04 Prices'!G683=""),"",'04 Prices'!G683/'04 Prices'!G682-1)</f>
        <v/>
      </c>
      <c r="H682" s="25">
        <f>IF(OR($A682="",'04 Prices'!H682="",'04 Prices'!H683=""),"",'04 Prices'!H683/'04 Prices'!H682-1)</f>
        <v/>
      </c>
    </row>
    <row r="683">
      <c r="A683" s="23">
        <f>IF('04 Prices'!A684="","",'04 Prices'!A684)</f>
        <v/>
      </c>
      <c r="B683" s="25">
        <f>IF(OR($A683="",'04 Prices'!B683="",'04 Prices'!B684=""),"",'04 Prices'!B684/'04 Prices'!B683-1)</f>
        <v/>
      </c>
      <c r="C683" s="25">
        <f>IF(OR($A683="",'04 Prices'!C683="",'04 Prices'!C684=""),"",'04 Prices'!C684/'04 Prices'!C683-1)</f>
        <v/>
      </c>
      <c r="D683" s="25">
        <f>IF(OR($A683="",'04 Prices'!D683="",'04 Prices'!D684=""),"",'04 Prices'!D684/'04 Prices'!D683-1)</f>
        <v/>
      </c>
      <c r="E683" s="25">
        <f>IF(OR($A683="",'04 Prices'!E683="",'04 Prices'!E684=""),"",'04 Prices'!E684/'04 Prices'!E683-1)</f>
        <v/>
      </c>
      <c r="F683" s="25">
        <f>IF(OR($A683="",'04 Prices'!F683="",'04 Prices'!F684=""),"",'04 Prices'!F684/'04 Prices'!F683-1)</f>
        <v/>
      </c>
      <c r="G683" s="25">
        <f>IF(OR($A683="",'04 Prices'!G683="",'04 Prices'!G684=""),"",'04 Prices'!G684/'04 Prices'!G683-1)</f>
        <v/>
      </c>
      <c r="H683" s="25">
        <f>IF(OR($A683="",'04 Prices'!H683="",'04 Prices'!H684=""),"",'04 Prices'!H684/'04 Prices'!H683-1)</f>
        <v/>
      </c>
    </row>
    <row r="684">
      <c r="A684" s="23">
        <f>IF('04 Prices'!A685="","",'04 Prices'!A685)</f>
        <v/>
      </c>
      <c r="B684" s="25">
        <f>IF(OR($A684="",'04 Prices'!B684="",'04 Prices'!B685=""),"",'04 Prices'!B685/'04 Prices'!B684-1)</f>
        <v/>
      </c>
      <c r="C684" s="25">
        <f>IF(OR($A684="",'04 Prices'!C684="",'04 Prices'!C685=""),"",'04 Prices'!C685/'04 Prices'!C684-1)</f>
        <v/>
      </c>
      <c r="D684" s="25">
        <f>IF(OR($A684="",'04 Prices'!D684="",'04 Prices'!D685=""),"",'04 Prices'!D685/'04 Prices'!D684-1)</f>
        <v/>
      </c>
      <c r="E684" s="25">
        <f>IF(OR($A684="",'04 Prices'!E684="",'04 Prices'!E685=""),"",'04 Prices'!E685/'04 Prices'!E684-1)</f>
        <v/>
      </c>
      <c r="F684" s="25">
        <f>IF(OR($A684="",'04 Prices'!F684="",'04 Prices'!F685=""),"",'04 Prices'!F685/'04 Prices'!F684-1)</f>
        <v/>
      </c>
      <c r="G684" s="25">
        <f>IF(OR($A684="",'04 Prices'!G684="",'04 Prices'!G685=""),"",'04 Prices'!G685/'04 Prices'!G684-1)</f>
        <v/>
      </c>
      <c r="H684" s="25">
        <f>IF(OR($A684="",'04 Prices'!H684="",'04 Prices'!H685=""),"",'04 Prices'!H685/'04 Prices'!H684-1)</f>
        <v/>
      </c>
    </row>
    <row r="685">
      <c r="A685" s="23">
        <f>IF('04 Prices'!A686="","",'04 Prices'!A686)</f>
        <v/>
      </c>
      <c r="B685" s="25">
        <f>IF(OR($A685="",'04 Prices'!B685="",'04 Prices'!B686=""),"",'04 Prices'!B686/'04 Prices'!B685-1)</f>
        <v/>
      </c>
      <c r="C685" s="25">
        <f>IF(OR($A685="",'04 Prices'!C685="",'04 Prices'!C686=""),"",'04 Prices'!C686/'04 Prices'!C685-1)</f>
        <v/>
      </c>
      <c r="D685" s="25">
        <f>IF(OR($A685="",'04 Prices'!D685="",'04 Prices'!D686=""),"",'04 Prices'!D686/'04 Prices'!D685-1)</f>
        <v/>
      </c>
      <c r="E685" s="25">
        <f>IF(OR($A685="",'04 Prices'!E685="",'04 Prices'!E686=""),"",'04 Prices'!E686/'04 Prices'!E685-1)</f>
        <v/>
      </c>
      <c r="F685" s="25">
        <f>IF(OR($A685="",'04 Prices'!F685="",'04 Prices'!F686=""),"",'04 Prices'!F686/'04 Prices'!F685-1)</f>
        <v/>
      </c>
      <c r="G685" s="25">
        <f>IF(OR($A685="",'04 Prices'!G685="",'04 Prices'!G686=""),"",'04 Prices'!G686/'04 Prices'!G685-1)</f>
        <v/>
      </c>
      <c r="H685" s="25">
        <f>IF(OR($A685="",'04 Prices'!H685="",'04 Prices'!H686=""),"",'04 Prices'!H686/'04 Prices'!H685-1)</f>
        <v/>
      </c>
    </row>
    <row r="686">
      <c r="A686" s="23">
        <f>IF('04 Prices'!A687="","",'04 Prices'!A687)</f>
        <v/>
      </c>
      <c r="B686" s="25">
        <f>IF(OR($A686="",'04 Prices'!B686="",'04 Prices'!B687=""),"",'04 Prices'!B687/'04 Prices'!B686-1)</f>
        <v/>
      </c>
      <c r="C686" s="25">
        <f>IF(OR($A686="",'04 Prices'!C686="",'04 Prices'!C687=""),"",'04 Prices'!C687/'04 Prices'!C686-1)</f>
        <v/>
      </c>
      <c r="D686" s="25">
        <f>IF(OR($A686="",'04 Prices'!D686="",'04 Prices'!D687=""),"",'04 Prices'!D687/'04 Prices'!D686-1)</f>
        <v/>
      </c>
      <c r="E686" s="25">
        <f>IF(OR($A686="",'04 Prices'!E686="",'04 Prices'!E687=""),"",'04 Prices'!E687/'04 Prices'!E686-1)</f>
        <v/>
      </c>
      <c r="F686" s="25">
        <f>IF(OR($A686="",'04 Prices'!F686="",'04 Prices'!F687=""),"",'04 Prices'!F687/'04 Prices'!F686-1)</f>
        <v/>
      </c>
      <c r="G686" s="25">
        <f>IF(OR($A686="",'04 Prices'!G686="",'04 Prices'!G687=""),"",'04 Prices'!G687/'04 Prices'!G686-1)</f>
        <v/>
      </c>
      <c r="H686" s="25">
        <f>IF(OR($A686="",'04 Prices'!H686="",'04 Prices'!H687=""),"",'04 Prices'!H687/'04 Prices'!H686-1)</f>
        <v/>
      </c>
    </row>
    <row r="687">
      <c r="A687" s="23">
        <f>IF('04 Prices'!A688="","",'04 Prices'!A688)</f>
        <v/>
      </c>
      <c r="B687" s="25">
        <f>IF(OR($A687="",'04 Prices'!B687="",'04 Prices'!B688=""),"",'04 Prices'!B688/'04 Prices'!B687-1)</f>
        <v/>
      </c>
      <c r="C687" s="25">
        <f>IF(OR($A687="",'04 Prices'!C687="",'04 Prices'!C688=""),"",'04 Prices'!C688/'04 Prices'!C687-1)</f>
        <v/>
      </c>
      <c r="D687" s="25">
        <f>IF(OR($A687="",'04 Prices'!D687="",'04 Prices'!D688=""),"",'04 Prices'!D688/'04 Prices'!D687-1)</f>
        <v/>
      </c>
      <c r="E687" s="25">
        <f>IF(OR($A687="",'04 Prices'!E687="",'04 Prices'!E688=""),"",'04 Prices'!E688/'04 Prices'!E687-1)</f>
        <v/>
      </c>
      <c r="F687" s="25">
        <f>IF(OR($A687="",'04 Prices'!F687="",'04 Prices'!F688=""),"",'04 Prices'!F688/'04 Prices'!F687-1)</f>
        <v/>
      </c>
      <c r="G687" s="25">
        <f>IF(OR($A687="",'04 Prices'!G687="",'04 Prices'!G688=""),"",'04 Prices'!G688/'04 Prices'!G687-1)</f>
        <v/>
      </c>
      <c r="H687" s="25">
        <f>IF(OR($A687="",'04 Prices'!H687="",'04 Prices'!H688=""),"",'04 Prices'!H688/'04 Prices'!H687-1)</f>
        <v/>
      </c>
    </row>
    <row r="688">
      <c r="A688" s="23">
        <f>IF('04 Prices'!A689="","",'04 Prices'!A689)</f>
        <v/>
      </c>
      <c r="B688" s="25">
        <f>IF(OR($A688="",'04 Prices'!B688="",'04 Prices'!B689=""),"",'04 Prices'!B689/'04 Prices'!B688-1)</f>
        <v/>
      </c>
      <c r="C688" s="25">
        <f>IF(OR($A688="",'04 Prices'!C688="",'04 Prices'!C689=""),"",'04 Prices'!C689/'04 Prices'!C688-1)</f>
        <v/>
      </c>
      <c r="D688" s="25">
        <f>IF(OR($A688="",'04 Prices'!D688="",'04 Prices'!D689=""),"",'04 Prices'!D689/'04 Prices'!D688-1)</f>
        <v/>
      </c>
      <c r="E688" s="25">
        <f>IF(OR($A688="",'04 Prices'!E688="",'04 Prices'!E689=""),"",'04 Prices'!E689/'04 Prices'!E688-1)</f>
        <v/>
      </c>
      <c r="F688" s="25">
        <f>IF(OR($A688="",'04 Prices'!F688="",'04 Prices'!F689=""),"",'04 Prices'!F689/'04 Prices'!F688-1)</f>
        <v/>
      </c>
      <c r="G688" s="25">
        <f>IF(OR($A688="",'04 Prices'!G688="",'04 Prices'!G689=""),"",'04 Prices'!G689/'04 Prices'!G688-1)</f>
        <v/>
      </c>
      <c r="H688" s="25">
        <f>IF(OR($A688="",'04 Prices'!H688="",'04 Prices'!H689=""),"",'04 Prices'!H689/'04 Prices'!H688-1)</f>
        <v/>
      </c>
    </row>
    <row r="689">
      <c r="A689" s="23">
        <f>IF('04 Prices'!A690="","",'04 Prices'!A690)</f>
        <v/>
      </c>
      <c r="B689" s="25">
        <f>IF(OR($A689="",'04 Prices'!B689="",'04 Prices'!B690=""),"",'04 Prices'!B690/'04 Prices'!B689-1)</f>
        <v/>
      </c>
      <c r="C689" s="25">
        <f>IF(OR($A689="",'04 Prices'!C689="",'04 Prices'!C690=""),"",'04 Prices'!C690/'04 Prices'!C689-1)</f>
        <v/>
      </c>
      <c r="D689" s="25">
        <f>IF(OR($A689="",'04 Prices'!D689="",'04 Prices'!D690=""),"",'04 Prices'!D690/'04 Prices'!D689-1)</f>
        <v/>
      </c>
      <c r="E689" s="25">
        <f>IF(OR($A689="",'04 Prices'!E689="",'04 Prices'!E690=""),"",'04 Prices'!E690/'04 Prices'!E689-1)</f>
        <v/>
      </c>
      <c r="F689" s="25">
        <f>IF(OR($A689="",'04 Prices'!F689="",'04 Prices'!F690=""),"",'04 Prices'!F690/'04 Prices'!F689-1)</f>
        <v/>
      </c>
      <c r="G689" s="25">
        <f>IF(OR($A689="",'04 Prices'!G689="",'04 Prices'!G690=""),"",'04 Prices'!G690/'04 Prices'!G689-1)</f>
        <v/>
      </c>
      <c r="H689" s="25">
        <f>IF(OR($A689="",'04 Prices'!H689="",'04 Prices'!H690=""),"",'04 Prices'!H690/'04 Prices'!H689-1)</f>
        <v/>
      </c>
    </row>
    <row r="690">
      <c r="A690" s="23">
        <f>IF('04 Prices'!A691="","",'04 Prices'!A691)</f>
        <v/>
      </c>
      <c r="B690" s="25">
        <f>IF(OR($A690="",'04 Prices'!B690="",'04 Prices'!B691=""),"",'04 Prices'!B691/'04 Prices'!B690-1)</f>
        <v/>
      </c>
      <c r="C690" s="25">
        <f>IF(OR($A690="",'04 Prices'!C690="",'04 Prices'!C691=""),"",'04 Prices'!C691/'04 Prices'!C690-1)</f>
        <v/>
      </c>
      <c r="D690" s="25">
        <f>IF(OR($A690="",'04 Prices'!D690="",'04 Prices'!D691=""),"",'04 Prices'!D691/'04 Prices'!D690-1)</f>
        <v/>
      </c>
      <c r="E690" s="25">
        <f>IF(OR($A690="",'04 Prices'!E690="",'04 Prices'!E691=""),"",'04 Prices'!E691/'04 Prices'!E690-1)</f>
        <v/>
      </c>
      <c r="F690" s="25">
        <f>IF(OR($A690="",'04 Prices'!F690="",'04 Prices'!F691=""),"",'04 Prices'!F691/'04 Prices'!F690-1)</f>
        <v/>
      </c>
      <c r="G690" s="25">
        <f>IF(OR($A690="",'04 Prices'!G690="",'04 Prices'!G691=""),"",'04 Prices'!G691/'04 Prices'!G690-1)</f>
        <v/>
      </c>
      <c r="H690" s="25">
        <f>IF(OR($A690="",'04 Prices'!H690="",'04 Prices'!H691=""),"",'04 Prices'!H691/'04 Prices'!H690-1)</f>
        <v/>
      </c>
    </row>
    <row r="691">
      <c r="A691" s="23">
        <f>IF('04 Prices'!A692="","",'04 Prices'!A692)</f>
        <v/>
      </c>
      <c r="B691" s="25">
        <f>IF(OR($A691="",'04 Prices'!B691="",'04 Prices'!B692=""),"",'04 Prices'!B692/'04 Prices'!B691-1)</f>
        <v/>
      </c>
      <c r="C691" s="25">
        <f>IF(OR($A691="",'04 Prices'!C691="",'04 Prices'!C692=""),"",'04 Prices'!C692/'04 Prices'!C691-1)</f>
        <v/>
      </c>
      <c r="D691" s="25">
        <f>IF(OR($A691="",'04 Prices'!D691="",'04 Prices'!D692=""),"",'04 Prices'!D692/'04 Prices'!D691-1)</f>
        <v/>
      </c>
      <c r="E691" s="25">
        <f>IF(OR($A691="",'04 Prices'!E691="",'04 Prices'!E692=""),"",'04 Prices'!E692/'04 Prices'!E691-1)</f>
        <v/>
      </c>
      <c r="F691" s="25">
        <f>IF(OR($A691="",'04 Prices'!F691="",'04 Prices'!F692=""),"",'04 Prices'!F692/'04 Prices'!F691-1)</f>
        <v/>
      </c>
      <c r="G691" s="25">
        <f>IF(OR($A691="",'04 Prices'!G691="",'04 Prices'!G692=""),"",'04 Prices'!G692/'04 Prices'!G691-1)</f>
        <v/>
      </c>
      <c r="H691" s="25">
        <f>IF(OR($A691="",'04 Prices'!H691="",'04 Prices'!H692=""),"",'04 Prices'!H692/'04 Prices'!H691-1)</f>
        <v/>
      </c>
    </row>
    <row r="692">
      <c r="A692" s="23">
        <f>IF('04 Prices'!A693="","",'04 Prices'!A693)</f>
        <v/>
      </c>
      <c r="B692" s="25">
        <f>IF(OR($A692="",'04 Prices'!B692="",'04 Prices'!B693=""),"",'04 Prices'!B693/'04 Prices'!B692-1)</f>
        <v/>
      </c>
      <c r="C692" s="25">
        <f>IF(OR($A692="",'04 Prices'!C692="",'04 Prices'!C693=""),"",'04 Prices'!C693/'04 Prices'!C692-1)</f>
        <v/>
      </c>
      <c r="D692" s="25">
        <f>IF(OR($A692="",'04 Prices'!D692="",'04 Prices'!D693=""),"",'04 Prices'!D693/'04 Prices'!D692-1)</f>
        <v/>
      </c>
      <c r="E692" s="25">
        <f>IF(OR($A692="",'04 Prices'!E692="",'04 Prices'!E693=""),"",'04 Prices'!E693/'04 Prices'!E692-1)</f>
        <v/>
      </c>
      <c r="F692" s="25">
        <f>IF(OR($A692="",'04 Prices'!F692="",'04 Prices'!F693=""),"",'04 Prices'!F693/'04 Prices'!F692-1)</f>
        <v/>
      </c>
      <c r="G692" s="25">
        <f>IF(OR($A692="",'04 Prices'!G692="",'04 Prices'!G693=""),"",'04 Prices'!G693/'04 Prices'!G692-1)</f>
        <v/>
      </c>
      <c r="H692" s="25">
        <f>IF(OR($A692="",'04 Prices'!H692="",'04 Prices'!H693=""),"",'04 Prices'!H693/'04 Prices'!H692-1)</f>
        <v/>
      </c>
    </row>
    <row r="693">
      <c r="A693" s="23">
        <f>IF('04 Prices'!A694="","",'04 Prices'!A694)</f>
        <v/>
      </c>
      <c r="B693" s="25">
        <f>IF(OR($A693="",'04 Prices'!B693="",'04 Prices'!B694=""),"",'04 Prices'!B694/'04 Prices'!B693-1)</f>
        <v/>
      </c>
      <c r="C693" s="25">
        <f>IF(OR($A693="",'04 Prices'!C693="",'04 Prices'!C694=""),"",'04 Prices'!C694/'04 Prices'!C693-1)</f>
        <v/>
      </c>
      <c r="D693" s="25">
        <f>IF(OR($A693="",'04 Prices'!D693="",'04 Prices'!D694=""),"",'04 Prices'!D694/'04 Prices'!D693-1)</f>
        <v/>
      </c>
      <c r="E693" s="25">
        <f>IF(OR($A693="",'04 Prices'!E693="",'04 Prices'!E694=""),"",'04 Prices'!E694/'04 Prices'!E693-1)</f>
        <v/>
      </c>
      <c r="F693" s="25">
        <f>IF(OR($A693="",'04 Prices'!F693="",'04 Prices'!F694=""),"",'04 Prices'!F694/'04 Prices'!F693-1)</f>
        <v/>
      </c>
      <c r="G693" s="25">
        <f>IF(OR($A693="",'04 Prices'!G693="",'04 Prices'!G694=""),"",'04 Prices'!G694/'04 Prices'!G693-1)</f>
        <v/>
      </c>
      <c r="H693" s="25">
        <f>IF(OR($A693="",'04 Prices'!H693="",'04 Prices'!H694=""),"",'04 Prices'!H694/'04 Prices'!H693-1)</f>
        <v/>
      </c>
    </row>
    <row r="694">
      <c r="A694" s="23">
        <f>IF('04 Prices'!A695="","",'04 Prices'!A695)</f>
        <v/>
      </c>
      <c r="B694" s="25">
        <f>IF(OR($A694="",'04 Prices'!B694="",'04 Prices'!B695=""),"",'04 Prices'!B695/'04 Prices'!B694-1)</f>
        <v/>
      </c>
      <c r="C694" s="25">
        <f>IF(OR($A694="",'04 Prices'!C694="",'04 Prices'!C695=""),"",'04 Prices'!C695/'04 Prices'!C694-1)</f>
        <v/>
      </c>
      <c r="D694" s="25">
        <f>IF(OR($A694="",'04 Prices'!D694="",'04 Prices'!D695=""),"",'04 Prices'!D695/'04 Prices'!D694-1)</f>
        <v/>
      </c>
      <c r="E694" s="25">
        <f>IF(OR($A694="",'04 Prices'!E694="",'04 Prices'!E695=""),"",'04 Prices'!E695/'04 Prices'!E694-1)</f>
        <v/>
      </c>
      <c r="F694" s="25">
        <f>IF(OR($A694="",'04 Prices'!F694="",'04 Prices'!F695=""),"",'04 Prices'!F695/'04 Prices'!F694-1)</f>
        <v/>
      </c>
      <c r="G694" s="25">
        <f>IF(OR($A694="",'04 Prices'!G694="",'04 Prices'!G695=""),"",'04 Prices'!G695/'04 Prices'!G694-1)</f>
        <v/>
      </c>
      <c r="H694" s="25">
        <f>IF(OR($A694="",'04 Prices'!H694="",'04 Prices'!H695=""),"",'04 Prices'!H695/'04 Prices'!H694-1)</f>
        <v/>
      </c>
    </row>
    <row r="695">
      <c r="A695" s="23">
        <f>IF('04 Prices'!A696="","",'04 Prices'!A696)</f>
        <v/>
      </c>
      <c r="B695" s="25">
        <f>IF(OR($A695="",'04 Prices'!B695="",'04 Prices'!B696=""),"",'04 Prices'!B696/'04 Prices'!B695-1)</f>
        <v/>
      </c>
      <c r="C695" s="25">
        <f>IF(OR($A695="",'04 Prices'!C695="",'04 Prices'!C696=""),"",'04 Prices'!C696/'04 Prices'!C695-1)</f>
        <v/>
      </c>
      <c r="D695" s="25">
        <f>IF(OR($A695="",'04 Prices'!D695="",'04 Prices'!D696=""),"",'04 Prices'!D696/'04 Prices'!D695-1)</f>
        <v/>
      </c>
      <c r="E695" s="25">
        <f>IF(OR($A695="",'04 Prices'!E695="",'04 Prices'!E696=""),"",'04 Prices'!E696/'04 Prices'!E695-1)</f>
        <v/>
      </c>
      <c r="F695" s="25">
        <f>IF(OR($A695="",'04 Prices'!F695="",'04 Prices'!F696=""),"",'04 Prices'!F696/'04 Prices'!F695-1)</f>
        <v/>
      </c>
      <c r="G695" s="25">
        <f>IF(OR($A695="",'04 Prices'!G695="",'04 Prices'!G696=""),"",'04 Prices'!G696/'04 Prices'!G695-1)</f>
        <v/>
      </c>
      <c r="H695" s="25">
        <f>IF(OR($A695="",'04 Prices'!H695="",'04 Prices'!H696=""),"",'04 Prices'!H696/'04 Prices'!H695-1)</f>
        <v/>
      </c>
    </row>
    <row r="696">
      <c r="A696" s="23">
        <f>IF('04 Prices'!A697="","",'04 Prices'!A697)</f>
        <v/>
      </c>
      <c r="B696" s="25">
        <f>IF(OR($A696="",'04 Prices'!B696="",'04 Prices'!B697=""),"",'04 Prices'!B697/'04 Prices'!B696-1)</f>
        <v/>
      </c>
      <c r="C696" s="25">
        <f>IF(OR($A696="",'04 Prices'!C696="",'04 Prices'!C697=""),"",'04 Prices'!C697/'04 Prices'!C696-1)</f>
        <v/>
      </c>
      <c r="D696" s="25">
        <f>IF(OR($A696="",'04 Prices'!D696="",'04 Prices'!D697=""),"",'04 Prices'!D697/'04 Prices'!D696-1)</f>
        <v/>
      </c>
      <c r="E696" s="25">
        <f>IF(OR($A696="",'04 Prices'!E696="",'04 Prices'!E697=""),"",'04 Prices'!E697/'04 Prices'!E696-1)</f>
        <v/>
      </c>
      <c r="F696" s="25">
        <f>IF(OR($A696="",'04 Prices'!F696="",'04 Prices'!F697=""),"",'04 Prices'!F697/'04 Prices'!F696-1)</f>
        <v/>
      </c>
      <c r="G696" s="25">
        <f>IF(OR($A696="",'04 Prices'!G696="",'04 Prices'!G697=""),"",'04 Prices'!G697/'04 Prices'!G696-1)</f>
        <v/>
      </c>
      <c r="H696" s="25">
        <f>IF(OR($A696="",'04 Prices'!H696="",'04 Prices'!H697=""),"",'04 Prices'!H697/'04 Prices'!H696-1)</f>
        <v/>
      </c>
    </row>
    <row r="697">
      <c r="A697" s="23">
        <f>IF('04 Prices'!A698="","",'04 Prices'!A698)</f>
        <v/>
      </c>
      <c r="B697" s="25">
        <f>IF(OR($A697="",'04 Prices'!B697="",'04 Prices'!B698=""),"",'04 Prices'!B698/'04 Prices'!B697-1)</f>
        <v/>
      </c>
      <c r="C697" s="25">
        <f>IF(OR($A697="",'04 Prices'!C697="",'04 Prices'!C698=""),"",'04 Prices'!C698/'04 Prices'!C697-1)</f>
        <v/>
      </c>
      <c r="D697" s="25">
        <f>IF(OR($A697="",'04 Prices'!D697="",'04 Prices'!D698=""),"",'04 Prices'!D698/'04 Prices'!D697-1)</f>
        <v/>
      </c>
      <c r="E697" s="25">
        <f>IF(OR($A697="",'04 Prices'!E697="",'04 Prices'!E698=""),"",'04 Prices'!E698/'04 Prices'!E697-1)</f>
        <v/>
      </c>
      <c r="F697" s="25">
        <f>IF(OR($A697="",'04 Prices'!F697="",'04 Prices'!F698=""),"",'04 Prices'!F698/'04 Prices'!F697-1)</f>
        <v/>
      </c>
      <c r="G697" s="25">
        <f>IF(OR($A697="",'04 Prices'!G697="",'04 Prices'!G698=""),"",'04 Prices'!G698/'04 Prices'!G697-1)</f>
        <v/>
      </c>
      <c r="H697" s="25">
        <f>IF(OR($A697="",'04 Prices'!H697="",'04 Prices'!H698=""),"",'04 Prices'!H698/'04 Prices'!H697-1)</f>
        <v/>
      </c>
    </row>
    <row r="698">
      <c r="A698" s="23">
        <f>IF('04 Prices'!A699="","",'04 Prices'!A699)</f>
        <v/>
      </c>
      <c r="B698" s="25">
        <f>IF(OR($A698="",'04 Prices'!B698="",'04 Prices'!B699=""),"",'04 Prices'!B699/'04 Prices'!B698-1)</f>
        <v/>
      </c>
      <c r="C698" s="25">
        <f>IF(OR($A698="",'04 Prices'!C698="",'04 Prices'!C699=""),"",'04 Prices'!C699/'04 Prices'!C698-1)</f>
        <v/>
      </c>
      <c r="D698" s="25">
        <f>IF(OR($A698="",'04 Prices'!D698="",'04 Prices'!D699=""),"",'04 Prices'!D699/'04 Prices'!D698-1)</f>
        <v/>
      </c>
      <c r="E698" s="25">
        <f>IF(OR($A698="",'04 Prices'!E698="",'04 Prices'!E699=""),"",'04 Prices'!E699/'04 Prices'!E698-1)</f>
        <v/>
      </c>
      <c r="F698" s="25">
        <f>IF(OR($A698="",'04 Prices'!F698="",'04 Prices'!F699=""),"",'04 Prices'!F699/'04 Prices'!F698-1)</f>
        <v/>
      </c>
      <c r="G698" s="25">
        <f>IF(OR($A698="",'04 Prices'!G698="",'04 Prices'!G699=""),"",'04 Prices'!G699/'04 Prices'!G698-1)</f>
        <v/>
      </c>
      <c r="H698" s="25">
        <f>IF(OR($A698="",'04 Prices'!H698="",'04 Prices'!H699=""),"",'04 Prices'!H699/'04 Prices'!H698-1)</f>
        <v/>
      </c>
    </row>
    <row r="699">
      <c r="A699" s="23">
        <f>IF('04 Prices'!A700="","",'04 Prices'!A700)</f>
        <v/>
      </c>
      <c r="B699" s="25">
        <f>IF(OR($A699="",'04 Prices'!B699="",'04 Prices'!B700=""),"",'04 Prices'!B700/'04 Prices'!B699-1)</f>
        <v/>
      </c>
      <c r="C699" s="25">
        <f>IF(OR($A699="",'04 Prices'!C699="",'04 Prices'!C700=""),"",'04 Prices'!C700/'04 Prices'!C699-1)</f>
        <v/>
      </c>
      <c r="D699" s="25">
        <f>IF(OR($A699="",'04 Prices'!D699="",'04 Prices'!D700=""),"",'04 Prices'!D700/'04 Prices'!D699-1)</f>
        <v/>
      </c>
      <c r="E699" s="25">
        <f>IF(OR($A699="",'04 Prices'!E699="",'04 Prices'!E700=""),"",'04 Prices'!E700/'04 Prices'!E699-1)</f>
        <v/>
      </c>
      <c r="F699" s="25">
        <f>IF(OR($A699="",'04 Prices'!F699="",'04 Prices'!F700=""),"",'04 Prices'!F700/'04 Prices'!F699-1)</f>
        <v/>
      </c>
      <c r="G699" s="25">
        <f>IF(OR($A699="",'04 Prices'!G699="",'04 Prices'!G700=""),"",'04 Prices'!G700/'04 Prices'!G699-1)</f>
        <v/>
      </c>
      <c r="H699" s="25">
        <f>IF(OR($A699="",'04 Prices'!H699="",'04 Prices'!H700=""),"",'04 Prices'!H700/'04 Prices'!H699-1)</f>
        <v/>
      </c>
    </row>
    <row r="700">
      <c r="A700" s="23">
        <f>IF('04 Prices'!A701="","",'04 Prices'!A701)</f>
        <v/>
      </c>
      <c r="B700" s="25">
        <f>IF(OR($A700="",'04 Prices'!B700="",'04 Prices'!B701=""),"",'04 Prices'!B701/'04 Prices'!B700-1)</f>
        <v/>
      </c>
      <c r="C700" s="25">
        <f>IF(OR($A700="",'04 Prices'!C700="",'04 Prices'!C701=""),"",'04 Prices'!C701/'04 Prices'!C700-1)</f>
        <v/>
      </c>
      <c r="D700" s="25">
        <f>IF(OR($A700="",'04 Prices'!D700="",'04 Prices'!D701=""),"",'04 Prices'!D701/'04 Prices'!D700-1)</f>
        <v/>
      </c>
      <c r="E700" s="25">
        <f>IF(OR($A700="",'04 Prices'!E700="",'04 Prices'!E701=""),"",'04 Prices'!E701/'04 Prices'!E700-1)</f>
        <v/>
      </c>
      <c r="F700" s="25">
        <f>IF(OR($A700="",'04 Prices'!F700="",'04 Prices'!F701=""),"",'04 Prices'!F701/'04 Prices'!F700-1)</f>
        <v/>
      </c>
      <c r="G700" s="25">
        <f>IF(OR($A700="",'04 Prices'!G700="",'04 Prices'!G701=""),"",'04 Prices'!G701/'04 Prices'!G700-1)</f>
        <v/>
      </c>
      <c r="H700" s="25">
        <f>IF(OR($A700="",'04 Prices'!H700="",'04 Prices'!H701=""),"",'04 Prices'!H701/'04 Prices'!H700-1)</f>
        <v/>
      </c>
    </row>
    <row r="701">
      <c r="A701" s="23">
        <f>IF('04 Prices'!A702="","",'04 Prices'!A702)</f>
        <v/>
      </c>
      <c r="B701" s="25">
        <f>IF(OR($A701="",'04 Prices'!B701="",'04 Prices'!B702=""),"",'04 Prices'!B702/'04 Prices'!B701-1)</f>
        <v/>
      </c>
      <c r="C701" s="25">
        <f>IF(OR($A701="",'04 Prices'!C701="",'04 Prices'!C702=""),"",'04 Prices'!C702/'04 Prices'!C701-1)</f>
        <v/>
      </c>
      <c r="D701" s="25">
        <f>IF(OR($A701="",'04 Prices'!D701="",'04 Prices'!D702=""),"",'04 Prices'!D702/'04 Prices'!D701-1)</f>
        <v/>
      </c>
      <c r="E701" s="25">
        <f>IF(OR($A701="",'04 Prices'!E701="",'04 Prices'!E702=""),"",'04 Prices'!E702/'04 Prices'!E701-1)</f>
        <v/>
      </c>
      <c r="F701" s="25">
        <f>IF(OR($A701="",'04 Prices'!F701="",'04 Prices'!F702=""),"",'04 Prices'!F702/'04 Prices'!F701-1)</f>
        <v/>
      </c>
      <c r="G701" s="25">
        <f>IF(OR($A701="",'04 Prices'!G701="",'04 Prices'!G702=""),"",'04 Prices'!G702/'04 Prices'!G701-1)</f>
        <v/>
      </c>
      <c r="H701" s="25">
        <f>IF(OR($A701="",'04 Prices'!H701="",'04 Prices'!H702=""),"",'04 Prices'!H702/'04 Prices'!H701-1)</f>
        <v/>
      </c>
    </row>
    <row r="702">
      <c r="A702" s="23">
        <f>IF('04 Prices'!A703="","",'04 Prices'!A703)</f>
        <v/>
      </c>
      <c r="B702" s="25">
        <f>IF(OR($A702="",'04 Prices'!B702="",'04 Prices'!B703=""),"",'04 Prices'!B703/'04 Prices'!B702-1)</f>
        <v/>
      </c>
      <c r="C702" s="25">
        <f>IF(OR($A702="",'04 Prices'!C702="",'04 Prices'!C703=""),"",'04 Prices'!C703/'04 Prices'!C702-1)</f>
        <v/>
      </c>
      <c r="D702" s="25">
        <f>IF(OR($A702="",'04 Prices'!D702="",'04 Prices'!D703=""),"",'04 Prices'!D703/'04 Prices'!D702-1)</f>
        <v/>
      </c>
      <c r="E702" s="25">
        <f>IF(OR($A702="",'04 Prices'!E702="",'04 Prices'!E703=""),"",'04 Prices'!E703/'04 Prices'!E702-1)</f>
        <v/>
      </c>
      <c r="F702" s="25">
        <f>IF(OR($A702="",'04 Prices'!F702="",'04 Prices'!F703=""),"",'04 Prices'!F703/'04 Prices'!F702-1)</f>
        <v/>
      </c>
      <c r="G702" s="25">
        <f>IF(OR($A702="",'04 Prices'!G702="",'04 Prices'!G703=""),"",'04 Prices'!G703/'04 Prices'!G702-1)</f>
        <v/>
      </c>
      <c r="H702" s="25">
        <f>IF(OR($A702="",'04 Prices'!H702="",'04 Prices'!H703=""),"",'04 Prices'!H703/'04 Prices'!H702-1)</f>
        <v/>
      </c>
    </row>
    <row r="703">
      <c r="A703" s="23">
        <f>IF('04 Prices'!A704="","",'04 Prices'!A704)</f>
        <v/>
      </c>
      <c r="B703" s="25">
        <f>IF(OR($A703="",'04 Prices'!B703="",'04 Prices'!B704=""),"",'04 Prices'!B704/'04 Prices'!B703-1)</f>
        <v/>
      </c>
      <c r="C703" s="25">
        <f>IF(OR($A703="",'04 Prices'!C703="",'04 Prices'!C704=""),"",'04 Prices'!C704/'04 Prices'!C703-1)</f>
        <v/>
      </c>
      <c r="D703" s="25">
        <f>IF(OR($A703="",'04 Prices'!D703="",'04 Prices'!D704=""),"",'04 Prices'!D704/'04 Prices'!D703-1)</f>
        <v/>
      </c>
      <c r="E703" s="25">
        <f>IF(OR($A703="",'04 Prices'!E703="",'04 Prices'!E704=""),"",'04 Prices'!E704/'04 Prices'!E703-1)</f>
        <v/>
      </c>
      <c r="F703" s="25">
        <f>IF(OR($A703="",'04 Prices'!F703="",'04 Prices'!F704=""),"",'04 Prices'!F704/'04 Prices'!F703-1)</f>
        <v/>
      </c>
      <c r="G703" s="25">
        <f>IF(OR($A703="",'04 Prices'!G703="",'04 Prices'!G704=""),"",'04 Prices'!G704/'04 Prices'!G703-1)</f>
        <v/>
      </c>
      <c r="H703" s="25">
        <f>IF(OR($A703="",'04 Prices'!H703="",'04 Prices'!H704=""),"",'04 Prices'!H704/'04 Prices'!H703-1)</f>
        <v/>
      </c>
    </row>
    <row r="704">
      <c r="A704" s="23">
        <f>IF('04 Prices'!A705="","",'04 Prices'!A705)</f>
        <v/>
      </c>
      <c r="B704" s="25">
        <f>IF(OR($A704="",'04 Prices'!B704="",'04 Prices'!B705=""),"",'04 Prices'!B705/'04 Prices'!B704-1)</f>
        <v/>
      </c>
      <c r="C704" s="25">
        <f>IF(OR($A704="",'04 Prices'!C704="",'04 Prices'!C705=""),"",'04 Prices'!C705/'04 Prices'!C704-1)</f>
        <v/>
      </c>
      <c r="D704" s="25">
        <f>IF(OR($A704="",'04 Prices'!D704="",'04 Prices'!D705=""),"",'04 Prices'!D705/'04 Prices'!D704-1)</f>
        <v/>
      </c>
      <c r="E704" s="25">
        <f>IF(OR($A704="",'04 Prices'!E704="",'04 Prices'!E705=""),"",'04 Prices'!E705/'04 Prices'!E704-1)</f>
        <v/>
      </c>
      <c r="F704" s="25">
        <f>IF(OR($A704="",'04 Prices'!F704="",'04 Prices'!F705=""),"",'04 Prices'!F705/'04 Prices'!F704-1)</f>
        <v/>
      </c>
      <c r="G704" s="25">
        <f>IF(OR($A704="",'04 Prices'!G704="",'04 Prices'!G705=""),"",'04 Prices'!G705/'04 Prices'!G704-1)</f>
        <v/>
      </c>
      <c r="H704" s="25">
        <f>IF(OR($A704="",'04 Prices'!H704="",'04 Prices'!H705=""),"",'04 Prices'!H705/'04 Prices'!H704-1)</f>
        <v/>
      </c>
    </row>
    <row r="705">
      <c r="A705" s="23">
        <f>IF('04 Prices'!A706="","",'04 Prices'!A706)</f>
        <v/>
      </c>
      <c r="B705" s="25">
        <f>IF(OR($A705="",'04 Prices'!B705="",'04 Prices'!B706=""),"",'04 Prices'!B706/'04 Prices'!B705-1)</f>
        <v/>
      </c>
      <c r="C705" s="25">
        <f>IF(OR($A705="",'04 Prices'!C705="",'04 Prices'!C706=""),"",'04 Prices'!C706/'04 Prices'!C705-1)</f>
        <v/>
      </c>
      <c r="D705" s="25">
        <f>IF(OR($A705="",'04 Prices'!D705="",'04 Prices'!D706=""),"",'04 Prices'!D706/'04 Prices'!D705-1)</f>
        <v/>
      </c>
      <c r="E705" s="25">
        <f>IF(OR($A705="",'04 Prices'!E705="",'04 Prices'!E706=""),"",'04 Prices'!E706/'04 Prices'!E705-1)</f>
        <v/>
      </c>
      <c r="F705" s="25">
        <f>IF(OR($A705="",'04 Prices'!F705="",'04 Prices'!F706=""),"",'04 Prices'!F706/'04 Prices'!F705-1)</f>
        <v/>
      </c>
      <c r="G705" s="25">
        <f>IF(OR($A705="",'04 Prices'!G705="",'04 Prices'!G706=""),"",'04 Prices'!G706/'04 Prices'!G705-1)</f>
        <v/>
      </c>
      <c r="H705" s="25">
        <f>IF(OR($A705="",'04 Prices'!H705="",'04 Prices'!H706=""),"",'04 Prices'!H706/'04 Prices'!H705-1)</f>
        <v/>
      </c>
    </row>
    <row r="706">
      <c r="A706" s="23">
        <f>IF('04 Prices'!A707="","",'04 Prices'!A707)</f>
        <v/>
      </c>
      <c r="B706" s="25">
        <f>IF(OR($A706="",'04 Prices'!B706="",'04 Prices'!B707=""),"",'04 Prices'!B707/'04 Prices'!B706-1)</f>
        <v/>
      </c>
      <c r="C706" s="25">
        <f>IF(OR($A706="",'04 Prices'!C706="",'04 Prices'!C707=""),"",'04 Prices'!C707/'04 Prices'!C706-1)</f>
        <v/>
      </c>
      <c r="D706" s="25">
        <f>IF(OR($A706="",'04 Prices'!D706="",'04 Prices'!D707=""),"",'04 Prices'!D707/'04 Prices'!D706-1)</f>
        <v/>
      </c>
      <c r="E706" s="25">
        <f>IF(OR($A706="",'04 Prices'!E706="",'04 Prices'!E707=""),"",'04 Prices'!E707/'04 Prices'!E706-1)</f>
        <v/>
      </c>
      <c r="F706" s="25">
        <f>IF(OR($A706="",'04 Prices'!F706="",'04 Prices'!F707=""),"",'04 Prices'!F707/'04 Prices'!F706-1)</f>
        <v/>
      </c>
      <c r="G706" s="25">
        <f>IF(OR($A706="",'04 Prices'!G706="",'04 Prices'!G707=""),"",'04 Prices'!G707/'04 Prices'!G706-1)</f>
        <v/>
      </c>
      <c r="H706" s="25">
        <f>IF(OR($A706="",'04 Prices'!H706="",'04 Prices'!H707=""),"",'04 Prices'!H707/'04 Prices'!H706-1)</f>
        <v/>
      </c>
    </row>
    <row r="707">
      <c r="A707" s="23">
        <f>IF('04 Prices'!A708="","",'04 Prices'!A708)</f>
        <v/>
      </c>
      <c r="B707" s="25">
        <f>IF(OR($A707="",'04 Prices'!B707="",'04 Prices'!B708=""),"",'04 Prices'!B708/'04 Prices'!B707-1)</f>
        <v/>
      </c>
      <c r="C707" s="25">
        <f>IF(OR($A707="",'04 Prices'!C707="",'04 Prices'!C708=""),"",'04 Prices'!C708/'04 Prices'!C707-1)</f>
        <v/>
      </c>
      <c r="D707" s="25">
        <f>IF(OR($A707="",'04 Prices'!D707="",'04 Prices'!D708=""),"",'04 Prices'!D708/'04 Prices'!D707-1)</f>
        <v/>
      </c>
      <c r="E707" s="25">
        <f>IF(OR($A707="",'04 Prices'!E707="",'04 Prices'!E708=""),"",'04 Prices'!E708/'04 Prices'!E707-1)</f>
        <v/>
      </c>
      <c r="F707" s="25">
        <f>IF(OR($A707="",'04 Prices'!F707="",'04 Prices'!F708=""),"",'04 Prices'!F708/'04 Prices'!F707-1)</f>
        <v/>
      </c>
      <c r="G707" s="25">
        <f>IF(OR($A707="",'04 Prices'!G707="",'04 Prices'!G708=""),"",'04 Prices'!G708/'04 Prices'!G707-1)</f>
        <v/>
      </c>
      <c r="H707" s="25">
        <f>IF(OR($A707="",'04 Prices'!H707="",'04 Prices'!H708=""),"",'04 Prices'!H708/'04 Prices'!H707-1)</f>
        <v/>
      </c>
    </row>
    <row r="708">
      <c r="A708" s="23">
        <f>IF('04 Prices'!A709="","",'04 Prices'!A709)</f>
        <v/>
      </c>
      <c r="B708" s="25">
        <f>IF(OR($A708="",'04 Prices'!B708="",'04 Prices'!B709=""),"",'04 Prices'!B709/'04 Prices'!B708-1)</f>
        <v/>
      </c>
      <c r="C708" s="25">
        <f>IF(OR($A708="",'04 Prices'!C708="",'04 Prices'!C709=""),"",'04 Prices'!C709/'04 Prices'!C708-1)</f>
        <v/>
      </c>
      <c r="D708" s="25">
        <f>IF(OR($A708="",'04 Prices'!D708="",'04 Prices'!D709=""),"",'04 Prices'!D709/'04 Prices'!D708-1)</f>
        <v/>
      </c>
      <c r="E708" s="25">
        <f>IF(OR($A708="",'04 Prices'!E708="",'04 Prices'!E709=""),"",'04 Prices'!E709/'04 Prices'!E708-1)</f>
        <v/>
      </c>
      <c r="F708" s="25">
        <f>IF(OR($A708="",'04 Prices'!F708="",'04 Prices'!F709=""),"",'04 Prices'!F709/'04 Prices'!F708-1)</f>
        <v/>
      </c>
      <c r="G708" s="25">
        <f>IF(OR($A708="",'04 Prices'!G708="",'04 Prices'!G709=""),"",'04 Prices'!G709/'04 Prices'!G708-1)</f>
        <v/>
      </c>
      <c r="H708" s="25">
        <f>IF(OR($A708="",'04 Prices'!H708="",'04 Prices'!H709=""),"",'04 Prices'!H709/'04 Prices'!H708-1)</f>
        <v/>
      </c>
    </row>
    <row r="709">
      <c r="A709" s="23">
        <f>IF('04 Prices'!A710="","",'04 Prices'!A710)</f>
        <v/>
      </c>
      <c r="B709" s="25">
        <f>IF(OR($A709="",'04 Prices'!B709="",'04 Prices'!B710=""),"",'04 Prices'!B710/'04 Prices'!B709-1)</f>
        <v/>
      </c>
      <c r="C709" s="25">
        <f>IF(OR($A709="",'04 Prices'!C709="",'04 Prices'!C710=""),"",'04 Prices'!C710/'04 Prices'!C709-1)</f>
        <v/>
      </c>
      <c r="D709" s="25">
        <f>IF(OR($A709="",'04 Prices'!D709="",'04 Prices'!D710=""),"",'04 Prices'!D710/'04 Prices'!D709-1)</f>
        <v/>
      </c>
      <c r="E709" s="25">
        <f>IF(OR($A709="",'04 Prices'!E709="",'04 Prices'!E710=""),"",'04 Prices'!E710/'04 Prices'!E709-1)</f>
        <v/>
      </c>
      <c r="F709" s="25">
        <f>IF(OR($A709="",'04 Prices'!F709="",'04 Prices'!F710=""),"",'04 Prices'!F710/'04 Prices'!F709-1)</f>
        <v/>
      </c>
      <c r="G709" s="25">
        <f>IF(OR($A709="",'04 Prices'!G709="",'04 Prices'!G710=""),"",'04 Prices'!G710/'04 Prices'!G709-1)</f>
        <v/>
      </c>
      <c r="H709" s="25">
        <f>IF(OR($A709="",'04 Prices'!H709="",'04 Prices'!H710=""),"",'04 Prices'!H710/'04 Prices'!H709-1)</f>
        <v/>
      </c>
    </row>
    <row r="710">
      <c r="A710" s="23">
        <f>IF('04 Prices'!A711="","",'04 Prices'!A711)</f>
        <v/>
      </c>
      <c r="B710" s="25">
        <f>IF(OR($A710="",'04 Prices'!B710="",'04 Prices'!B711=""),"",'04 Prices'!B711/'04 Prices'!B710-1)</f>
        <v/>
      </c>
      <c r="C710" s="25">
        <f>IF(OR($A710="",'04 Prices'!C710="",'04 Prices'!C711=""),"",'04 Prices'!C711/'04 Prices'!C710-1)</f>
        <v/>
      </c>
      <c r="D710" s="25">
        <f>IF(OR($A710="",'04 Prices'!D710="",'04 Prices'!D711=""),"",'04 Prices'!D711/'04 Prices'!D710-1)</f>
        <v/>
      </c>
      <c r="E710" s="25">
        <f>IF(OR($A710="",'04 Prices'!E710="",'04 Prices'!E711=""),"",'04 Prices'!E711/'04 Prices'!E710-1)</f>
        <v/>
      </c>
      <c r="F710" s="25">
        <f>IF(OR($A710="",'04 Prices'!F710="",'04 Prices'!F711=""),"",'04 Prices'!F711/'04 Prices'!F710-1)</f>
        <v/>
      </c>
      <c r="G710" s="25">
        <f>IF(OR($A710="",'04 Prices'!G710="",'04 Prices'!G711=""),"",'04 Prices'!G711/'04 Prices'!G710-1)</f>
        <v/>
      </c>
      <c r="H710" s="25">
        <f>IF(OR($A710="",'04 Prices'!H710="",'04 Prices'!H711=""),"",'04 Prices'!H711/'04 Prices'!H710-1)</f>
        <v/>
      </c>
    </row>
    <row r="711">
      <c r="A711" s="23">
        <f>IF('04 Prices'!A712="","",'04 Prices'!A712)</f>
        <v/>
      </c>
      <c r="B711" s="25">
        <f>IF(OR($A711="",'04 Prices'!B711="",'04 Prices'!B712=""),"",'04 Prices'!B712/'04 Prices'!B711-1)</f>
        <v/>
      </c>
      <c r="C711" s="25">
        <f>IF(OR($A711="",'04 Prices'!C711="",'04 Prices'!C712=""),"",'04 Prices'!C712/'04 Prices'!C711-1)</f>
        <v/>
      </c>
      <c r="D711" s="25">
        <f>IF(OR($A711="",'04 Prices'!D711="",'04 Prices'!D712=""),"",'04 Prices'!D712/'04 Prices'!D711-1)</f>
        <v/>
      </c>
      <c r="E711" s="25">
        <f>IF(OR($A711="",'04 Prices'!E711="",'04 Prices'!E712=""),"",'04 Prices'!E712/'04 Prices'!E711-1)</f>
        <v/>
      </c>
      <c r="F711" s="25">
        <f>IF(OR($A711="",'04 Prices'!F711="",'04 Prices'!F712=""),"",'04 Prices'!F712/'04 Prices'!F711-1)</f>
        <v/>
      </c>
      <c r="G711" s="25">
        <f>IF(OR($A711="",'04 Prices'!G711="",'04 Prices'!G712=""),"",'04 Prices'!G712/'04 Prices'!G711-1)</f>
        <v/>
      </c>
      <c r="H711" s="25">
        <f>IF(OR($A711="",'04 Prices'!H711="",'04 Prices'!H712=""),"",'04 Prices'!H712/'04 Prices'!H711-1)</f>
        <v/>
      </c>
    </row>
    <row r="712">
      <c r="A712" s="23">
        <f>IF('04 Prices'!A713="","",'04 Prices'!A713)</f>
        <v/>
      </c>
      <c r="B712" s="25">
        <f>IF(OR($A712="",'04 Prices'!B712="",'04 Prices'!B713=""),"",'04 Prices'!B713/'04 Prices'!B712-1)</f>
        <v/>
      </c>
      <c r="C712" s="25">
        <f>IF(OR($A712="",'04 Prices'!C712="",'04 Prices'!C713=""),"",'04 Prices'!C713/'04 Prices'!C712-1)</f>
        <v/>
      </c>
      <c r="D712" s="25">
        <f>IF(OR($A712="",'04 Prices'!D712="",'04 Prices'!D713=""),"",'04 Prices'!D713/'04 Prices'!D712-1)</f>
        <v/>
      </c>
      <c r="E712" s="25">
        <f>IF(OR($A712="",'04 Prices'!E712="",'04 Prices'!E713=""),"",'04 Prices'!E713/'04 Prices'!E712-1)</f>
        <v/>
      </c>
      <c r="F712" s="25">
        <f>IF(OR($A712="",'04 Prices'!F712="",'04 Prices'!F713=""),"",'04 Prices'!F713/'04 Prices'!F712-1)</f>
        <v/>
      </c>
      <c r="G712" s="25">
        <f>IF(OR($A712="",'04 Prices'!G712="",'04 Prices'!G713=""),"",'04 Prices'!G713/'04 Prices'!G712-1)</f>
        <v/>
      </c>
      <c r="H712" s="25">
        <f>IF(OR($A712="",'04 Prices'!H712="",'04 Prices'!H713=""),"",'04 Prices'!H713/'04 Prices'!H712-1)</f>
        <v/>
      </c>
    </row>
    <row r="713">
      <c r="A713" s="23">
        <f>IF('04 Prices'!A714="","",'04 Prices'!A714)</f>
        <v/>
      </c>
      <c r="B713" s="25">
        <f>IF(OR($A713="",'04 Prices'!B713="",'04 Prices'!B714=""),"",'04 Prices'!B714/'04 Prices'!B713-1)</f>
        <v/>
      </c>
      <c r="C713" s="25">
        <f>IF(OR($A713="",'04 Prices'!C713="",'04 Prices'!C714=""),"",'04 Prices'!C714/'04 Prices'!C713-1)</f>
        <v/>
      </c>
      <c r="D713" s="25">
        <f>IF(OR($A713="",'04 Prices'!D713="",'04 Prices'!D714=""),"",'04 Prices'!D714/'04 Prices'!D713-1)</f>
        <v/>
      </c>
      <c r="E713" s="25">
        <f>IF(OR($A713="",'04 Prices'!E713="",'04 Prices'!E714=""),"",'04 Prices'!E714/'04 Prices'!E713-1)</f>
        <v/>
      </c>
      <c r="F713" s="25">
        <f>IF(OR($A713="",'04 Prices'!F713="",'04 Prices'!F714=""),"",'04 Prices'!F714/'04 Prices'!F713-1)</f>
        <v/>
      </c>
      <c r="G713" s="25">
        <f>IF(OR($A713="",'04 Prices'!G713="",'04 Prices'!G714=""),"",'04 Prices'!G714/'04 Prices'!G713-1)</f>
        <v/>
      </c>
      <c r="H713" s="25">
        <f>IF(OR($A713="",'04 Prices'!H713="",'04 Prices'!H714=""),"",'04 Prices'!H714/'04 Prices'!H713-1)</f>
        <v/>
      </c>
    </row>
    <row r="714">
      <c r="A714" s="23">
        <f>IF('04 Prices'!A715="","",'04 Prices'!A715)</f>
        <v/>
      </c>
      <c r="B714" s="25">
        <f>IF(OR($A714="",'04 Prices'!B714="",'04 Prices'!B715=""),"",'04 Prices'!B715/'04 Prices'!B714-1)</f>
        <v/>
      </c>
      <c r="C714" s="25">
        <f>IF(OR($A714="",'04 Prices'!C714="",'04 Prices'!C715=""),"",'04 Prices'!C715/'04 Prices'!C714-1)</f>
        <v/>
      </c>
      <c r="D714" s="25">
        <f>IF(OR($A714="",'04 Prices'!D714="",'04 Prices'!D715=""),"",'04 Prices'!D715/'04 Prices'!D714-1)</f>
        <v/>
      </c>
      <c r="E714" s="25">
        <f>IF(OR($A714="",'04 Prices'!E714="",'04 Prices'!E715=""),"",'04 Prices'!E715/'04 Prices'!E714-1)</f>
        <v/>
      </c>
      <c r="F714" s="25">
        <f>IF(OR($A714="",'04 Prices'!F714="",'04 Prices'!F715=""),"",'04 Prices'!F715/'04 Prices'!F714-1)</f>
        <v/>
      </c>
      <c r="G714" s="25">
        <f>IF(OR($A714="",'04 Prices'!G714="",'04 Prices'!G715=""),"",'04 Prices'!G715/'04 Prices'!G714-1)</f>
        <v/>
      </c>
      <c r="H714" s="25">
        <f>IF(OR($A714="",'04 Prices'!H714="",'04 Prices'!H715=""),"",'04 Prices'!H715/'04 Prices'!H714-1)</f>
        <v/>
      </c>
    </row>
    <row r="715">
      <c r="A715" s="23">
        <f>IF('04 Prices'!A716="","",'04 Prices'!A716)</f>
        <v/>
      </c>
      <c r="B715" s="25">
        <f>IF(OR($A715="",'04 Prices'!B715="",'04 Prices'!B716=""),"",'04 Prices'!B716/'04 Prices'!B715-1)</f>
        <v/>
      </c>
      <c r="C715" s="25">
        <f>IF(OR($A715="",'04 Prices'!C715="",'04 Prices'!C716=""),"",'04 Prices'!C716/'04 Prices'!C715-1)</f>
        <v/>
      </c>
      <c r="D715" s="25">
        <f>IF(OR($A715="",'04 Prices'!D715="",'04 Prices'!D716=""),"",'04 Prices'!D716/'04 Prices'!D715-1)</f>
        <v/>
      </c>
      <c r="E715" s="25">
        <f>IF(OR($A715="",'04 Prices'!E715="",'04 Prices'!E716=""),"",'04 Prices'!E716/'04 Prices'!E715-1)</f>
        <v/>
      </c>
      <c r="F715" s="25">
        <f>IF(OR($A715="",'04 Prices'!F715="",'04 Prices'!F716=""),"",'04 Prices'!F716/'04 Prices'!F715-1)</f>
        <v/>
      </c>
      <c r="G715" s="25">
        <f>IF(OR($A715="",'04 Prices'!G715="",'04 Prices'!G716=""),"",'04 Prices'!G716/'04 Prices'!G715-1)</f>
        <v/>
      </c>
      <c r="H715" s="25">
        <f>IF(OR($A715="",'04 Prices'!H715="",'04 Prices'!H716=""),"",'04 Prices'!H716/'04 Prices'!H715-1)</f>
        <v/>
      </c>
    </row>
    <row r="716">
      <c r="A716" s="23">
        <f>IF('04 Prices'!A717="","",'04 Prices'!A717)</f>
        <v/>
      </c>
      <c r="B716" s="25">
        <f>IF(OR($A716="",'04 Prices'!B716="",'04 Prices'!B717=""),"",'04 Prices'!B717/'04 Prices'!B716-1)</f>
        <v/>
      </c>
      <c r="C716" s="25">
        <f>IF(OR($A716="",'04 Prices'!C716="",'04 Prices'!C717=""),"",'04 Prices'!C717/'04 Prices'!C716-1)</f>
        <v/>
      </c>
      <c r="D716" s="25">
        <f>IF(OR($A716="",'04 Prices'!D716="",'04 Prices'!D717=""),"",'04 Prices'!D717/'04 Prices'!D716-1)</f>
        <v/>
      </c>
      <c r="E716" s="25">
        <f>IF(OR($A716="",'04 Prices'!E716="",'04 Prices'!E717=""),"",'04 Prices'!E717/'04 Prices'!E716-1)</f>
        <v/>
      </c>
      <c r="F716" s="25">
        <f>IF(OR($A716="",'04 Prices'!F716="",'04 Prices'!F717=""),"",'04 Prices'!F717/'04 Prices'!F716-1)</f>
        <v/>
      </c>
      <c r="G716" s="25">
        <f>IF(OR($A716="",'04 Prices'!G716="",'04 Prices'!G717=""),"",'04 Prices'!G717/'04 Prices'!G716-1)</f>
        <v/>
      </c>
      <c r="H716" s="25">
        <f>IF(OR($A716="",'04 Prices'!H716="",'04 Prices'!H717=""),"",'04 Prices'!H717/'04 Prices'!H716-1)</f>
        <v/>
      </c>
    </row>
    <row r="717">
      <c r="A717" s="23">
        <f>IF('04 Prices'!A718="","",'04 Prices'!A718)</f>
        <v/>
      </c>
      <c r="B717" s="25">
        <f>IF(OR($A717="",'04 Prices'!B717="",'04 Prices'!B718=""),"",'04 Prices'!B718/'04 Prices'!B717-1)</f>
        <v/>
      </c>
      <c r="C717" s="25">
        <f>IF(OR($A717="",'04 Prices'!C717="",'04 Prices'!C718=""),"",'04 Prices'!C718/'04 Prices'!C717-1)</f>
        <v/>
      </c>
      <c r="D717" s="25">
        <f>IF(OR($A717="",'04 Prices'!D717="",'04 Prices'!D718=""),"",'04 Prices'!D718/'04 Prices'!D717-1)</f>
        <v/>
      </c>
      <c r="E717" s="25">
        <f>IF(OR($A717="",'04 Prices'!E717="",'04 Prices'!E718=""),"",'04 Prices'!E718/'04 Prices'!E717-1)</f>
        <v/>
      </c>
      <c r="F717" s="25">
        <f>IF(OR($A717="",'04 Prices'!F717="",'04 Prices'!F718=""),"",'04 Prices'!F718/'04 Prices'!F717-1)</f>
        <v/>
      </c>
      <c r="G717" s="25">
        <f>IF(OR($A717="",'04 Prices'!G717="",'04 Prices'!G718=""),"",'04 Prices'!G718/'04 Prices'!G717-1)</f>
        <v/>
      </c>
      <c r="H717" s="25">
        <f>IF(OR($A717="",'04 Prices'!H717="",'04 Prices'!H718=""),"",'04 Prices'!H718/'04 Prices'!H717-1)</f>
        <v/>
      </c>
    </row>
    <row r="718">
      <c r="A718" s="23">
        <f>IF('04 Prices'!A719="","",'04 Prices'!A719)</f>
        <v/>
      </c>
      <c r="B718" s="25">
        <f>IF(OR($A718="",'04 Prices'!B718="",'04 Prices'!B719=""),"",'04 Prices'!B719/'04 Prices'!B718-1)</f>
        <v/>
      </c>
      <c r="C718" s="25">
        <f>IF(OR($A718="",'04 Prices'!C718="",'04 Prices'!C719=""),"",'04 Prices'!C719/'04 Prices'!C718-1)</f>
        <v/>
      </c>
      <c r="D718" s="25">
        <f>IF(OR($A718="",'04 Prices'!D718="",'04 Prices'!D719=""),"",'04 Prices'!D719/'04 Prices'!D718-1)</f>
        <v/>
      </c>
      <c r="E718" s="25">
        <f>IF(OR($A718="",'04 Prices'!E718="",'04 Prices'!E719=""),"",'04 Prices'!E719/'04 Prices'!E718-1)</f>
        <v/>
      </c>
      <c r="F718" s="25">
        <f>IF(OR($A718="",'04 Prices'!F718="",'04 Prices'!F719=""),"",'04 Prices'!F719/'04 Prices'!F718-1)</f>
        <v/>
      </c>
      <c r="G718" s="25">
        <f>IF(OR($A718="",'04 Prices'!G718="",'04 Prices'!G719=""),"",'04 Prices'!G719/'04 Prices'!G718-1)</f>
        <v/>
      </c>
      <c r="H718" s="25">
        <f>IF(OR($A718="",'04 Prices'!H718="",'04 Prices'!H719=""),"",'04 Prices'!H719/'04 Prices'!H718-1)</f>
        <v/>
      </c>
    </row>
    <row r="719">
      <c r="A719" s="23">
        <f>IF('04 Prices'!A720="","",'04 Prices'!A720)</f>
        <v/>
      </c>
      <c r="B719" s="25">
        <f>IF(OR($A719="",'04 Prices'!B719="",'04 Prices'!B720=""),"",'04 Prices'!B720/'04 Prices'!B719-1)</f>
        <v/>
      </c>
      <c r="C719" s="25">
        <f>IF(OR($A719="",'04 Prices'!C719="",'04 Prices'!C720=""),"",'04 Prices'!C720/'04 Prices'!C719-1)</f>
        <v/>
      </c>
      <c r="D719" s="25">
        <f>IF(OR($A719="",'04 Prices'!D719="",'04 Prices'!D720=""),"",'04 Prices'!D720/'04 Prices'!D719-1)</f>
        <v/>
      </c>
      <c r="E719" s="25">
        <f>IF(OR($A719="",'04 Prices'!E719="",'04 Prices'!E720=""),"",'04 Prices'!E720/'04 Prices'!E719-1)</f>
        <v/>
      </c>
      <c r="F719" s="25">
        <f>IF(OR($A719="",'04 Prices'!F719="",'04 Prices'!F720=""),"",'04 Prices'!F720/'04 Prices'!F719-1)</f>
        <v/>
      </c>
      <c r="G719" s="25">
        <f>IF(OR($A719="",'04 Prices'!G719="",'04 Prices'!G720=""),"",'04 Prices'!G720/'04 Prices'!G719-1)</f>
        <v/>
      </c>
      <c r="H719" s="25">
        <f>IF(OR($A719="",'04 Prices'!H719="",'04 Prices'!H720=""),"",'04 Prices'!H720/'04 Prices'!H719-1)</f>
        <v/>
      </c>
    </row>
    <row r="720">
      <c r="A720" s="23">
        <f>IF('04 Prices'!A721="","",'04 Prices'!A721)</f>
        <v/>
      </c>
      <c r="B720" s="25">
        <f>IF(OR($A720="",'04 Prices'!B720="",'04 Prices'!B721=""),"",'04 Prices'!B721/'04 Prices'!B720-1)</f>
        <v/>
      </c>
      <c r="C720" s="25">
        <f>IF(OR($A720="",'04 Prices'!C720="",'04 Prices'!C721=""),"",'04 Prices'!C721/'04 Prices'!C720-1)</f>
        <v/>
      </c>
      <c r="D720" s="25">
        <f>IF(OR($A720="",'04 Prices'!D720="",'04 Prices'!D721=""),"",'04 Prices'!D721/'04 Prices'!D720-1)</f>
        <v/>
      </c>
      <c r="E720" s="25">
        <f>IF(OR($A720="",'04 Prices'!E720="",'04 Prices'!E721=""),"",'04 Prices'!E721/'04 Prices'!E720-1)</f>
        <v/>
      </c>
      <c r="F720" s="25">
        <f>IF(OR($A720="",'04 Prices'!F720="",'04 Prices'!F721=""),"",'04 Prices'!F721/'04 Prices'!F720-1)</f>
        <v/>
      </c>
      <c r="G720" s="25">
        <f>IF(OR($A720="",'04 Prices'!G720="",'04 Prices'!G721=""),"",'04 Prices'!G721/'04 Prices'!G720-1)</f>
        <v/>
      </c>
      <c r="H720" s="25">
        <f>IF(OR($A720="",'04 Prices'!H720="",'04 Prices'!H721=""),"",'04 Prices'!H721/'04 Prices'!H720-1)</f>
        <v/>
      </c>
    </row>
    <row r="721">
      <c r="A721" s="23">
        <f>IF('04 Prices'!A722="","",'04 Prices'!A722)</f>
        <v/>
      </c>
      <c r="B721" s="25">
        <f>IF(OR($A721="",'04 Prices'!B721="",'04 Prices'!B722=""),"",'04 Prices'!B722/'04 Prices'!B721-1)</f>
        <v/>
      </c>
      <c r="C721" s="25">
        <f>IF(OR($A721="",'04 Prices'!C721="",'04 Prices'!C722=""),"",'04 Prices'!C722/'04 Prices'!C721-1)</f>
        <v/>
      </c>
      <c r="D721" s="25">
        <f>IF(OR($A721="",'04 Prices'!D721="",'04 Prices'!D722=""),"",'04 Prices'!D722/'04 Prices'!D721-1)</f>
        <v/>
      </c>
      <c r="E721" s="25">
        <f>IF(OR($A721="",'04 Prices'!E721="",'04 Prices'!E722=""),"",'04 Prices'!E722/'04 Prices'!E721-1)</f>
        <v/>
      </c>
      <c r="F721" s="25">
        <f>IF(OR($A721="",'04 Prices'!F721="",'04 Prices'!F722=""),"",'04 Prices'!F722/'04 Prices'!F721-1)</f>
        <v/>
      </c>
      <c r="G721" s="25">
        <f>IF(OR($A721="",'04 Prices'!G721="",'04 Prices'!G722=""),"",'04 Prices'!G722/'04 Prices'!G721-1)</f>
        <v/>
      </c>
      <c r="H721" s="25">
        <f>IF(OR($A721="",'04 Prices'!H721="",'04 Prices'!H722=""),"",'04 Prices'!H722/'04 Prices'!H721-1)</f>
        <v/>
      </c>
    </row>
    <row r="722">
      <c r="A722" s="23">
        <f>IF('04 Prices'!A723="","",'04 Prices'!A723)</f>
        <v/>
      </c>
      <c r="B722" s="25">
        <f>IF(OR($A722="",'04 Prices'!B722="",'04 Prices'!B723=""),"",'04 Prices'!B723/'04 Prices'!B722-1)</f>
        <v/>
      </c>
      <c r="C722" s="25">
        <f>IF(OR($A722="",'04 Prices'!C722="",'04 Prices'!C723=""),"",'04 Prices'!C723/'04 Prices'!C722-1)</f>
        <v/>
      </c>
      <c r="D722" s="25">
        <f>IF(OR($A722="",'04 Prices'!D722="",'04 Prices'!D723=""),"",'04 Prices'!D723/'04 Prices'!D722-1)</f>
        <v/>
      </c>
      <c r="E722" s="25">
        <f>IF(OR($A722="",'04 Prices'!E722="",'04 Prices'!E723=""),"",'04 Prices'!E723/'04 Prices'!E722-1)</f>
        <v/>
      </c>
      <c r="F722" s="25">
        <f>IF(OR($A722="",'04 Prices'!F722="",'04 Prices'!F723=""),"",'04 Prices'!F723/'04 Prices'!F722-1)</f>
        <v/>
      </c>
      <c r="G722" s="25">
        <f>IF(OR($A722="",'04 Prices'!G722="",'04 Prices'!G723=""),"",'04 Prices'!G723/'04 Prices'!G722-1)</f>
        <v/>
      </c>
      <c r="H722" s="25">
        <f>IF(OR($A722="",'04 Prices'!H722="",'04 Prices'!H723=""),"",'04 Prices'!H723/'04 Prices'!H722-1)</f>
        <v/>
      </c>
    </row>
    <row r="723">
      <c r="A723" s="23">
        <f>IF('04 Prices'!A724="","",'04 Prices'!A724)</f>
        <v/>
      </c>
      <c r="B723" s="25">
        <f>IF(OR($A723="",'04 Prices'!B723="",'04 Prices'!B724=""),"",'04 Prices'!B724/'04 Prices'!B723-1)</f>
        <v/>
      </c>
      <c r="C723" s="25">
        <f>IF(OR($A723="",'04 Prices'!C723="",'04 Prices'!C724=""),"",'04 Prices'!C724/'04 Prices'!C723-1)</f>
        <v/>
      </c>
      <c r="D723" s="25">
        <f>IF(OR($A723="",'04 Prices'!D723="",'04 Prices'!D724=""),"",'04 Prices'!D724/'04 Prices'!D723-1)</f>
        <v/>
      </c>
      <c r="E723" s="25">
        <f>IF(OR($A723="",'04 Prices'!E723="",'04 Prices'!E724=""),"",'04 Prices'!E724/'04 Prices'!E723-1)</f>
        <v/>
      </c>
      <c r="F723" s="25">
        <f>IF(OR($A723="",'04 Prices'!F723="",'04 Prices'!F724=""),"",'04 Prices'!F724/'04 Prices'!F723-1)</f>
        <v/>
      </c>
      <c r="G723" s="25">
        <f>IF(OR($A723="",'04 Prices'!G723="",'04 Prices'!G724=""),"",'04 Prices'!G724/'04 Prices'!G723-1)</f>
        <v/>
      </c>
      <c r="H723" s="25">
        <f>IF(OR($A723="",'04 Prices'!H723="",'04 Prices'!H724=""),"",'04 Prices'!H724/'04 Prices'!H723-1)</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7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Daily Logarithmic (Continuously Compounded) Returns</t>
        </is>
      </c>
    </row>
    <row r="2">
      <c r="A2" s="2" t="inlineStr">
        <is>
          <t>r_t = ln(P_t / P_(t-1)). Log returns add up ACROSS TIME, which makes them the right input for annualising and for the covariance matrix that drives the Markowitz optimisation.</t>
        </is>
      </c>
    </row>
    <row r="3">
      <c r="A3" s="3" t="inlineStr">
        <is>
          <t>Mirrors: returns.py -&gt; log_returns(prices) = np.log(prices / prices.shift(1)).dropna()</t>
        </is>
      </c>
    </row>
    <row r="4">
      <c r="A4" s="7" t="inlineStr">
        <is>
          <t>Date</t>
        </is>
      </c>
      <c r="B4" s="7" t="inlineStr">
        <is>
          <t>JPM</t>
        </is>
      </c>
      <c r="C4" s="7" t="inlineStr">
        <is>
          <t>MS</t>
        </is>
      </c>
      <c r="D4" s="7" t="inlineStr">
        <is>
          <t>BAC</t>
        </is>
      </c>
      <c r="E4" s="7" t="inlineStr">
        <is>
          <t>AAPL</t>
        </is>
      </c>
      <c r="F4" s="7" t="inlineStr">
        <is>
          <t>MSFT</t>
        </is>
      </c>
      <c r="G4" s="7" t="inlineStr">
        <is>
          <t>GLD</t>
        </is>
      </c>
      <c r="H4" s="7" t="inlineStr">
        <is>
          <t>BENCHMARK</t>
        </is>
      </c>
    </row>
    <row r="5">
      <c r="A5" s="23">
        <f>IF('04 Prices'!A6="","",'04 Prices'!A6)</f>
        <v/>
      </c>
      <c r="B5" s="25">
        <f>IF(OR($A5="",'04 Prices'!B5="",'04 Prices'!B6=""),"",LN('04 Prices'!B6/'04 Prices'!B5))</f>
        <v/>
      </c>
      <c r="C5" s="25">
        <f>IF(OR($A5="",'04 Prices'!C5="",'04 Prices'!C6=""),"",LN('04 Prices'!C6/'04 Prices'!C5))</f>
        <v/>
      </c>
      <c r="D5" s="25">
        <f>IF(OR($A5="",'04 Prices'!D5="",'04 Prices'!D6=""),"",LN('04 Prices'!D6/'04 Prices'!D5))</f>
        <v/>
      </c>
      <c r="E5" s="25">
        <f>IF(OR($A5="",'04 Prices'!E5="",'04 Prices'!E6=""),"",LN('04 Prices'!E6/'04 Prices'!E5))</f>
        <v/>
      </c>
      <c r="F5" s="25">
        <f>IF(OR($A5="",'04 Prices'!F5="",'04 Prices'!F6=""),"",LN('04 Prices'!F6/'04 Prices'!F5))</f>
        <v/>
      </c>
      <c r="G5" s="25">
        <f>IF(OR($A5="",'04 Prices'!G5="",'04 Prices'!G6=""),"",LN('04 Prices'!G6/'04 Prices'!G5))</f>
        <v/>
      </c>
      <c r="H5" s="25">
        <f>IF(OR($A5="",'04 Prices'!H5="",'04 Prices'!H6=""),"",LN('04 Prices'!H6/'04 Prices'!H5))</f>
        <v/>
      </c>
    </row>
    <row r="6">
      <c r="A6" s="23">
        <f>IF('04 Prices'!A7="","",'04 Prices'!A7)</f>
        <v/>
      </c>
      <c r="B6" s="25">
        <f>IF(OR($A6="",'04 Prices'!B6="",'04 Prices'!B7=""),"",LN('04 Prices'!B7/'04 Prices'!B6))</f>
        <v/>
      </c>
      <c r="C6" s="25">
        <f>IF(OR($A6="",'04 Prices'!C6="",'04 Prices'!C7=""),"",LN('04 Prices'!C7/'04 Prices'!C6))</f>
        <v/>
      </c>
      <c r="D6" s="25">
        <f>IF(OR($A6="",'04 Prices'!D6="",'04 Prices'!D7=""),"",LN('04 Prices'!D7/'04 Prices'!D6))</f>
        <v/>
      </c>
      <c r="E6" s="25">
        <f>IF(OR($A6="",'04 Prices'!E6="",'04 Prices'!E7=""),"",LN('04 Prices'!E7/'04 Prices'!E6))</f>
        <v/>
      </c>
      <c r="F6" s="25">
        <f>IF(OR($A6="",'04 Prices'!F6="",'04 Prices'!F7=""),"",LN('04 Prices'!F7/'04 Prices'!F6))</f>
        <v/>
      </c>
      <c r="G6" s="25">
        <f>IF(OR($A6="",'04 Prices'!G6="",'04 Prices'!G7=""),"",LN('04 Prices'!G7/'04 Prices'!G6))</f>
        <v/>
      </c>
      <c r="H6" s="25">
        <f>IF(OR($A6="",'04 Prices'!H6="",'04 Prices'!H7=""),"",LN('04 Prices'!H7/'04 Prices'!H6))</f>
        <v/>
      </c>
    </row>
    <row r="7">
      <c r="A7" s="23">
        <f>IF('04 Prices'!A8="","",'04 Prices'!A8)</f>
        <v/>
      </c>
      <c r="B7" s="25">
        <f>IF(OR($A7="",'04 Prices'!B7="",'04 Prices'!B8=""),"",LN('04 Prices'!B8/'04 Prices'!B7))</f>
        <v/>
      </c>
      <c r="C7" s="25">
        <f>IF(OR($A7="",'04 Prices'!C7="",'04 Prices'!C8=""),"",LN('04 Prices'!C8/'04 Prices'!C7))</f>
        <v/>
      </c>
      <c r="D7" s="25">
        <f>IF(OR($A7="",'04 Prices'!D7="",'04 Prices'!D8=""),"",LN('04 Prices'!D8/'04 Prices'!D7))</f>
        <v/>
      </c>
      <c r="E7" s="25">
        <f>IF(OR($A7="",'04 Prices'!E7="",'04 Prices'!E8=""),"",LN('04 Prices'!E8/'04 Prices'!E7))</f>
        <v/>
      </c>
      <c r="F7" s="25">
        <f>IF(OR($A7="",'04 Prices'!F7="",'04 Prices'!F8=""),"",LN('04 Prices'!F8/'04 Prices'!F7))</f>
        <v/>
      </c>
      <c r="G7" s="25">
        <f>IF(OR($A7="",'04 Prices'!G7="",'04 Prices'!G8=""),"",LN('04 Prices'!G8/'04 Prices'!G7))</f>
        <v/>
      </c>
      <c r="H7" s="25">
        <f>IF(OR($A7="",'04 Prices'!H7="",'04 Prices'!H8=""),"",LN('04 Prices'!H8/'04 Prices'!H7))</f>
        <v/>
      </c>
    </row>
    <row r="8">
      <c r="A8" s="23">
        <f>IF('04 Prices'!A9="","",'04 Prices'!A9)</f>
        <v/>
      </c>
      <c r="B8" s="25">
        <f>IF(OR($A8="",'04 Prices'!B8="",'04 Prices'!B9=""),"",LN('04 Prices'!B9/'04 Prices'!B8))</f>
        <v/>
      </c>
      <c r="C8" s="25">
        <f>IF(OR($A8="",'04 Prices'!C8="",'04 Prices'!C9=""),"",LN('04 Prices'!C9/'04 Prices'!C8))</f>
        <v/>
      </c>
      <c r="D8" s="25">
        <f>IF(OR($A8="",'04 Prices'!D8="",'04 Prices'!D9=""),"",LN('04 Prices'!D9/'04 Prices'!D8))</f>
        <v/>
      </c>
      <c r="E8" s="25">
        <f>IF(OR($A8="",'04 Prices'!E8="",'04 Prices'!E9=""),"",LN('04 Prices'!E9/'04 Prices'!E8))</f>
        <v/>
      </c>
      <c r="F8" s="25">
        <f>IF(OR($A8="",'04 Prices'!F8="",'04 Prices'!F9=""),"",LN('04 Prices'!F9/'04 Prices'!F8))</f>
        <v/>
      </c>
      <c r="G8" s="25">
        <f>IF(OR($A8="",'04 Prices'!G8="",'04 Prices'!G9=""),"",LN('04 Prices'!G9/'04 Prices'!G8))</f>
        <v/>
      </c>
      <c r="H8" s="25">
        <f>IF(OR($A8="",'04 Prices'!H8="",'04 Prices'!H9=""),"",LN('04 Prices'!H9/'04 Prices'!H8))</f>
        <v/>
      </c>
    </row>
    <row r="9">
      <c r="A9" s="23">
        <f>IF('04 Prices'!A10="","",'04 Prices'!A10)</f>
        <v/>
      </c>
      <c r="B9" s="25">
        <f>IF(OR($A9="",'04 Prices'!B9="",'04 Prices'!B10=""),"",LN('04 Prices'!B10/'04 Prices'!B9))</f>
        <v/>
      </c>
      <c r="C9" s="25">
        <f>IF(OR($A9="",'04 Prices'!C9="",'04 Prices'!C10=""),"",LN('04 Prices'!C10/'04 Prices'!C9))</f>
        <v/>
      </c>
      <c r="D9" s="25">
        <f>IF(OR($A9="",'04 Prices'!D9="",'04 Prices'!D10=""),"",LN('04 Prices'!D10/'04 Prices'!D9))</f>
        <v/>
      </c>
      <c r="E9" s="25">
        <f>IF(OR($A9="",'04 Prices'!E9="",'04 Prices'!E10=""),"",LN('04 Prices'!E10/'04 Prices'!E9))</f>
        <v/>
      </c>
      <c r="F9" s="25">
        <f>IF(OR($A9="",'04 Prices'!F9="",'04 Prices'!F10=""),"",LN('04 Prices'!F10/'04 Prices'!F9))</f>
        <v/>
      </c>
      <c r="G9" s="25">
        <f>IF(OR($A9="",'04 Prices'!G9="",'04 Prices'!G10=""),"",LN('04 Prices'!G10/'04 Prices'!G9))</f>
        <v/>
      </c>
      <c r="H9" s="25">
        <f>IF(OR($A9="",'04 Prices'!H9="",'04 Prices'!H10=""),"",LN('04 Prices'!H10/'04 Prices'!H9))</f>
        <v/>
      </c>
    </row>
    <row r="10">
      <c r="A10" s="23">
        <f>IF('04 Prices'!A11="","",'04 Prices'!A11)</f>
        <v/>
      </c>
      <c r="B10" s="25">
        <f>IF(OR($A10="",'04 Prices'!B10="",'04 Prices'!B11=""),"",LN('04 Prices'!B11/'04 Prices'!B10))</f>
        <v/>
      </c>
      <c r="C10" s="25">
        <f>IF(OR($A10="",'04 Prices'!C10="",'04 Prices'!C11=""),"",LN('04 Prices'!C11/'04 Prices'!C10))</f>
        <v/>
      </c>
      <c r="D10" s="25">
        <f>IF(OR($A10="",'04 Prices'!D10="",'04 Prices'!D11=""),"",LN('04 Prices'!D11/'04 Prices'!D10))</f>
        <v/>
      </c>
      <c r="E10" s="25">
        <f>IF(OR($A10="",'04 Prices'!E10="",'04 Prices'!E11=""),"",LN('04 Prices'!E11/'04 Prices'!E10))</f>
        <v/>
      </c>
      <c r="F10" s="25">
        <f>IF(OR($A10="",'04 Prices'!F10="",'04 Prices'!F11=""),"",LN('04 Prices'!F11/'04 Prices'!F10))</f>
        <v/>
      </c>
      <c r="G10" s="25">
        <f>IF(OR($A10="",'04 Prices'!G10="",'04 Prices'!G11=""),"",LN('04 Prices'!G11/'04 Prices'!G10))</f>
        <v/>
      </c>
      <c r="H10" s="25">
        <f>IF(OR($A10="",'04 Prices'!H10="",'04 Prices'!H11=""),"",LN('04 Prices'!H11/'04 Prices'!H10))</f>
        <v/>
      </c>
    </row>
    <row r="11">
      <c r="A11" s="23">
        <f>IF('04 Prices'!A12="","",'04 Prices'!A12)</f>
        <v/>
      </c>
      <c r="B11" s="25">
        <f>IF(OR($A11="",'04 Prices'!B11="",'04 Prices'!B12=""),"",LN('04 Prices'!B12/'04 Prices'!B11))</f>
        <v/>
      </c>
      <c r="C11" s="25">
        <f>IF(OR($A11="",'04 Prices'!C11="",'04 Prices'!C12=""),"",LN('04 Prices'!C12/'04 Prices'!C11))</f>
        <v/>
      </c>
      <c r="D11" s="25">
        <f>IF(OR($A11="",'04 Prices'!D11="",'04 Prices'!D12=""),"",LN('04 Prices'!D12/'04 Prices'!D11))</f>
        <v/>
      </c>
      <c r="E11" s="25">
        <f>IF(OR($A11="",'04 Prices'!E11="",'04 Prices'!E12=""),"",LN('04 Prices'!E12/'04 Prices'!E11))</f>
        <v/>
      </c>
      <c r="F11" s="25">
        <f>IF(OR($A11="",'04 Prices'!F11="",'04 Prices'!F12=""),"",LN('04 Prices'!F12/'04 Prices'!F11))</f>
        <v/>
      </c>
      <c r="G11" s="25">
        <f>IF(OR($A11="",'04 Prices'!G11="",'04 Prices'!G12=""),"",LN('04 Prices'!G12/'04 Prices'!G11))</f>
        <v/>
      </c>
      <c r="H11" s="25">
        <f>IF(OR($A11="",'04 Prices'!H11="",'04 Prices'!H12=""),"",LN('04 Prices'!H12/'04 Prices'!H11))</f>
        <v/>
      </c>
    </row>
    <row r="12">
      <c r="A12" s="23">
        <f>IF('04 Prices'!A13="","",'04 Prices'!A13)</f>
        <v/>
      </c>
      <c r="B12" s="25">
        <f>IF(OR($A12="",'04 Prices'!B12="",'04 Prices'!B13=""),"",LN('04 Prices'!B13/'04 Prices'!B12))</f>
        <v/>
      </c>
      <c r="C12" s="25">
        <f>IF(OR($A12="",'04 Prices'!C12="",'04 Prices'!C13=""),"",LN('04 Prices'!C13/'04 Prices'!C12))</f>
        <v/>
      </c>
      <c r="D12" s="25">
        <f>IF(OR($A12="",'04 Prices'!D12="",'04 Prices'!D13=""),"",LN('04 Prices'!D13/'04 Prices'!D12))</f>
        <v/>
      </c>
      <c r="E12" s="25">
        <f>IF(OR($A12="",'04 Prices'!E12="",'04 Prices'!E13=""),"",LN('04 Prices'!E13/'04 Prices'!E12))</f>
        <v/>
      </c>
      <c r="F12" s="25">
        <f>IF(OR($A12="",'04 Prices'!F12="",'04 Prices'!F13=""),"",LN('04 Prices'!F13/'04 Prices'!F12))</f>
        <v/>
      </c>
      <c r="G12" s="25">
        <f>IF(OR($A12="",'04 Prices'!G12="",'04 Prices'!G13=""),"",LN('04 Prices'!G13/'04 Prices'!G12))</f>
        <v/>
      </c>
      <c r="H12" s="25">
        <f>IF(OR($A12="",'04 Prices'!H12="",'04 Prices'!H13=""),"",LN('04 Prices'!H13/'04 Prices'!H12))</f>
        <v/>
      </c>
    </row>
    <row r="13">
      <c r="A13" s="23">
        <f>IF('04 Prices'!A14="","",'04 Prices'!A14)</f>
        <v/>
      </c>
      <c r="B13" s="25">
        <f>IF(OR($A13="",'04 Prices'!B13="",'04 Prices'!B14=""),"",LN('04 Prices'!B14/'04 Prices'!B13))</f>
        <v/>
      </c>
      <c r="C13" s="25">
        <f>IF(OR($A13="",'04 Prices'!C13="",'04 Prices'!C14=""),"",LN('04 Prices'!C14/'04 Prices'!C13))</f>
        <v/>
      </c>
      <c r="D13" s="25">
        <f>IF(OR($A13="",'04 Prices'!D13="",'04 Prices'!D14=""),"",LN('04 Prices'!D14/'04 Prices'!D13))</f>
        <v/>
      </c>
      <c r="E13" s="25">
        <f>IF(OR($A13="",'04 Prices'!E13="",'04 Prices'!E14=""),"",LN('04 Prices'!E14/'04 Prices'!E13))</f>
        <v/>
      </c>
      <c r="F13" s="25">
        <f>IF(OR($A13="",'04 Prices'!F13="",'04 Prices'!F14=""),"",LN('04 Prices'!F14/'04 Prices'!F13))</f>
        <v/>
      </c>
      <c r="G13" s="25">
        <f>IF(OR($A13="",'04 Prices'!G13="",'04 Prices'!G14=""),"",LN('04 Prices'!G14/'04 Prices'!G13))</f>
        <v/>
      </c>
      <c r="H13" s="25">
        <f>IF(OR($A13="",'04 Prices'!H13="",'04 Prices'!H14=""),"",LN('04 Prices'!H14/'04 Prices'!H13))</f>
        <v/>
      </c>
    </row>
    <row r="14">
      <c r="A14" s="23">
        <f>IF('04 Prices'!A15="","",'04 Prices'!A15)</f>
        <v/>
      </c>
      <c r="B14" s="25">
        <f>IF(OR($A14="",'04 Prices'!B14="",'04 Prices'!B15=""),"",LN('04 Prices'!B15/'04 Prices'!B14))</f>
        <v/>
      </c>
      <c r="C14" s="25">
        <f>IF(OR($A14="",'04 Prices'!C14="",'04 Prices'!C15=""),"",LN('04 Prices'!C15/'04 Prices'!C14))</f>
        <v/>
      </c>
      <c r="D14" s="25">
        <f>IF(OR($A14="",'04 Prices'!D14="",'04 Prices'!D15=""),"",LN('04 Prices'!D15/'04 Prices'!D14))</f>
        <v/>
      </c>
      <c r="E14" s="25">
        <f>IF(OR($A14="",'04 Prices'!E14="",'04 Prices'!E15=""),"",LN('04 Prices'!E15/'04 Prices'!E14))</f>
        <v/>
      </c>
      <c r="F14" s="25">
        <f>IF(OR($A14="",'04 Prices'!F14="",'04 Prices'!F15=""),"",LN('04 Prices'!F15/'04 Prices'!F14))</f>
        <v/>
      </c>
      <c r="G14" s="25">
        <f>IF(OR($A14="",'04 Prices'!G14="",'04 Prices'!G15=""),"",LN('04 Prices'!G15/'04 Prices'!G14))</f>
        <v/>
      </c>
      <c r="H14" s="25">
        <f>IF(OR($A14="",'04 Prices'!H14="",'04 Prices'!H15=""),"",LN('04 Prices'!H15/'04 Prices'!H14))</f>
        <v/>
      </c>
    </row>
    <row r="15">
      <c r="A15" s="23">
        <f>IF('04 Prices'!A16="","",'04 Prices'!A16)</f>
        <v/>
      </c>
      <c r="B15" s="25">
        <f>IF(OR($A15="",'04 Prices'!B15="",'04 Prices'!B16=""),"",LN('04 Prices'!B16/'04 Prices'!B15))</f>
        <v/>
      </c>
      <c r="C15" s="25">
        <f>IF(OR($A15="",'04 Prices'!C15="",'04 Prices'!C16=""),"",LN('04 Prices'!C16/'04 Prices'!C15))</f>
        <v/>
      </c>
      <c r="D15" s="25">
        <f>IF(OR($A15="",'04 Prices'!D15="",'04 Prices'!D16=""),"",LN('04 Prices'!D16/'04 Prices'!D15))</f>
        <v/>
      </c>
      <c r="E15" s="25">
        <f>IF(OR($A15="",'04 Prices'!E15="",'04 Prices'!E16=""),"",LN('04 Prices'!E16/'04 Prices'!E15))</f>
        <v/>
      </c>
      <c r="F15" s="25">
        <f>IF(OR($A15="",'04 Prices'!F15="",'04 Prices'!F16=""),"",LN('04 Prices'!F16/'04 Prices'!F15))</f>
        <v/>
      </c>
      <c r="G15" s="25">
        <f>IF(OR($A15="",'04 Prices'!G15="",'04 Prices'!G16=""),"",LN('04 Prices'!G16/'04 Prices'!G15))</f>
        <v/>
      </c>
      <c r="H15" s="25">
        <f>IF(OR($A15="",'04 Prices'!H15="",'04 Prices'!H16=""),"",LN('04 Prices'!H16/'04 Prices'!H15))</f>
        <v/>
      </c>
    </row>
    <row r="16">
      <c r="A16" s="23">
        <f>IF('04 Prices'!A17="","",'04 Prices'!A17)</f>
        <v/>
      </c>
      <c r="B16" s="25">
        <f>IF(OR($A16="",'04 Prices'!B16="",'04 Prices'!B17=""),"",LN('04 Prices'!B17/'04 Prices'!B16))</f>
        <v/>
      </c>
      <c r="C16" s="25">
        <f>IF(OR($A16="",'04 Prices'!C16="",'04 Prices'!C17=""),"",LN('04 Prices'!C17/'04 Prices'!C16))</f>
        <v/>
      </c>
      <c r="D16" s="25">
        <f>IF(OR($A16="",'04 Prices'!D16="",'04 Prices'!D17=""),"",LN('04 Prices'!D17/'04 Prices'!D16))</f>
        <v/>
      </c>
      <c r="E16" s="25">
        <f>IF(OR($A16="",'04 Prices'!E16="",'04 Prices'!E17=""),"",LN('04 Prices'!E17/'04 Prices'!E16))</f>
        <v/>
      </c>
      <c r="F16" s="25">
        <f>IF(OR($A16="",'04 Prices'!F16="",'04 Prices'!F17=""),"",LN('04 Prices'!F17/'04 Prices'!F16))</f>
        <v/>
      </c>
      <c r="G16" s="25">
        <f>IF(OR($A16="",'04 Prices'!G16="",'04 Prices'!G17=""),"",LN('04 Prices'!G17/'04 Prices'!G16))</f>
        <v/>
      </c>
      <c r="H16" s="25">
        <f>IF(OR($A16="",'04 Prices'!H16="",'04 Prices'!H17=""),"",LN('04 Prices'!H17/'04 Prices'!H16))</f>
        <v/>
      </c>
    </row>
    <row r="17">
      <c r="A17" s="23">
        <f>IF('04 Prices'!A18="","",'04 Prices'!A18)</f>
        <v/>
      </c>
      <c r="B17" s="25">
        <f>IF(OR($A17="",'04 Prices'!B17="",'04 Prices'!B18=""),"",LN('04 Prices'!B18/'04 Prices'!B17))</f>
        <v/>
      </c>
      <c r="C17" s="25">
        <f>IF(OR($A17="",'04 Prices'!C17="",'04 Prices'!C18=""),"",LN('04 Prices'!C18/'04 Prices'!C17))</f>
        <v/>
      </c>
      <c r="D17" s="25">
        <f>IF(OR($A17="",'04 Prices'!D17="",'04 Prices'!D18=""),"",LN('04 Prices'!D18/'04 Prices'!D17))</f>
        <v/>
      </c>
      <c r="E17" s="25">
        <f>IF(OR($A17="",'04 Prices'!E17="",'04 Prices'!E18=""),"",LN('04 Prices'!E18/'04 Prices'!E17))</f>
        <v/>
      </c>
      <c r="F17" s="25">
        <f>IF(OR($A17="",'04 Prices'!F17="",'04 Prices'!F18=""),"",LN('04 Prices'!F18/'04 Prices'!F17))</f>
        <v/>
      </c>
      <c r="G17" s="25">
        <f>IF(OR($A17="",'04 Prices'!G17="",'04 Prices'!G18=""),"",LN('04 Prices'!G18/'04 Prices'!G17))</f>
        <v/>
      </c>
      <c r="H17" s="25">
        <f>IF(OR($A17="",'04 Prices'!H17="",'04 Prices'!H18=""),"",LN('04 Prices'!H18/'04 Prices'!H17))</f>
        <v/>
      </c>
    </row>
    <row r="18">
      <c r="A18" s="23">
        <f>IF('04 Prices'!A19="","",'04 Prices'!A19)</f>
        <v/>
      </c>
      <c r="B18" s="25">
        <f>IF(OR($A18="",'04 Prices'!B18="",'04 Prices'!B19=""),"",LN('04 Prices'!B19/'04 Prices'!B18))</f>
        <v/>
      </c>
      <c r="C18" s="25">
        <f>IF(OR($A18="",'04 Prices'!C18="",'04 Prices'!C19=""),"",LN('04 Prices'!C19/'04 Prices'!C18))</f>
        <v/>
      </c>
      <c r="D18" s="25">
        <f>IF(OR($A18="",'04 Prices'!D18="",'04 Prices'!D19=""),"",LN('04 Prices'!D19/'04 Prices'!D18))</f>
        <v/>
      </c>
      <c r="E18" s="25">
        <f>IF(OR($A18="",'04 Prices'!E18="",'04 Prices'!E19=""),"",LN('04 Prices'!E19/'04 Prices'!E18))</f>
        <v/>
      </c>
      <c r="F18" s="25">
        <f>IF(OR($A18="",'04 Prices'!F18="",'04 Prices'!F19=""),"",LN('04 Prices'!F19/'04 Prices'!F18))</f>
        <v/>
      </c>
      <c r="G18" s="25">
        <f>IF(OR($A18="",'04 Prices'!G18="",'04 Prices'!G19=""),"",LN('04 Prices'!G19/'04 Prices'!G18))</f>
        <v/>
      </c>
      <c r="H18" s="25">
        <f>IF(OR($A18="",'04 Prices'!H18="",'04 Prices'!H19=""),"",LN('04 Prices'!H19/'04 Prices'!H18))</f>
        <v/>
      </c>
    </row>
    <row r="19">
      <c r="A19" s="23">
        <f>IF('04 Prices'!A20="","",'04 Prices'!A20)</f>
        <v/>
      </c>
      <c r="B19" s="25">
        <f>IF(OR($A19="",'04 Prices'!B19="",'04 Prices'!B20=""),"",LN('04 Prices'!B20/'04 Prices'!B19))</f>
        <v/>
      </c>
      <c r="C19" s="25">
        <f>IF(OR($A19="",'04 Prices'!C19="",'04 Prices'!C20=""),"",LN('04 Prices'!C20/'04 Prices'!C19))</f>
        <v/>
      </c>
      <c r="D19" s="25">
        <f>IF(OR($A19="",'04 Prices'!D19="",'04 Prices'!D20=""),"",LN('04 Prices'!D20/'04 Prices'!D19))</f>
        <v/>
      </c>
      <c r="E19" s="25">
        <f>IF(OR($A19="",'04 Prices'!E19="",'04 Prices'!E20=""),"",LN('04 Prices'!E20/'04 Prices'!E19))</f>
        <v/>
      </c>
      <c r="F19" s="25">
        <f>IF(OR($A19="",'04 Prices'!F19="",'04 Prices'!F20=""),"",LN('04 Prices'!F20/'04 Prices'!F19))</f>
        <v/>
      </c>
      <c r="G19" s="25">
        <f>IF(OR($A19="",'04 Prices'!G19="",'04 Prices'!G20=""),"",LN('04 Prices'!G20/'04 Prices'!G19))</f>
        <v/>
      </c>
      <c r="H19" s="25">
        <f>IF(OR($A19="",'04 Prices'!H19="",'04 Prices'!H20=""),"",LN('04 Prices'!H20/'04 Prices'!H19))</f>
        <v/>
      </c>
    </row>
    <row r="20">
      <c r="A20" s="23">
        <f>IF('04 Prices'!A21="","",'04 Prices'!A21)</f>
        <v/>
      </c>
      <c r="B20" s="25">
        <f>IF(OR($A20="",'04 Prices'!B20="",'04 Prices'!B21=""),"",LN('04 Prices'!B21/'04 Prices'!B20))</f>
        <v/>
      </c>
      <c r="C20" s="25">
        <f>IF(OR($A20="",'04 Prices'!C20="",'04 Prices'!C21=""),"",LN('04 Prices'!C21/'04 Prices'!C20))</f>
        <v/>
      </c>
      <c r="D20" s="25">
        <f>IF(OR($A20="",'04 Prices'!D20="",'04 Prices'!D21=""),"",LN('04 Prices'!D21/'04 Prices'!D20))</f>
        <v/>
      </c>
      <c r="E20" s="25">
        <f>IF(OR($A20="",'04 Prices'!E20="",'04 Prices'!E21=""),"",LN('04 Prices'!E21/'04 Prices'!E20))</f>
        <v/>
      </c>
      <c r="F20" s="25">
        <f>IF(OR($A20="",'04 Prices'!F20="",'04 Prices'!F21=""),"",LN('04 Prices'!F21/'04 Prices'!F20))</f>
        <v/>
      </c>
      <c r="G20" s="25">
        <f>IF(OR($A20="",'04 Prices'!G20="",'04 Prices'!G21=""),"",LN('04 Prices'!G21/'04 Prices'!G20))</f>
        <v/>
      </c>
      <c r="H20" s="25">
        <f>IF(OR($A20="",'04 Prices'!H20="",'04 Prices'!H21=""),"",LN('04 Prices'!H21/'04 Prices'!H20))</f>
        <v/>
      </c>
    </row>
    <row r="21">
      <c r="A21" s="23">
        <f>IF('04 Prices'!A22="","",'04 Prices'!A22)</f>
        <v/>
      </c>
      <c r="B21" s="25">
        <f>IF(OR($A21="",'04 Prices'!B21="",'04 Prices'!B22=""),"",LN('04 Prices'!B22/'04 Prices'!B21))</f>
        <v/>
      </c>
      <c r="C21" s="25">
        <f>IF(OR($A21="",'04 Prices'!C21="",'04 Prices'!C22=""),"",LN('04 Prices'!C22/'04 Prices'!C21))</f>
        <v/>
      </c>
      <c r="D21" s="25">
        <f>IF(OR($A21="",'04 Prices'!D21="",'04 Prices'!D22=""),"",LN('04 Prices'!D22/'04 Prices'!D21))</f>
        <v/>
      </c>
      <c r="E21" s="25">
        <f>IF(OR($A21="",'04 Prices'!E21="",'04 Prices'!E22=""),"",LN('04 Prices'!E22/'04 Prices'!E21))</f>
        <v/>
      </c>
      <c r="F21" s="25">
        <f>IF(OR($A21="",'04 Prices'!F21="",'04 Prices'!F22=""),"",LN('04 Prices'!F22/'04 Prices'!F21))</f>
        <v/>
      </c>
      <c r="G21" s="25">
        <f>IF(OR($A21="",'04 Prices'!G21="",'04 Prices'!G22=""),"",LN('04 Prices'!G22/'04 Prices'!G21))</f>
        <v/>
      </c>
      <c r="H21" s="25">
        <f>IF(OR($A21="",'04 Prices'!H21="",'04 Prices'!H22=""),"",LN('04 Prices'!H22/'04 Prices'!H21))</f>
        <v/>
      </c>
    </row>
    <row r="22">
      <c r="A22" s="23">
        <f>IF('04 Prices'!A23="","",'04 Prices'!A23)</f>
        <v/>
      </c>
      <c r="B22" s="25">
        <f>IF(OR($A22="",'04 Prices'!B22="",'04 Prices'!B23=""),"",LN('04 Prices'!B23/'04 Prices'!B22))</f>
        <v/>
      </c>
      <c r="C22" s="25">
        <f>IF(OR($A22="",'04 Prices'!C22="",'04 Prices'!C23=""),"",LN('04 Prices'!C23/'04 Prices'!C22))</f>
        <v/>
      </c>
      <c r="D22" s="25">
        <f>IF(OR($A22="",'04 Prices'!D22="",'04 Prices'!D23=""),"",LN('04 Prices'!D23/'04 Prices'!D22))</f>
        <v/>
      </c>
      <c r="E22" s="25">
        <f>IF(OR($A22="",'04 Prices'!E22="",'04 Prices'!E23=""),"",LN('04 Prices'!E23/'04 Prices'!E22))</f>
        <v/>
      </c>
      <c r="F22" s="25">
        <f>IF(OR($A22="",'04 Prices'!F22="",'04 Prices'!F23=""),"",LN('04 Prices'!F23/'04 Prices'!F22))</f>
        <v/>
      </c>
      <c r="G22" s="25">
        <f>IF(OR($A22="",'04 Prices'!G22="",'04 Prices'!G23=""),"",LN('04 Prices'!G23/'04 Prices'!G22))</f>
        <v/>
      </c>
      <c r="H22" s="25">
        <f>IF(OR($A22="",'04 Prices'!H22="",'04 Prices'!H23=""),"",LN('04 Prices'!H23/'04 Prices'!H22))</f>
        <v/>
      </c>
    </row>
    <row r="23">
      <c r="A23" s="23">
        <f>IF('04 Prices'!A24="","",'04 Prices'!A24)</f>
        <v/>
      </c>
      <c r="B23" s="25">
        <f>IF(OR($A23="",'04 Prices'!B23="",'04 Prices'!B24=""),"",LN('04 Prices'!B24/'04 Prices'!B23))</f>
        <v/>
      </c>
      <c r="C23" s="25">
        <f>IF(OR($A23="",'04 Prices'!C23="",'04 Prices'!C24=""),"",LN('04 Prices'!C24/'04 Prices'!C23))</f>
        <v/>
      </c>
      <c r="D23" s="25">
        <f>IF(OR($A23="",'04 Prices'!D23="",'04 Prices'!D24=""),"",LN('04 Prices'!D24/'04 Prices'!D23))</f>
        <v/>
      </c>
      <c r="E23" s="25">
        <f>IF(OR($A23="",'04 Prices'!E23="",'04 Prices'!E24=""),"",LN('04 Prices'!E24/'04 Prices'!E23))</f>
        <v/>
      </c>
      <c r="F23" s="25">
        <f>IF(OR($A23="",'04 Prices'!F23="",'04 Prices'!F24=""),"",LN('04 Prices'!F24/'04 Prices'!F23))</f>
        <v/>
      </c>
      <c r="G23" s="25">
        <f>IF(OR($A23="",'04 Prices'!G23="",'04 Prices'!G24=""),"",LN('04 Prices'!G24/'04 Prices'!G23))</f>
        <v/>
      </c>
      <c r="H23" s="25">
        <f>IF(OR($A23="",'04 Prices'!H23="",'04 Prices'!H24=""),"",LN('04 Prices'!H24/'04 Prices'!H23))</f>
        <v/>
      </c>
    </row>
    <row r="24">
      <c r="A24" s="23">
        <f>IF('04 Prices'!A25="","",'04 Prices'!A25)</f>
        <v/>
      </c>
      <c r="B24" s="25">
        <f>IF(OR($A24="",'04 Prices'!B24="",'04 Prices'!B25=""),"",LN('04 Prices'!B25/'04 Prices'!B24))</f>
        <v/>
      </c>
      <c r="C24" s="25">
        <f>IF(OR($A24="",'04 Prices'!C24="",'04 Prices'!C25=""),"",LN('04 Prices'!C25/'04 Prices'!C24))</f>
        <v/>
      </c>
      <c r="D24" s="25">
        <f>IF(OR($A24="",'04 Prices'!D24="",'04 Prices'!D25=""),"",LN('04 Prices'!D25/'04 Prices'!D24))</f>
        <v/>
      </c>
      <c r="E24" s="25">
        <f>IF(OR($A24="",'04 Prices'!E24="",'04 Prices'!E25=""),"",LN('04 Prices'!E25/'04 Prices'!E24))</f>
        <v/>
      </c>
      <c r="F24" s="25">
        <f>IF(OR($A24="",'04 Prices'!F24="",'04 Prices'!F25=""),"",LN('04 Prices'!F25/'04 Prices'!F24))</f>
        <v/>
      </c>
      <c r="G24" s="25">
        <f>IF(OR($A24="",'04 Prices'!G24="",'04 Prices'!G25=""),"",LN('04 Prices'!G25/'04 Prices'!G24))</f>
        <v/>
      </c>
      <c r="H24" s="25">
        <f>IF(OR($A24="",'04 Prices'!H24="",'04 Prices'!H25=""),"",LN('04 Prices'!H25/'04 Prices'!H24))</f>
        <v/>
      </c>
    </row>
    <row r="25">
      <c r="A25" s="23">
        <f>IF('04 Prices'!A26="","",'04 Prices'!A26)</f>
        <v/>
      </c>
      <c r="B25" s="25">
        <f>IF(OR($A25="",'04 Prices'!B25="",'04 Prices'!B26=""),"",LN('04 Prices'!B26/'04 Prices'!B25))</f>
        <v/>
      </c>
      <c r="C25" s="25">
        <f>IF(OR($A25="",'04 Prices'!C25="",'04 Prices'!C26=""),"",LN('04 Prices'!C26/'04 Prices'!C25))</f>
        <v/>
      </c>
      <c r="D25" s="25">
        <f>IF(OR($A25="",'04 Prices'!D25="",'04 Prices'!D26=""),"",LN('04 Prices'!D26/'04 Prices'!D25))</f>
        <v/>
      </c>
      <c r="E25" s="25">
        <f>IF(OR($A25="",'04 Prices'!E25="",'04 Prices'!E26=""),"",LN('04 Prices'!E26/'04 Prices'!E25))</f>
        <v/>
      </c>
      <c r="F25" s="25">
        <f>IF(OR($A25="",'04 Prices'!F25="",'04 Prices'!F26=""),"",LN('04 Prices'!F26/'04 Prices'!F25))</f>
        <v/>
      </c>
      <c r="G25" s="25">
        <f>IF(OR($A25="",'04 Prices'!G25="",'04 Prices'!G26=""),"",LN('04 Prices'!G26/'04 Prices'!G25))</f>
        <v/>
      </c>
      <c r="H25" s="25">
        <f>IF(OR($A25="",'04 Prices'!H25="",'04 Prices'!H26=""),"",LN('04 Prices'!H26/'04 Prices'!H25))</f>
        <v/>
      </c>
    </row>
    <row r="26">
      <c r="A26" s="23">
        <f>IF('04 Prices'!A27="","",'04 Prices'!A27)</f>
        <v/>
      </c>
      <c r="B26" s="25">
        <f>IF(OR($A26="",'04 Prices'!B26="",'04 Prices'!B27=""),"",LN('04 Prices'!B27/'04 Prices'!B26))</f>
        <v/>
      </c>
      <c r="C26" s="25">
        <f>IF(OR($A26="",'04 Prices'!C26="",'04 Prices'!C27=""),"",LN('04 Prices'!C27/'04 Prices'!C26))</f>
        <v/>
      </c>
      <c r="D26" s="25">
        <f>IF(OR($A26="",'04 Prices'!D26="",'04 Prices'!D27=""),"",LN('04 Prices'!D27/'04 Prices'!D26))</f>
        <v/>
      </c>
      <c r="E26" s="25">
        <f>IF(OR($A26="",'04 Prices'!E26="",'04 Prices'!E27=""),"",LN('04 Prices'!E27/'04 Prices'!E26))</f>
        <v/>
      </c>
      <c r="F26" s="25">
        <f>IF(OR($A26="",'04 Prices'!F26="",'04 Prices'!F27=""),"",LN('04 Prices'!F27/'04 Prices'!F26))</f>
        <v/>
      </c>
      <c r="G26" s="25">
        <f>IF(OR($A26="",'04 Prices'!G26="",'04 Prices'!G27=""),"",LN('04 Prices'!G27/'04 Prices'!G26))</f>
        <v/>
      </c>
      <c r="H26" s="25">
        <f>IF(OR($A26="",'04 Prices'!H26="",'04 Prices'!H27=""),"",LN('04 Prices'!H27/'04 Prices'!H26))</f>
        <v/>
      </c>
    </row>
    <row r="27">
      <c r="A27" s="23">
        <f>IF('04 Prices'!A28="","",'04 Prices'!A28)</f>
        <v/>
      </c>
      <c r="B27" s="25">
        <f>IF(OR($A27="",'04 Prices'!B27="",'04 Prices'!B28=""),"",LN('04 Prices'!B28/'04 Prices'!B27))</f>
        <v/>
      </c>
      <c r="C27" s="25">
        <f>IF(OR($A27="",'04 Prices'!C27="",'04 Prices'!C28=""),"",LN('04 Prices'!C28/'04 Prices'!C27))</f>
        <v/>
      </c>
      <c r="D27" s="25">
        <f>IF(OR($A27="",'04 Prices'!D27="",'04 Prices'!D28=""),"",LN('04 Prices'!D28/'04 Prices'!D27))</f>
        <v/>
      </c>
      <c r="E27" s="25">
        <f>IF(OR($A27="",'04 Prices'!E27="",'04 Prices'!E28=""),"",LN('04 Prices'!E28/'04 Prices'!E27))</f>
        <v/>
      </c>
      <c r="F27" s="25">
        <f>IF(OR($A27="",'04 Prices'!F27="",'04 Prices'!F28=""),"",LN('04 Prices'!F28/'04 Prices'!F27))</f>
        <v/>
      </c>
      <c r="G27" s="25">
        <f>IF(OR($A27="",'04 Prices'!G27="",'04 Prices'!G28=""),"",LN('04 Prices'!G28/'04 Prices'!G27))</f>
        <v/>
      </c>
      <c r="H27" s="25">
        <f>IF(OR($A27="",'04 Prices'!H27="",'04 Prices'!H28=""),"",LN('04 Prices'!H28/'04 Prices'!H27))</f>
        <v/>
      </c>
    </row>
    <row r="28">
      <c r="A28" s="23">
        <f>IF('04 Prices'!A29="","",'04 Prices'!A29)</f>
        <v/>
      </c>
      <c r="B28" s="25">
        <f>IF(OR($A28="",'04 Prices'!B28="",'04 Prices'!B29=""),"",LN('04 Prices'!B29/'04 Prices'!B28))</f>
        <v/>
      </c>
      <c r="C28" s="25">
        <f>IF(OR($A28="",'04 Prices'!C28="",'04 Prices'!C29=""),"",LN('04 Prices'!C29/'04 Prices'!C28))</f>
        <v/>
      </c>
      <c r="D28" s="25">
        <f>IF(OR($A28="",'04 Prices'!D28="",'04 Prices'!D29=""),"",LN('04 Prices'!D29/'04 Prices'!D28))</f>
        <v/>
      </c>
      <c r="E28" s="25">
        <f>IF(OR($A28="",'04 Prices'!E28="",'04 Prices'!E29=""),"",LN('04 Prices'!E29/'04 Prices'!E28))</f>
        <v/>
      </c>
      <c r="F28" s="25">
        <f>IF(OR($A28="",'04 Prices'!F28="",'04 Prices'!F29=""),"",LN('04 Prices'!F29/'04 Prices'!F28))</f>
        <v/>
      </c>
      <c r="G28" s="25">
        <f>IF(OR($A28="",'04 Prices'!G28="",'04 Prices'!G29=""),"",LN('04 Prices'!G29/'04 Prices'!G28))</f>
        <v/>
      </c>
      <c r="H28" s="25">
        <f>IF(OR($A28="",'04 Prices'!H28="",'04 Prices'!H29=""),"",LN('04 Prices'!H29/'04 Prices'!H28))</f>
        <v/>
      </c>
    </row>
    <row r="29">
      <c r="A29" s="23">
        <f>IF('04 Prices'!A30="","",'04 Prices'!A30)</f>
        <v/>
      </c>
      <c r="B29" s="25">
        <f>IF(OR($A29="",'04 Prices'!B29="",'04 Prices'!B30=""),"",LN('04 Prices'!B30/'04 Prices'!B29))</f>
        <v/>
      </c>
      <c r="C29" s="25">
        <f>IF(OR($A29="",'04 Prices'!C29="",'04 Prices'!C30=""),"",LN('04 Prices'!C30/'04 Prices'!C29))</f>
        <v/>
      </c>
      <c r="D29" s="25">
        <f>IF(OR($A29="",'04 Prices'!D29="",'04 Prices'!D30=""),"",LN('04 Prices'!D30/'04 Prices'!D29))</f>
        <v/>
      </c>
      <c r="E29" s="25">
        <f>IF(OR($A29="",'04 Prices'!E29="",'04 Prices'!E30=""),"",LN('04 Prices'!E30/'04 Prices'!E29))</f>
        <v/>
      </c>
      <c r="F29" s="25">
        <f>IF(OR($A29="",'04 Prices'!F29="",'04 Prices'!F30=""),"",LN('04 Prices'!F30/'04 Prices'!F29))</f>
        <v/>
      </c>
      <c r="G29" s="25">
        <f>IF(OR($A29="",'04 Prices'!G29="",'04 Prices'!G30=""),"",LN('04 Prices'!G30/'04 Prices'!G29))</f>
        <v/>
      </c>
      <c r="H29" s="25">
        <f>IF(OR($A29="",'04 Prices'!H29="",'04 Prices'!H30=""),"",LN('04 Prices'!H30/'04 Prices'!H29))</f>
        <v/>
      </c>
    </row>
    <row r="30">
      <c r="A30" s="23">
        <f>IF('04 Prices'!A31="","",'04 Prices'!A31)</f>
        <v/>
      </c>
      <c r="B30" s="25">
        <f>IF(OR($A30="",'04 Prices'!B30="",'04 Prices'!B31=""),"",LN('04 Prices'!B31/'04 Prices'!B30))</f>
        <v/>
      </c>
      <c r="C30" s="25">
        <f>IF(OR($A30="",'04 Prices'!C30="",'04 Prices'!C31=""),"",LN('04 Prices'!C31/'04 Prices'!C30))</f>
        <v/>
      </c>
      <c r="D30" s="25">
        <f>IF(OR($A30="",'04 Prices'!D30="",'04 Prices'!D31=""),"",LN('04 Prices'!D31/'04 Prices'!D30))</f>
        <v/>
      </c>
      <c r="E30" s="25">
        <f>IF(OR($A30="",'04 Prices'!E30="",'04 Prices'!E31=""),"",LN('04 Prices'!E31/'04 Prices'!E30))</f>
        <v/>
      </c>
      <c r="F30" s="25">
        <f>IF(OR($A30="",'04 Prices'!F30="",'04 Prices'!F31=""),"",LN('04 Prices'!F31/'04 Prices'!F30))</f>
        <v/>
      </c>
      <c r="G30" s="25">
        <f>IF(OR($A30="",'04 Prices'!G30="",'04 Prices'!G31=""),"",LN('04 Prices'!G31/'04 Prices'!G30))</f>
        <v/>
      </c>
      <c r="H30" s="25">
        <f>IF(OR($A30="",'04 Prices'!H30="",'04 Prices'!H31=""),"",LN('04 Prices'!H31/'04 Prices'!H30))</f>
        <v/>
      </c>
    </row>
    <row r="31">
      <c r="A31" s="23">
        <f>IF('04 Prices'!A32="","",'04 Prices'!A32)</f>
        <v/>
      </c>
      <c r="B31" s="25">
        <f>IF(OR($A31="",'04 Prices'!B31="",'04 Prices'!B32=""),"",LN('04 Prices'!B32/'04 Prices'!B31))</f>
        <v/>
      </c>
      <c r="C31" s="25">
        <f>IF(OR($A31="",'04 Prices'!C31="",'04 Prices'!C32=""),"",LN('04 Prices'!C32/'04 Prices'!C31))</f>
        <v/>
      </c>
      <c r="D31" s="25">
        <f>IF(OR($A31="",'04 Prices'!D31="",'04 Prices'!D32=""),"",LN('04 Prices'!D32/'04 Prices'!D31))</f>
        <v/>
      </c>
      <c r="E31" s="25">
        <f>IF(OR($A31="",'04 Prices'!E31="",'04 Prices'!E32=""),"",LN('04 Prices'!E32/'04 Prices'!E31))</f>
        <v/>
      </c>
      <c r="F31" s="25">
        <f>IF(OR($A31="",'04 Prices'!F31="",'04 Prices'!F32=""),"",LN('04 Prices'!F32/'04 Prices'!F31))</f>
        <v/>
      </c>
      <c r="G31" s="25">
        <f>IF(OR($A31="",'04 Prices'!G31="",'04 Prices'!G32=""),"",LN('04 Prices'!G32/'04 Prices'!G31))</f>
        <v/>
      </c>
      <c r="H31" s="25">
        <f>IF(OR($A31="",'04 Prices'!H31="",'04 Prices'!H32=""),"",LN('04 Prices'!H32/'04 Prices'!H31))</f>
        <v/>
      </c>
    </row>
    <row r="32">
      <c r="A32" s="23">
        <f>IF('04 Prices'!A33="","",'04 Prices'!A33)</f>
        <v/>
      </c>
      <c r="B32" s="25">
        <f>IF(OR($A32="",'04 Prices'!B32="",'04 Prices'!B33=""),"",LN('04 Prices'!B33/'04 Prices'!B32))</f>
        <v/>
      </c>
      <c r="C32" s="25">
        <f>IF(OR($A32="",'04 Prices'!C32="",'04 Prices'!C33=""),"",LN('04 Prices'!C33/'04 Prices'!C32))</f>
        <v/>
      </c>
      <c r="D32" s="25">
        <f>IF(OR($A32="",'04 Prices'!D32="",'04 Prices'!D33=""),"",LN('04 Prices'!D33/'04 Prices'!D32))</f>
        <v/>
      </c>
      <c r="E32" s="25">
        <f>IF(OR($A32="",'04 Prices'!E32="",'04 Prices'!E33=""),"",LN('04 Prices'!E33/'04 Prices'!E32))</f>
        <v/>
      </c>
      <c r="F32" s="25">
        <f>IF(OR($A32="",'04 Prices'!F32="",'04 Prices'!F33=""),"",LN('04 Prices'!F33/'04 Prices'!F32))</f>
        <v/>
      </c>
      <c r="G32" s="25">
        <f>IF(OR($A32="",'04 Prices'!G32="",'04 Prices'!G33=""),"",LN('04 Prices'!G33/'04 Prices'!G32))</f>
        <v/>
      </c>
      <c r="H32" s="25">
        <f>IF(OR($A32="",'04 Prices'!H32="",'04 Prices'!H33=""),"",LN('04 Prices'!H33/'04 Prices'!H32))</f>
        <v/>
      </c>
    </row>
    <row r="33">
      <c r="A33" s="23">
        <f>IF('04 Prices'!A34="","",'04 Prices'!A34)</f>
        <v/>
      </c>
      <c r="B33" s="25">
        <f>IF(OR($A33="",'04 Prices'!B33="",'04 Prices'!B34=""),"",LN('04 Prices'!B34/'04 Prices'!B33))</f>
        <v/>
      </c>
      <c r="C33" s="25">
        <f>IF(OR($A33="",'04 Prices'!C33="",'04 Prices'!C34=""),"",LN('04 Prices'!C34/'04 Prices'!C33))</f>
        <v/>
      </c>
      <c r="D33" s="25">
        <f>IF(OR($A33="",'04 Prices'!D33="",'04 Prices'!D34=""),"",LN('04 Prices'!D34/'04 Prices'!D33))</f>
        <v/>
      </c>
      <c r="E33" s="25">
        <f>IF(OR($A33="",'04 Prices'!E33="",'04 Prices'!E34=""),"",LN('04 Prices'!E34/'04 Prices'!E33))</f>
        <v/>
      </c>
      <c r="F33" s="25">
        <f>IF(OR($A33="",'04 Prices'!F33="",'04 Prices'!F34=""),"",LN('04 Prices'!F34/'04 Prices'!F33))</f>
        <v/>
      </c>
      <c r="G33" s="25">
        <f>IF(OR($A33="",'04 Prices'!G33="",'04 Prices'!G34=""),"",LN('04 Prices'!G34/'04 Prices'!G33))</f>
        <v/>
      </c>
      <c r="H33" s="25">
        <f>IF(OR($A33="",'04 Prices'!H33="",'04 Prices'!H34=""),"",LN('04 Prices'!H34/'04 Prices'!H33))</f>
        <v/>
      </c>
    </row>
    <row r="34">
      <c r="A34" s="23">
        <f>IF('04 Prices'!A35="","",'04 Prices'!A35)</f>
        <v/>
      </c>
      <c r="B34" s="25">
        <f>IF(OR($A34="",'04 Prices'!B34="",'04 Prices'!B35=""),"",LN('04 Prices'!B35/'04 Prices'!B34))</f>
        <v/>
      </c>
      <c r="C34" s="25">
        <f>IF(OR($A34="",'04 Prices'!C34="",'04 Prices'!C35=""),"",LN('04 Prices'!C35/'04 Prices'!C34))</f>
        <v/>
      </c>
      <c r="D34" s="25">
        <f>IF(OR($A34="",'04 Prices'!D34="",'04 Prices'!D35=""),"",LN('04 Prices'!D35/'04 Prices'!D34))</f>
        <v/>
      </c>
      <c r="E34" s="25">
        <f>IF(OR($A34="",'04 Prices'!E34="",'04 Prices'!E35=""),"",LN('04 Prices'!E35/'04 Prices'!E34))</f>
        <v/>
      </c>
      <c r="F34" s="25">
        <f>IF(OR($A34="",'04 Prices'!F34="",'04 Prices'!F35=""),"",LN('04 Prices'!F35/'04 Prices'!F34))</f>
        <v/>
      </c>
      <c r="G34" s="25">
        <f>IF(OR($A34="",'04 Prices'!G34="",'04 Prices'!G35=""),"",LN('04 Prices'!G35/'04 Prices'!G34))</f>
        <v/>
      </c>
      <c r="H34" s="25">
        <f>IF(OR($A34="",'04 Prices'!H34="",'04 Prices'!H35=""),"",LN('04 Prices'!H35/'04 Prices'!H34))</f>
        <v/>
      </c>
    </row>
    <row r="35">
      <c r="A35" s="23">
        <f>IF('04 Prices'!A36="","",'04 Prices'!A36)</f>
        <v/>
      </c>
      <c r="B35" s="25">
        <f>IF(OR($A35="",'04 Prices'!B35="",'04 Prices'!B36=""),"",LN('04 Prices'!B36/'04 Prices'!B35))</f>
        <v/>
      </c>
      <c r="C35" s="25">
        <f>IF(OR($A35="",'04 Prices'!C35="",'04 Prices'!C36=""),"",LN('04 Prices'!C36/'04 Prices'!C35))</f>
        <v/>
      </c>
      <c r="D35" s="25">
        <f>IF(OR($A35="",'04 Prices'!D35="",'04 Prices'!D36=""),"",LN('04 Prices'!D36/'04 Prices'!D35))</f>
        <v/>
      </c>
      <c r="E35" s="25">
        <f>IF(OR($A35="",'04 Prices'!E35="",'04 Prices'!E36=""),"",LN('04 Prices'!E36/'04 Prices'!E35))</f>
        <v/>
      </c>
      <c r="F35" s="25">
        <f>IF(OR($A35="",'04 Prices'!F35="",'04 Prices'!F36=""),"",LN('04 Prices'!F36/'04 Prices'!F35))</f>
        <v/>
      </c>
      <c r="G35" s="25">
        <f>IF(OR($A35="",'04 Prices'!G35="",'04 Prices'!G36=""),"",LN('04 Prices'!G36/'04 Prices'!G35))</f>
        <v/>
      </c>
      <c r="H35" s="25">
        <f>IF(OR($A35="",'04 Prices'!H35="",'04 Prices'!H36=""),"",LN('04 Prices'!H36/'04 Prices'!H35))</f>
        <v/>
      </c>
    </row>
    <row r="36">
      <c r="A36" s="23">
        <f>IF('04 Prices'!A37="","",'04 Prices'!A37)</f>
        <v/>
      </c>
      <c r="B36" s="25">
        <f>IF(OR($A36="",'04 Prices'!B36="",'04 Prices'!B37=""),"",LN('04 Prices'!B37/'04 Prices'!B36))</f>
        <v/>
      </c>
      <c r="C36" s="25">
        <f>IF(OR($A36="",'04 Prices'!C36="",'04 Prices'!C37=""),"",LN('04 Prices'!C37/'04 Prices'!C36))</f>
        <v/>
      </c>
      <c r="D36" s="25">
        <f>IF(OR($A36="",'04 Prices'!D36="",'04 Prices'!D37=""),"",LN('04 Prices'!D37/'04 Prices'!D36))</f>
        <v/>
      </c>
      <c r="E36" s="25">
        <f>IF(OR($A36="",'04 Prices'!E36="",'04 Prices'!E37=""),"",LN('04 Prices'!E37/'04 Prices'!E36))</f>
        <v/>
      </c>
      <c r="F36" s="25">
        <f>IF(OR($A36="",'04 Prices'!F36="",'04 Prices'!F37=""),"",LN('04 Prices'!F37/'04 Prices'!F36))</f>
        <v/>
      </c>
      <c r="G36" s="25">
        <f>IF(OR($A36="",'04 Prices'!G36="",'04 Prices'!G37=""),"",LN('04 Prices'!G37/'04 Prices'!G36))</f>
        <v/>
      </c>
      <c r="H36" s="25">
        <f>IF(OR($A36="",'04 Prices'!H36="",'04 Prices'!H37=""),"",LN('04 Prices'!H37/'04 Prices'!H36))</f>
        <v/>
      </c>
    </row>
    <row r="37">
      <c r="A37" s="23">
        <f>IF('04 Prices'!A38="","",'04 Prices'!A38)</f>
        <v/>
      </c>
      <c r="B37" s="25">
        <f>IF(OR($A37="",'04 Prices'!B37="",'04 Prices'!B38=""),"",LN('04 Prices'!B38/'04 Prices'!B37))</f>
        <v/>
      </c>
      <c r="C37" s="25">
        <f>IF(OR($A37="",'04 Prices'!C37="",'04 Prices'!C38=""),"",LN('04 Prices'!C38/'04 Prices'!C37))</f>
        <v/>
      </c>
      <c r="D37" s="25">
        <f>IF(OR($A37="",'04 Prices'!D37="",'04 Prices'!D38=""),"",LN('04 Prices'!D38/'04 Prices'!D37))</f>
        <v/>
      </c>
      <c r="E37" s="25">
        <f>IF(OR($A37="",'04 Prices'!E37="",'04 Prices'!E38=""),"",LN('04 Prices'!E38/'04 Prices'!E37))</f>
        <v/>
      </c>
      <c r="F37" s="25">
        <f>IF(OR($A37="",'04 Prices'!F37="",'04 Prices'!F38=""),"",LN('04 Prices'!F38/'04 Prices'!F37))</f>
        <v/>
      </c>
      <c r="G37" s="25">
        <f>IF(OR($A37="",'04 Prices'!G37="",'04 Prices'!G38=""),"",LN('04 Prices'!G38/'04 Prices'!G37))</f>
        <v/>
      </c>
      <c r="H37" s="25">
        <f>IF(OR($A37="",'04 Prices'!H37="",'04 Prices'!H38=""),"",LN('04 Prices'!H38/'04 Prices'!H37))</f>
        <v/>
      </c>
    </row>
    <row r="38">
      <c r="A38" s="23">
        <f>IF('04 Prices'!A39="","",'04 Prices'!A39)</f>
        <v/>
      </c>
      <c r="B38" s="25">
        <f>IF(OR($A38="",'04 Prices'!B38="",'04 Prices'!B39=""),"",LN('04 Prices'!B39/'04 Prices'!B38))</f>
        <v/>
      </c>
      <c r="C38" s="25">
        <f>IF(OR($A38="",'04 Prices'!C38="",'04 Prices'!C39=""),"",LN('04 Prices'!C39/'04 Prices'!C38))</f>
        <v/>
      </c>
      <c r="D38" s="25">
        <f>IF(OR($A38="",'04 Prices'!D38="",'04 Prices'!D39=""),"",LN('04 Prices'!D39/'04 Prices'!D38))</f>
        <v/>
      </c>
      <c r="E38" s="25">
        <f>IF(OR($A38="",'04 Prices'!E38="",'04 Prices'!E39=""),"",LN('04 Prices'!E39/'04 Prices'!E38))</f>
        <v/>
      </c>
      <c r="F38" s="25">
        <f>IF(OR($A38="",'04 Prices'!F38="",'04 Prices'!F39=""),"",LN('04 Prices'!F39/'04 Prices'!F38))</f>
        <v/>
      </c>
      <c r="G38" s="25">
        <f>IF(OR($A38="",'04 Prices'!G38="",'04 Prices'!G39=""),"",LN('04 Prices'!G39/'04 Prices'!G38))</f>
        <v/>
      </c>
      <c r="H38" s="25">
        <f>IF(OR($A38="",'04 Prices'!H38="",'04 Prices'!H39=""),"",LN('04 Prices'!H39/'04 Prices'!H38))</f>
        <v/>
      </c>
    </row>
    <row r="39">
      <c r="A39" s="23">
        <f>IF('04 Prices'!A40="","",'04 Prices'!A40)</f>
        <v/>
      </c>
      <c r="B39" s="25">
        <f>IF(OR($A39="",'04 Prices'!B39="",'04 Prices'!B40=""),"",LN('04 Prices'!B40/'04 Prices'!B39))</f>
        <v/>
      </c>
      <c r="C39" s="25">
        <f>IF(OR($A39="",'04 Prices'!C39="",'04 Prices'!C40=""),"",LN('04 Prices'!C40/'04 Prices'!C39))</f>
        <v/>
      </c>
      <c r="D39" s="25">
        <f>IF(OR($A39="",'04 Prices'!D39="",'04 Prices'!D40=""),"",LN('04 Prices'!D40/'04 Prices'!D39))</f>
        <v/>
      </c>
      <c r="E39" s="25">
        <f>IF(OR($A39="",'04 Prices'!E39="",'04 Prices'!E40=""),"",LN('04 Prices'!E40/'04 Prices'!E39))</f>
        <v/>
      </c>
      <c r="F39" s="25">
        <f>IF(OR($A39="",'04 Prices'!F39="",'04 Prices'!F40=""),"",LN('04 Prices'!F40/'04 Prices'!F39))</f>
        <v/>
      </c>
      <c r="G39" s="25">
        <f>IF(OR($A39="",'04 Prices'!G39="",'04 Prices'!G40=""),"",LN('04 Prices'!G40/'04 Prices'!G39))</f>
        <v/>
      </c>
      <c r="H39" s="25">
        <f>IF(OR($A39="",'04 Prices'!H39="",'04 Prices'!H40=""),"",LN('04 Prices'!H40/'04 Prices'!H39))</f>
        <v/>
      </c>
    </row>
    <row r="40">
      <c r="A40" s="23">
        <f>IF('04 Prices'!A41="","",'04 Prices'!A41)</f>
        <v/>
      </c>
      <c r="B40" s="25">
        <f>IF(OR($A40="",'04 Prices'!B40="",'04 Prices'!B41=""),"",LN('04 Prices'!B41/'04 Prices'!B40))</f>
        <v/>
      </c>
      <c r="C40" s="25">
        <f>IF(OR($A40="",'04 Prices'!C40="",'04 Prices'!C41=""),"",LN('04 Prices'!C41/'04 Prices'!C40))</f>
        <v/>
      </c>
      <c r="D40" s="25">
        <f>IF(OR($A40="",'04 Prices'!D40="",'04 Prices'!D41=""),"",LN('04 Prices'!D41/'04 Prices'!D40))</f>
        <v/>
      </c>
      <c r="E40" s="25">
        <f>IF(OR($A40="",'04 Prices'!E40="",'04 Prices'!E41=""),"",LN('04 Prices'!E41/'04 Prices'!E40))</f>
        <v/>
      </c>
      <c r="F40" s="25">
        <f>IF(OR($A40="",'04 Prices'!F40="",'04 Prices'!F41=""),"",LN('04 Prices'!F41/'04 Prices'!F40))</f>
        <v/>
      </c>
      <c r="G40" s="25">
        <f>IF(OR($A40="",'04 Prices'!G40="",'04 Prices'!G41=""),"",LN('04 Prices'!G41/'04 Prices'!G40))</f>
        <v/>
      </c>
      <c r="H40" s="25">
        <f>IF(OR($A40="",'04 Prices'!H40="",'04 Prices'!H41=""),"",LN('04 Prices'!H41/'04 Prices'!H40))</f>
        <v/>
      </c>
    </row>
    <row r="41">
      <c r="A41" s="23">
        <f>IF('04 Prices'!A42="","",'04 Prices'!A42)</f>
        <v/>
      </c>
      <c r="B41" s="25">
        <f>IF(OR($A41="",'04 Prices'!B41="",'04 Prices'!B42=""),"",LN('04 Prices'!B42/'04 Prices'!B41))</f>
        <v/>
      </c>
      <c r="C41" s="25">
        <f>IF(OR($A41="",'04 Prices'!C41="",'04 Prices'!C42=""),"",LN('04 Prices'!C42/'04 Prices'!C41))</f>
        <v/>
      </c>
      <c r="D41" s="25">
        <f>IF(OR($A41="",'04 Prices'!D41="",'04 Prices'!D42=""),"",LN('04 Prices'!D42/'04 Prices'!D41))</f>
        <v/>
      </c>
      <c r="E41" s="25">
        <f>IF(OR($A41="",'04 Prices'!E41="",'04 Prices'!E42=""),"",LN('04 Prices'!E42/'04 Prices'!E41))</f>
        <v/>
      </c>
      <c r="F41" s="25">
        <f>IF(OR($A41="",'04 Prices'!F41="",'04 Prices'!F42=""),"",LN('04 Prices'!F42/'04 Prices'!F41))</f>
        <v/>
      </c>
      <c r="G41" s="25">
        <f>IF(OR($A41="",'04 Prices'!G41="",'04 Prices'!G42=""),"",LN('04 Prices'!G42/'04 Prices'!G41))</f>
        <v/>
      </c>
      <c r="H41" s="25">
        <f>IF(OR($A41="",'04 Prices'!H41="",'04 Prices'!H42=""),"",LN('04 Prices'!H42/'04 Prices'!H41))</f>
        <v/>
      </c>
    </row>
    <row r="42">
      <c r="A42" s="23">
        <f>IF('04 Prices'!A43="","",'04 Prices'!A43)</f>
        <v/>
      </c>
      <c r="B42" s="25">
        <f>IF(OR($A42="",'04 Prices'!B42="",'04 Prices'!B43=""),"",LN('04 Prices'!B43/'04 Prices'!B42))</f>
        <v/>
      </c>
      <c r="C42" s="25">
        <f>IF(OR($A42="",'04 Prices'!C42="",'04 Prices'!C43=""),"",LN('04 Prices'!C43/'04 Prices'!C42))</f>
        <v/>
      </c>
      <c r="D42" s="25">
        <f>IF(OR($A42="",'04 Prices'!D42="",'04 Prices'!D43=""),"",LN('04 Prices'!D43/'04 Prices'!D42))</f>
        <v/>
      </c>
      <c r="E42" s="25">
        <f>IF(OR($A42="",'04 Prices'!E42="",'04 Prices'!E43=""),"",LN('04 Prices'!E43/'04 Prices'!E42))</f>
        <v/>
      </c>
      <c r="F42" s="25">
        <f>IF(OR($A42="",'04 Prices'!F42="",'04 Prices'!F43=""),"",LN('04 Prices'!F43/'04 Prices'!F42))</f>
        <v/>
      </c>
      <c r="G42" s="25">
        <f>IF(OR($A42="",'04 Prices'!G42="",'04 Prices'!G43=""),"",LN('04 Prices'!G43/'04 Prices'!G42))</f>
        <v/>
      </c>
      <c r="H42" s="25">
        <f>IF(OR($A42="",'04 Prices'!H42="",'04 Prices'!H43=""),"",LN('04 Prices'!H43/'04 Prices'!H42))</f>
        <v/>
      </c>
    </row>
    <row r="43">
      <c r="A43" s="23">
        <f>IF('04 Prices'!A44="","",'04 Prices'!A44)</f>
        <v/>
      </c>
      <c r="B43" s="25">
        <f>IF(OR($A43="",'04 Prices'!B43="",'04 Prices'!B44=""),"",LN('04 Prices'!B44/'04 Prices'!B43))</f>
        <v/>
      </c>
      <c r="C43" s="25">
        <f>IF(OR($A43="",'04 Prices'!C43="",'04 Prices'!C44=""),"",LN('04 Prices'!C44/'04 Prices'!C43))</f>
        <v/>
      </c>
      <c r="D43" s="25">
        <f>IF(OR($A43="",'04 Prices'!D43="",'04 Prices'!D44=""),"",LN('04 Prices'!D44/'04 Prices'!D43))</f>
        <v/>
      </c>
      <c r="E43" s="25">
        <f>IF(OR($A43="",'04 Prices'!E43="",'04 Prices'!E44=""),"",LN('04 Prices'!E44/'04 Prices'!E43))</f>
        <v/>
      </c>
      <c r="F43" s="25">
        <f>IF(OR($A43="",'04 Prices'!F43="",'04 Prices'!F44=""),"",LN('04 Prices'!F44/'04 Prices'!F43))</f>
        <v/>
      </c>
      <c r="G43" s="25">
        <f>IF(OR($A43="",'04 Prices'!G43="",'04 Prices'!G44=""),"",LN('04 Prices'!G44/'04 Prices'!G43))</f>
        <v/>
      </c>
      <c r="H43" s="25">
        <f>IF(OR($A43="",'04 Prices'!H43="",'04 Prices'!H44=""),"",LN('04 Prices'!H44/'04 Prices'!H43))</f>
        <v/>
      </c>
    </row>
    <row r="44">
      <c r="A44" s="23">
        <f>IF('04 Prices'!A45="","",'04 Prices'!A45)</f>
        <v/>
      </c>
      <c r="B44" s="25">
        <f>IF(OR($A44="",'04 Prices'!B44="",'04 Prices'!B45=""),"",LN('04 Prices'!B45/'04 Prices'!B44))</f>
        <v/>
      </c>
      <c r="C44" s="25">
        <f>IF(OR($A44="",'04 Prices'!C44="",'04 Prices'!C45=""),"",LN('04 Prices'!C45/'04 Prices'!C44))</f>
        <v/>
      </c>
      <c r="D44" s="25">
        <f>IF(OR($A44="",'04 Prices'!D44="",'04 Prices'!D45=""),"",LN('04 Prices'!D45/'04 Prices'!D44))</f>
        <v/>
      </c>
      <c r="E44" s="25">
        <f>IF(OR($A44="",'04 Prices'!E44="",'04 Prices'!E45=""),"",LN('04 Prices'!E45/'04 Prices'!E44))</f>
        <v/>
      </c>
      <c r="F44" s="25">
        <f>IF(OR($A44="",'04 Prices'!F44="",'04 Prices'!F45=""),"",LN('04 Prices'!F45/'04 Prices'!F44))</f>
        <v/>
      </c>
      <c r="G44" s="25">
        <f>IF(OR($A44="",'04 Prices'!G44="",'04 Prices'!G45=""),"",LN('04 Prices'!G45/'04 Prices'!G44))</f>
        <v/>
      </c>
      <c r="H44" s="25">
        <f>IF(OR($A44="",'04 Prices'!H44="",'04 Prices'!H45=""),"",LN('04 Prices'!H45/'04 Prices'!H44))</f>
        <v/>
      </c>
    </row>
    <row r="45">
      <c r="A45" s="23">
        <f>IF('04 Prices'!A46="","",'04 Prices'!A46)</f>
        <v/>
      </c>
      <c r="B45" s="25">
        <f>IF(OR($A45="",'04 Prices'!B45="",'04 Prices'!B46=""),"",LN('04 Prices'!B46/'04 Prices'!B45))</f>
        <v/>
      </c>
      <c r="C45" s="25">
        <f>IF(OR($A45="",'04 Prices'!C45="",'04 Prices'!C46=""),"",LN('04 Prices'!C46/'04 Prices'!C45))</f>
        <v/>
      </c>
      <c r="D45" s="25">
        <f>IF(OR($A45="",'04 Prices'!D45="",'04 Prices'!D46=""),"",LN('04 Prices'!D46/'04 Prices'!D45))</f>
        <v/>
      </c>
      <c r="E45" s="25">
        <f>IF(OR($A45="",'04 Prices'!E45="",'04 Prices'!E46=""),"",LN('04 Prices'!E46/'04 Prices'!E45))</f>
        <v/>
      </c>
      <c r="F45" s="25">
        <f>IF(OR($A45="",'04 Prices'!F45="",'04 Prices'!F46=""),"",LN('04 Prices'!F46/'04 Prices'!F45))</f>
        <v/>
      </c>
      <c r="G45" s="25">
        <f>IF(OR($A45="",'04 Prices'!G45="",'04 Prices'!G46=""),"",LN('04 Prices'!G46/'04 Prices'!G45))</f>
        <v/>
      </c>
      <c r="H45" s="25">
        <f>IF(OR($A45="",'04 Prices'!H45="",'04 Prices'!H46=""),"",LN('04 Prices'!H46/'04 Prices'!H45))</f>
        <v/>
      </c>
    </row>
    <row r="46">
      <c r="A46" s="23">
        <f>IF('04 Prices'!A47="","",'04 Prices'!A47)</f>
        <v/>
      </c>
      <c r="B46" s="25">
        <f>IF(OR($A46="",'04 Prices'!B46="",'04 Prices'!B47=""),"",LN('04 Prices'!B47/'04 Prices'!B46))</f>
        <v/>
      </c>
      <c r="C46" s="25">
        <f>IF(OR($A46="",'04 Prices'!C46="",'04 Prices'!C47=""),"",LN('04 Prices'!C47/'04 Prices'!C46))</f>
        <v/>
      </c>
      <c r="D46" s="25">
        <f>IF(OR($A46="",'04 Prices'!D46="",'04 Prices'!D47=""),"",LN('04 Prices'!D47/'04 Prices'!D46))</f>
        <v/>
      </c>
      <c r="E46" s="25">
        <f>IF(OR($A46="",'04 Prices'!E46="",'04 Prices'!E47=""),"",LN('04 Prices'!E47/'04 Prices'!E46))</f>
        <v/>
      </c>
      <c r="F46" s="25">
        <f>IF(OR($A46="",'04 Prices'!F46="",'04 Prices'!F47=""),"",LN('04 Prices'!F47/'04 Prices'!F46))</f>
        <v/>
      </c>
      <c r="G46" s="25">
        <f>IF(OR($A46="",'04 Prices'!G46="",'04 Prices'!G47=""),"",LN('04 Prices'!G47/'04 Prices'!G46))</f>
        <v/>
      </c>
      <c r="H46" s="25">
        <f>IF(OR($A46="",'04 Prices'!H46="",'04 Prices'!H47=""),"",LN('04 Prices'!H47/'04 Prices'!H46))</f>
        <v/>
      </c>
    </row>
    <row r="47">
      <c r="A47" s="23">
        <f>IF('04 Prices'!A48="","",'04 Prices'!A48)</f>
        <v/>
      </c>
      <c r="B47" s="25">
        <f>IF(OR($A47="",'04 Prices'!B47="",'04 Prices'!B48=""),"",LN('04 Prices'!B48/'04 Prices'!B47))</f>
        <v/>
      </c>
      <c r="C47" s="25">
        <f>IF(OR($A47="",'04 Prices'!C47="",'04 Prices'!C48=""),"",LN('04 Prices'!C48/'04 Prices'!C47))</f>
        <v/>
      </c>
      <c r="D47" s="25">
        <f>IF(OR($A47="",'04 Prices'!D47="",'04 Prices'!D48=""),"",LN('04 Prices'!D48/'04 Prices'!D47))</f>
        <v/>
      </c>
      <c r="E47" s="25">
        <f>IF(OR($A47="",'04 Prices'!E47="",'04 Prices'!E48=""),"",LN('04 Prices'!E48/'04 Prices'!E47))</f>
        <v/>
      </c>
      <c r="F47" s="25">
        <f>IF(OR($A47="",'04 Prices'!F47="",'04 Prices'!F48=""),"",LN('04 Prices'!F48/'04 Prices'!F47))</f>
        <v/>
      </c>
      <c r="G47" s="25">
        <f>IF(OR($A47="",'04 Prices'!G47="",'04 Prices'!G48=""),"",LN('04 Prices'!G48/'04 Prices'!G47))</f>
        <v/>
      </c>
      <c r="H47" s="25">
        <f>IF(OR($A47="",'04 Prices'!H47="",'04 Prices'!H48=""),"",LN('04 Prices'!H48/'04 Prices'!H47))</f>
        <v/>
      </c>
    </row>
    <row r="48">
      <c r="A48" s="23">
        <f>IF('04 Prices'!A49="","",'04 Prices'!A49)</f>
        <v/>
      </c>
      <c r="B48" s="25">
        <f>IF(OR($A48="",'04 Prices'!B48="",'04 Prices'!B49=""),"",LN('04 Prices'!B49/'04 Prices'!B48))</f>
        <v/>
      </c>
      <c r="C48" s="25">
        <f>IF(OR($A48="",'04 Prices'!C48="",'04 Prices'!C49=""),"",LN('04 Prices'!C49/'04 Prices'!C48))</f>
        <v/>
      </c>
      <c r="D48" s="25">
        <f>IF(OR($A48="",'04 Prices'!D48="",'04 Prices'!D49=""),"",LN('04 Prices'!D49/'04 Prices'!D48))</f>
        <v/>
      </c>
      <c r="E48" s="25">
        <f>IF(OR($A48="",'04 Prices'!E48="",'04 Prices'!E49=""),"",LN('04 Prices'!E49/'04 Prices'!E48))</f>
        <v/>
      </c>
      <c r="F48" s="25">
        <f>IF(OR($A48="",'04 Prices'!F48="",'04 Prices'!F49=""),"",LN('04 Prices'!F49/'04 Prices'!F48))</f>
        <v/>
      </c>
      <c r="G48" s="25">
        <f>IF(OR($A48="",'04 Prices'!G48="",'04 Prices'!G49=""),"",LN('04 Prices'!G49/'04 Prices'!G48))</f>
        <v/>
      </c>
      <c r="H48" s="25">
        <f>IF(OR($A48="",'04 Prices'!H48="",'04 Prices'!H49=""),"",LN('04 Prices'!H49/'04 Prices'!H48))</f>
        <v/>
      </c>
    </row>
    <row r="49">
      <c r="A49" s="23">
        <f>IF('04 Prices'!A50="","",'04 Prices'!A50)</f>
        <v/>
      </c>
      <c r="B49" s="25">
        <f>IF(OR($A49="",'04 Prices'!B49="",'04 Prices'!B50=""),"",LN('04 Prices'!B50/'04 Prices'!B49))</f>
        <v/>
      </c>
      <c r="C49" s="25">
        <f>IF(OR($A49="",'04 Prices'!C49="",'04 Prices'!C50=""),"",LN('04 Prices'!C50/'04 Prices'!C49))</f>
        <v/>
      </c>
      <c r="D49" s="25">
        <f>IF(OR($A49="",'04 Prices'!D49="",'04 Prices'!D50=""),"",LN('04 Prices'!D50/'04 Prices'!D49))</f>
        <v/>
      </c>
      <c r="E49" s="25">
        <f>IF(OR($A49="",'04 Prices'!E49="",'04 Prices'!E50=""),"",LN('04 Prices'!E50/'04 Prices'!E49))</f>
        <v/>
      </c>
      <c r="F49" s="25">
        <f>IF(OR($A49="",'04 Prices'!F49="",'04 Prices'!F50=""),"",LN('04 Prices'!F50/'04 Prices'!F49))</f>
        <v/>
      </c>
      <c r="G49" s="25">
        <f>IF(OR($A49="",'04 Prices'!G49="",'04 Prices'!G50=""),"",LN('04 Prices'!G50/'04 Prices'!G49))</f>
        <v/>
      </c>
      <c r="H49" s="25">
        <f>IF(OR($A49="",'04 Prices'!H49="",'04 Prices'!H50=""),"",LN('04 Prices'!H50/'04 Prices'!H49))</f>
        <v/>
      </c>
    </row>
    <row r="50">
      <c r="A50" s="23">
        <f>IF('04 Prices'!A51="","",'04 Prices'!A51)</f>
        <v/>
      </c>
      <c r="B50" s="25">
        <f>IF(OR($A50="",'04 Prices'!B50="",'04 Prices'!B51=""),"",LN('04 Prices'!B51/'04 Prices'!B50))</f>
        <v/>
      </c>
      <c r="C50" s="25">
        <f>IF(OR($A50="",'04 Prices'!C50="",'04 Prices'!C51=""),"",LN('04 Prices'!C51/'04 Prices'!C50))</f>
        <v/>
      </c>
      <c r="D50" s="25">
        <f>IF(OR($A50="",'04 Prices'!D50="",'04 Prices'!D51=""),"",LN('04 Prices'!D51/'04 Prices'!D50))</f>
        <v/>
      </c>
      <c r="E50" s="25">
        <f>IF(OR($A50="",'04 Prices'!E50="",'04 Prices'!E51=""),"",LN('04 Prices'!E51/'04 Prices'!E50))</f>
        <v/>
      </c>
      <c r="F50" s="25">
        <f>IF(OR($A50="",'04 Prices'!F50="",'04 Prices'!F51=""),"",LN('04 Prices'!F51/'04 Prices'!F50))</f>
        <v/>
      </c>
      <c r="G50" s="25">
        <f>IF(OR($A50="",'04 Prices'!G50="",'04 Prices'!G51=""),"",LN('04 Prices'!G51/'04 Prices'!G50))</f>
        <v/>
      </c>
      <c r="H50" s="25">
        <f>IF(OR($A50="",'04 Prices'!H50="",'04 Prices'!H51=""),"",LN('04 Prices'!H51/'04 Prices'!H50))</f>
        <v/>
      </c>
    </row>
    <row r="51">
      <c r="A51" s="23">
        <f>IF('04 Prices'!A52="","",'04 Prices'!A52)</f>
        <v/>
      </c>
      <c r="B51" s="25">
        <f>IF(OR($A51="",'04 Prices'!B51="",'04 Prices'!B52=""),"",LN('04 Prices'!B52/'04 Prices'!B51))</f>
        <v/>
      </c>
      <c r="C51" s="25">
        <f>IF(OR($A51="",'04 Prices'!C51="",'04 Prices'!C52=""),"",LN('04 Prices'!C52/'04 Prices'!C51))</f>
        <v/>
      </c>
      <c r="D51" s="25">
        <f>IF(OR($A51="",'04 Prices'!D51="",'04 Prices'!D52=""),"",LN('04 Prices'!D52/'04 Prices'!D51))</f>
        <v/>
      </c>
      <c r="E51" s="25">
        <f>IF(OR($A51="",'04 Prices'!E51="",'04 Prices'!E52=""),"",LN('04 Prices'!E52/'04 Prices'!E51))</f>
        <v/>
      </c>
      <c r="F51" s="25">
        <f>IF(OR($A51="",'04 Prices'!F51="",'04 Prices'!F52=""),"",LN('04 Prices'!F52/'04 Prices'!F51))</f>
        <v/>
      </c>
      <c r="G51" s="25">
        <f>IF(OR($A51="",'04 Prices'!G51="",'04 Prices'!G52=""),"",LN('04 Prices'!G52/'04 Prices'!G51))</f>
        <v/>
      </c>
      <c r="H51" s="25">
        <f>IF(OR($A51="",'04 Prices'!H51="",'04 Prices'!H52=""),"",LN('04 Prices'!H52/'04 Prices'!H51))</f>
        <v/>
      </c>
    </row>
    <row r="52">
      <c r="A52" s="23">
        <f>IF('04 Prices'!A53="","",'04 Prices'!A53)</f>
        <v/>
      </c>
      <c r="B52" s="25">
        <f>IF(OR($A52="",'04 Prices'!B52="",'04 Prices'!B53=""),"",LN('04 Prices'!B53/'04 Prices'!B52))</f>
        <v/>
      </c>
      <c r="C52" s="25">
        <f>IF(OR($A52="",'04 Prices'!C52="",'04 Prices'!C53=""),"",LN('04 Prices'!C53/'04 Prices'!C52))</f>
        <v/>
      </c>
      <c r="D52" s="25">
        <f>IF(OR($A52="",'04 Prices'!D52="",'04 Prices'!D53=""),"",LN('04 Prices'!D53/'04 Prices'!D52))</f>
        <v/>
      </c>
      <c r="E52" s="25">
        <f>IF(OR($A52="",'04 Prices'!E52="",'04 Prices'!E53=""),"",LN('04 Prices'!E53/'04 Prices'!E52))</f>
        <v/>
      </c>
      <c r="F52" s="25">
        <f>IF(OR($A52="",'04 Prices'!F52="",'04 Prices'!F53=""),"",LN('04 Prices'!F53/'04 Prices'!F52))</f>
        <v/>
      </c>
      <c r="G52" s="25">
        <f>IF(OR($A52="",'04 Prices'!G52="",'04 Prices'!G53=""),"",LN('04 Prices'!G53/'04 Prices'!G52))</f>
        <v/>
      </c>
      <c r="H52" s="25">
        <f>IF(OR($A52="",'04 Prices'!H52="",'04 Prices'!H53=""),"",LN('04 Prices'!H53/'04 Prices'!H52))</f>
        <v/>
      </c>
    </row>
    <row r="53">
      <c r="A53" s="23">
        <f>IF('04 Prices'!A54="","",'04 Prices'!A54)</f>
        <v/>
      </c>
      <c r="B53" s="25">
        <f>IF(OR($A53="",'04 Prices'!B53="",'04 Prices'!B54=""),"",LN('04 Prices'!B54/'04 Prices'!B53))</f>
        <v/>
      </c>
      <c r="C53" s="25">
        <f>IF(OR($A53="",'04 Prices'!C53="",'04 Prices'!C54=""),"",LN('04 Prices'!C54/'04 Prices'!C53))</f>
        <v/>
      </c>
      <c r="D53" s="25">
        <f>IF(OR($A53="",'04 Prices'!D53="",'04 Prices'!D54=""),"",LN('04 Prices'!D54/'04 Prices'!D53))</f>
        <v/>
      </c>
      <c r="E53" s="25">
        <f>IF(OR($A53="",'04 Prices'!E53="",'04 Prices'!E54=""),"",LN('04 Prices'!E54/'04 Prices'!E53))</f>
        <v/>
      </c>
      <c r="F53" s="25">
        <f>IF(OR($A53="",'04 Prices'!F53="",'04 Prices'!F54=""),"",LN('04 Prices'!F54/'04 Prices'!F53))</f>
        <v/>
      </c>
      <c r="G53" s="25">
        <f>IF(OR($A53="",'04 Prices'!G53="",'04 Prices'!G54=""),"",LN('04 Prices'!G54/'04 Prices'!G53))</f>
        <v/>
      </c>
      <c r="H53" s="25">
        <f>IF(OR($A53="",'04 Prices'!H53="",'04 Prices'!H54=""),"",LN('04 Prices'!H54/'04 Prices'!H53))</f>
        <v/>
      </c>
    </row>
    <row r="54">
      <c r="A54" s="23">
        <f>IF('04 Prices'!A55="","",'04 Prices'!A55)</f>
        <v/>
      </c>
      <c r="B54" s="25">
        <f>IF(OR($A54="",'04 Prices'!B54="",'04 Prices'!B55=""),"",LN('04 Prices'!B55/'04 Prices'!B54))</f>
        <v/>
      </c>
      <c r="C54" s="25">
        <f>IF(OR($A54="",'04 Prices'!C54="",'04 Prices'!C55=""),"",LN('04 Prices'!C55/'04 Prices'!C54))</f>
        <v/>
      </c>
      <c r="D54" s="25">
        <f>IF(OR($A54="",'04 Prices'!D54="",'04 Prices'!D55=""),"",LN('04 Prices'!D55/'04 Prices'!D54))</f>
        <v/>
      </c>
      <c r="E54" s="25">
        <f>IF(OR($A54="",'04 Prices'!E54="",'04 Prices'!E55=""),"",LN('04 Prices'!E55/'04 Prices'!E54))</f>
        <v/>
      </c>
      <c r="F54" s="25">
        <f>IF(OR($A54="",'04 Prices'!F54="",'04 Prices'!F55=""),"",LN('04 Prices'!F55/'04 Prices'!F54))</f>
        <v/>
      </c>
      <c r="G54" s="25">
        <f>IF(OR($A54="",'04 Prices'!G54="",'04 Prices'!G55=""),"",LN('04 Prices'!G55/'04 Prices'!G54))</f>
        <v/>
      </c>
      <c r="H54" s="25">
        <f>IF(OR($A54="",'04 Prices'!H54="",'04 Prices'!H55=""),"",LN('04 Prices'!H55/'04 Prices'!H54))</f>
        <v/>
      </c>
    </row>
    <row r="55">
      <c r="A55" s="23">
        <f>IF('04 Prices'!A56="","",'04 Prices'!A56)</f>
        <v/>
      </c>
      <c r="B55" s="25">
        <f>IF(OR($A55="",'04 Prices'!B55="",'04 Prices'!B56=""),"",LN('04 Prices'!B56/'04 Prices'!B55))</f>
        <v/>
      </c>
      <c r="C55" s="25">
        <f>IF(OR($A55="",'04 Prices'!C55="",'04 Prices'!C56=""),"",LN('04 Prices'!C56/'04 Prices'!C55))</f>
        <v/>
      </c>
      <c r="D55" s="25">
        <f>IF(OR($A55="",'04 Prices'!D55="",'04 Prices'!D56=""),"",LN('04 Prices'!D56/'04 Prices'!D55))</f>
        <v/>
      </c>
      <c r="E55" s="25">
        <f>IF(OR($A55="",'04 Prices'!E55="",'04 Prices'!E56=""),"",LN('04 Prices'!E56/'04 Prices'!E55))</f>
        <v/>
      </c>
      <c r="F55" s="25">
        <f>IF(OR($A55="",'04 Prices'!F55="",'04 Prices'!F56=""),"",LN('04 Prices'!F56/'04 Prices'!F55))</f>
        <v/>
      </c>
      <c r="G55" s="25">
        <f>IF(OR($A55="",'04 Prices'!G55="",'04 Prices'!G56=""),"",LN('04 Prices'!G56/'04 Prices'!G55))</f>
        <v/>
      </c>
      <c r="H55" s="25">
        <f>IF(OR($A55="",'04 Prices'!H55="",'04 Prices'!H56=""),"",LN('04 Prices'!H56/'04 Prices'!H55))</f>
        <v/>
      </c>
    </row>
    <row r="56">
      <c r="A56" s="23">
        <f>IF('04 Prices'!A57="","",'04 Prices'!A57)</f>
        <v/>
      </c>
      <c r="B56" s="25">
        <f>IF(OR($A56="",'04 Prices'!B56="",'04 Prices'!B57=""),"",LN('04 Prices'!B57/'04 Prices'!B56))</f>
        <v/>
      </c>
      <c r="C56" s="25">
        <f>IF(OR($A56="",'04 Prices'!C56="",'04 Prices'!C57=""),"",LN('04 Prices'!C57/'04 Prices'!C56))</f>
        <v/>
      </c>
      <c r="D56" s="25">
        <f>IF(OR($A56="",'04 Prices'!D56="",'04 Prices'!D57=""),"",LN('04 Prices'!D57/'04 Prices'!D56))</f>
        <v/>
      </c>
      <c r="E56" s="25">
        <f>IF(OR($A56="",'04 Prices'!E56="",'04 Prices'!E57=""),"",LN('04 Prices'!E57/'04 Prices'!E56))</f>
        <v/>
      </c>
      <c r="F56" s="25">
        <f>IF(OR($A56="",'04 Prices'!F56="",'04 Prices'!F57=""),"",LN('04 Prices'!F57/'04 Prices'!F56))</f>
        <v/>
      </c>
      <c r="G56" s="25">
        <f>IF(OR($A56="",'04 Prices'!G56="",'04 Prices'!G57=""),"",LN('04 Prices'!G57/'04 Prices'!G56))</f>
        <v/>
      </c>
      <c r="H56" s="25">
        <f>IF(OR($A56="",'04 Prices'!H56="",'04 Prices'!H57=""),"",LN('04 Prices'!H57/'04 Prices'!H56))</f>
        <v/>
      </c>
    </row>
    <row r="57">
      <c r="A57" s="23">
        <f>IF('04 Prices'!A58="","",'04 Prices'!A58)</f>
        <v/>
      </c>
      <c r="B57" s="25">
        <f>IF(OR($A57="",'04 Prices'!B57="",'04 Prices'!B58=""),"",LN('04 Prices'!B58/'04 Prices'!B57))</f>
        <v/>
      </c>
      <c r="C57" s="25">
        <f>IF(OR($A57="",'04 Prices'!C57="",'04 Prices'!C58=""),"",LN('04 Prices'!C58/'04 Prices'!C57))</f>
        <v/>
      </c>
      <c r="D57" s="25">
        <f>IF(OR($A57="",'04 Prices'!D57="",'04 Prices'!D58=""),"",LN('04 Prices'!D58/'04 Prices'!D57))</f>
        <v/>
      </c>
      <c r="E57" s="25">
        <f>IF(OR($A57="",'04 Prices'!E57="",'04 Prices'!E58=""),"",LN('04 Prices'!E58/'04 Prices'!E57))</f>
        <v/>
      </c>
      <c r="F57" s="25">
        <f>IF(OR($A57="",'04 Prices'!F57="",'04 Prices'!F58=""),"",LN('04 Prices'!F58/'04 Prices'!F57))</f>
        <v/>
      </c>
      <c r="G57" s="25">
        <f>IF(OR($A57="",'04 Prices'!G57="",'04 Prices'!G58=""),"",LN('04 Prices'!G58/'04 Prices'!G57))</f>
        <v/>
      </c>
      <c r="H57" s="25">
        <f>IF(OR($A57="",'04 Prices'!H57="",'04 Prices'!H58=""),"",LN('04 Prices'!H58/'04 Prices'!H57))</f>
        <v/>
      </c>
    </row>
    <row r="58">
      <c r="A58" s="23">
        <f>IF('04 Prices'!A59="","",'04 Prices'!A59)</f>
        <v/>
      </c>
      <c r="B58" s="25">
        <f>IF(OR($A58="",'04 Prices'!B58="",'04 Prices'!B59=""),"",LN('04 Prices'!B59/'04 Prices'!B58))</f>
        <v/>
      </c>
      <c r="C58" s="25">
        <f>IF(OR($A58="",'04 Prices'!C58="",'04 Prices'!C59=""),"",LN('04 Prices'!C59/'04 Prices'!C58))</f>
        <v/>
      </c>
      <c r="D58" s="25">
        <f>IF(OR($A58="",'04 Prices'!D58="",'04 Prices'!D59=""),"",LN('04 Prices'!D59/'04 Prices'!D58))</f>
        <v/>
      </c>
      <c r="E58" s="25">
        <f>IF(OR($A58="",'04 Prices'!E58="",'04 Prices'!E59=""),"",LN('04 Prices'!E59/'04 Prices'!E58))</f>
        <v/>
      </c>
      <c r="F58" s="25">
        <f>IF(OR($A58="",'04 Prices'!F58="",'04 Prices'!F59=""),"",LN('04 Prices'!F59/'04 Prices'!F58))</f>
        <v/>
      </c>
      <c r="G58" s="25">
        <f>IF(OR($A58="",'04 Prices'!G58="",'04 Prices'!G59=""),"",LN('04 Prices'!G59/'04 Prices'!G58))</f>
        <v/>
      </c>
      <c r="H58" s="25">
        <f>IF(OR($A58="",'04 Prices'!H58="",'04 Prices'!H59=""),"",LN('04 Prices'!H59/'04 Prices'!H58))</f>
        <v/>
      </c>
    </row>
    <row r="59">
      <c r="A59" s="23">
        <f>IF('04 Prices'!A60="","",'04 Prices'!A60)</f>
        <v/>
      </c>
      <c r="B59" s="25">
        <f>IF(OR($A59="",'04 Prices'!B59="",'04 Prices'!B60=""),"",LN('04 Prices'!B60/'04 Prices'!B59))</f>
        <v/>
      </c>
      <c r="C59" s="25">
        <f>IF(OR($A59="",'04 Prices'!C59="",'04 Prices'!C60=""),"",LN('04 Prices'!C60/'04 Prices'!C59))</f>
        <v/>
      </c>
      <c r="D59" s="25">
        <f>IF(OR($A59="",'04 Prices'!D59="",'04 Prices'!D60=""),"",LN('04 Prices'!D60/'04 Prices'!D59))</f>
        <v/>
      </c>
      <c r="E59" s="25">
        <f>IF(OR($A59="",'04 Prices'!E59="",'04 Prices'!E60=""),"",LN('04 Prices'!E60/'04 Prices'!E59))</f>
        <v/>
      </c>
      <c r="F59" s="25">
        <f>IF(OR($A59="",'04 Prices'!F59="",'04 Prices'!F60=""),"",LN('04 Prices'!F60/'04 Prices'!F59))</f>
        <v/>
      </c>
      <c r="G59" s="25">
        <f>IF(OR($A59="",'04 Prices'!G59="",'04 Prices'!G60=""),"",LN('04 Prices'!G60/'04 Prices'!G59))</f>
        <v/>
      </c>
      <c r="H59" s="25">
        <f>IF(OR($A59="",'04 Prices'!H59="",'04 Prices'!H60=""),"",LN('04 Prices'!H60/'04 Prices'!H59))</f>
        <v/>
      </c>
    </row>
    <row r="60">
      <c r="A60" s="23">
        <f>IF('04 Prices'!A61="","",'04 Prices'!A61)</f>
        <v/>
      </c>
      <c r="B60" s="25">
        <f>IF(OR($A60="",'04 Prices'!B60="",'04 Prices'!B61=""),"",LN('04 Prices'!B61/'04 Prices'!B60))</f>
        <v/>
      </c>
      <c r="C60" s="25">
        <f>IF(OR($A60="",'04 Prices'!C60="",'04 Prices'!C61=""),"",LN('04 Prices'!C61/'04 Prices'!C60))</f>
        <v/>
      </c>
      <c r="D60" s="25">
        <f>IF(OR($A60="",'04 Prices'!D60="",'04 Prices'!D61=""),"",LN('04 Prices'!D61/'04 Prices'!D60))</f>
        <v/>
      </c>
      <c r="E60" s="25">
        <f>IF(OR($A60="",'04 Prices'!E60="",'04 Prices'!E61=""),"",LN('04 Prices'!E61/'04 Prices'!E60))</f>
        <v/>
      </c>
      <c r="F60" s="25">
        <f>IF(OR($A60="",'04 Prices'!F60="",'04 Prices'!F61=""),"",LN('04 Prices'!F61/'04 Prices'!F60))</f>
        <v/>
      </c>
      <c r="G60" s="25">
        <f>IF(OR($A60="",'04 Prices'!G60="",'04 Prices'!G61=""),"",LN('04 Prices'!G61/'04 Prices'!G60))</f>
        <v/>
      </c>
      <c r="H60" s="25">
        <f>IF(OR($A60="",'04 Prices'!H60="",'04 Prices'!H61=""),"",LN('04 Prices'!H61/'04 Prices'!H60))</f>
        <v/>
      </c>
    </row>
    <row r="61">
      <c r="A61" s="23">
        <f>IF('04 Prices'!A62="","",'04 Prices'!A62)</f>
        <v/>
      </c>
      <c r="B61" s="25">
        <f>IF(OR($A61="",'04 Prices'!B61="",'04 Prices'!B62=""),"",LN('04 Prices'!B62/'04 Prices'!B61))</f>
        <v/>
      </c>
      <c r="C61" s="25">
        <f>IF(OR($A61="",'04 Prices'!C61="",'04 Prices'!C62=""),"",LN('04 Prices'!C62/'04 Prices'!C61))</f>
        <v/>
      </c>
      <c r="D61" s="25">
        <f>IF(OR($A61="",'04 Prices'!D61="",'04 Prices'!D62=""),"",LN('04 Prices'!D62/'04 Prices'!D61))</f>
        <v/>
      </c>
      <c r="E61" s="25">
        <f>IF(OR($A61="",'04 Prices'!E61="",'04 Prices'!E62=""),"",LN('04 Prices'!E62/'04 Prices'!E61))</f>
        <v/>
      </c>
      <c r="F61" s="25">
        <f>IF(OR($A61="",'04 Prices'!F61="",'04 Prices'!F62=""),"",LN('04 Prices'!F62/'04 Prices'!F61))</f>
        <v/>
      </c>
      <c r="G61" s="25">
        <f>IF(OR($A61="",'04 Prices'!G61="",'04 Prices'!G62=""),"",LN('04 Prices'!G62/'04 Prices'!G61))</f>
        <v/>
      </c>
      <c r="H61" s="25">
        <f>IF(OR($A61="",'04 Prices'!H61="",'04 Prices'!H62=""),"",LN('04 Prices'!H62/'04 Prices'!H61))</f>
        <v/>
      </c>
    </row>
    <row r="62">
      <c r="A62" s="23">
        <f>IF('04 Prices'!A63="","",'04 Prices'!A63)</f>
        <v/>
      </c>
      <c r="B62" s="25">
        <f>IF(OR($A62="",'04 Prices'!B62="",'04 Prices'!B63=""),"",LN('04 Prices'!B63/'04 Prices'!B62))</f>
        <v/>
      </c>
      <c r="C62" s="25">
        <f>IF(OR($A62="",'04 Prices'!C62="",'04 Prices'!C63=""),"",LN('04 Prices'!C63/'04 Prices'!C62))</f>
        <v/>
      </c>
      <c r="D62" s="25">
        <f>IF(OR($A62="",'04 Prices'!D62="",'04 Prices'!D63=""),"",LN('04 Prices'!D63/'04 Prices'!D62))</f>
        <v/>
      </c>
      <c r="E62" s="25">
        <f>IF(OR($A62="",'04 Prices'!E62="",'04 Prices'!E63=""),"",LN('04 Prices'!E63/'04 Prices'!E62))</f>
        <v/>
      </c>
      <c r="F62" s="25">
        <f>IF(OR($A62="",'04 Prices'!F62="",'04 Prices'!F63=""),"",LN('04 Prices'!F63/'04 Prices'!F62))</f>
        <v/>
      </c>
      <c r="G62" s="25">
        <f>IF(OR($A62="",'04 Prices'!G62="",'04 Prices'!G63=""),"",LN('04 Prices'!G63/'04 Prices'!G62))</f>
        <v/>
      </c>
      <c r="H62" s="25">
        <f>IF(OR($A62="",'04 Prices'!H62="",'04 Prices'!H63=""),"",LN('04 Prices'!H63/'04 Prices'!H62))</f>
        <v/>
      </c>
    </row>
    <row r="63">
      <c r="A63" s="23">
        <f>IF('04 Prices'!A64="","",'04 Prices'!A64)</f>
        <v/>
      </c>
      <c r="B63" s="25">
        <f>IF(OR($A63="",'04 Prices'!B63="",'04 Prices'!B64=""),"",LN('04 Prices'!B64/'04 Prices'!B63))</f>
        <v/>
      </c>
      <c r="C63" s="25">
        <f>IF(OR($A63="",'04 Prices'!C63="",'04 Prices'!C64=""),"",LN('04 Prices'!C64/'04 Prices'!C63))</f>
        <v/>
      </c>
      <c r="D63" s="25">
        <f>IF(OR($A63="",'04 Prices'!D63="",'04 Prices'!D64=""),"",LN('04 Prices'!D64/'04 Prices'!D63))</f>
        <v/>
      </c>
      <c r="E63" s="25">
        <f>IF(OR($A63="",'04 Prices'!E63="",'04 Prices'!E64=""),"",LN('04 Prices'!E64/'04 Prices'!E63))</f>
        <v/>
      </c>
      <c r="F63" s="25">
        <f>IF(OR($A63="",'04 Prices'!F63="",'04 Prices'!F64=""),"",LN('04 Prices'!F64/'04 Prices'!F63))</f>
        <v/>
      </c>
      <c r="G63" s="25">
        <f>IF(OR($A63="",'04 Prices'!G63="",'04 Prices'!G64=""),"",LN('04 Prices'!G64/'04 Prices'!G63))</f>
        <v/>
      </c>
      <c r="H63" s="25">
        <f>IF(OR($A63="",'04 Prices'!H63="",'04 Prices'!H64=""),"",LN('04 Prices'!H64/'04 Prices'!H63))</f>
        <v/>
      </c>
    </row>
    <row r="64">
      <c r="A64" s="23">
        <f>IF('04 Prices'!A65="","",'04 Prices'!A65)</f>
        <v/>
      </c>
      <c r="B64" s="25">
        <f>IF(OR($A64="",'04 Prices'!B64="",'04 Prices'!B65=""),"",LN('04 Prices'!B65/'04 Prices'!B64))</f>
        <v/>
      </c>
      <c r="C64" s="25">
        <f>IF(OR($A64="",'04 Prices'!C64="",'04 Prices'!C65=""),"",LN('04 Prices'!C65/'04 Prices'!C64))</f>
        <v/>
      </c>
      <c r="D64" s="25">
        <f>IF(OR($A64="",'04 Prices'!D64="",'04 Prices'!D65=""),"",LN('04 Prices'!D65/'04 Prices'!D64))</f>
        <v/>
      </c>
      <c r="E64" s="25">
        <f>IF(OR($A64="",'04 Prices'!E64="",'04 Prices'!E65=""),"",LN('04 Prices'!E65/'04 Prices'!E64))</f>
        <v/>
      </c>
      <c r="F64" s="25">
        <f>IF(OR($A64="",'04 Prices'!F64="",'04 Prices'!F65=""),"",LN('04 Prices'!F65/'04 Prices'!F64))</f>
        <v/>
      </c>
      <c r="G64" s="25">
        <f>IF(OR($A64="",'04 Prices'!G64="",'04 Prices'!G65=""),"",LN('04 Prices'!G65/'04 Prices'!G64))</f>
        <v/>
      </c>
      <c r="H64" s="25">
        <f>IF(OR($A64="",'04 Prices'!H64="",'04 Prices'!H65=""),"",LN('04 Prices'!H65/'04 Prices'!H64))</f>
        <v/>
      </c>
    </row>
    <row r="65">
      <c r="A65" s="23">
        <f>IF('04 Prices'!A66="","",'04 Prices'!A66)</f>
        <v/>
      </c>
      <c r="B65" s="25">
        <f>IF(OR($A65="",'04 Prices'!B65="",'04 Prices'!B66=""),"",LN('04 Prices'!B66/'04 Prices'!B65))</f>
        <v/>
      </c>
      <c r="C65" s="25">
        <f>IF(OR($A65="",'04 Prices'!C65="",'04 Prices'!C66=""),"",LN('04 Prices'!C66/'04 Prices'!C65))</f>
        <v/>
      </c>
      <c r="D65" s="25">
        <f>IF(OR($A65="",'04 Prices'!D65="",'04 Prices'!D66=""),"",LN('04 Prices'!D66/'04 Prices'!D65))</f>
        <v/>
      </c>
      <c r="E65" s="25">
        <f>IF(OR($A65="",'04 Prices'!E65="",'04 Prices'!E66=""),"",LN('04 Prices'!E66/'04 Prices'!E65))</f>
        <v/>
      </c>
      <c r="F65" s="25">
        <f>IF(OR($A65="",'04 Prices'!F65="",'04 Prices'!F66=""),"",LN('04 Prices'!F66/'04 Prices'!F65))</f>
        <v/>
      </c>
      <c r="G65" s="25">
        <f>IF(OR($A65="",'04 Prices'!G65="",'04 Prices'!G66=""),"",LN('04 Prices'!G66/'04 Prices'!G65))</f>
        <v/>
      </c>
      <c r="H65" s="25">
        <f>IF(OR($A65="",'04 Prices'!H65="",'04 Prices'!H66=""),"",LN('04 Prices'!H66/'04 Prices'!H65))</f>
        <v/>
      </c>
    </row>
    <row r="66">
      <c r="A66" s="23">
        <f>IF('04 Prices'!A67="","",'04 Prices'!A67)</f>
        <v/>
      </c>
      <c r="B66" s="25">
        <f>IF(OR($A66="",'04 Prices'!B66="",'04 Prices'!B67=""),"",LN('04 Prices'!B67/'04 Prices'!B66))</f>
        <v/>
      </c>
      <c r="C66" s="25">
        <f>IF(OR($A66="",'04 Prices'!C66="",'04 Prices'!C67=""),"",LN('04 Prices'!C67/'04 Prices'!C66))</f>
        <v/>
      </c>
      <c r="D66" s="25">
        <f>IF(OR($A66="",'04 Prices'!D66="",'04 Prices'!D67=""),"",LN('04 Prices'!D67/'04 Prices'!D66))</f>
        <v/>
      </c>
      <c r="E66" s="25">
        <f>IF(OR($A66="",'04 Prices'!E66="",'04 Prices'!E67=""),"",LN('04 Prices'!E67/'04 Prices'!E66))</f>
        <v/>
      </c>
      <c r="F66" s="25">
        <f>IF(OR($A66="",'04 Prices'!F66="",'04 Prices'!F67=""),"",LN('04 Prices'!F67/'04 Prices'!F66))</f>
        <v/>
      </c>
      <c r="G66" s="25">
        <f>IF(OR($A66="",'04 Prices'!G66="",'04 Prices'!G67=""),"",LN('04 Prices'!G67/'04 Prices'!G66))</f>
        <v/>
      </c>
      <c r="H66" s="25">
        <f>IF(OR($A66="",'04 Prices'!H66="",'04 Prices'!H67=""),"",LN('04 Prices'!H67/'04 Prices'!H66))</f>
        <v/>
      </c>
    </row>
    <row r="67">
      <c r="A67" s="23">
        <f>IF('04 Prices'!A68="","",'04 Prices'!A68)</f>
        <v/>
      </c>
      <c r="B67" s="25">
        <f>IF(OR($A67="",'04 Prices'!B67="",'04 Prices'!B68=""),"",LN('04 Prices'!B68/'04 Prices'!B67))</f>
        <v/>
      </c>
      <c r="C67" s="25">
        <f>IF(OR($A67="",'04 Prices'!C67="",'04 Prices'!C68=""),"",LN('04 Prices'!C68/'04 Prices'!C67))</f>
        <v/>
      </c>
      <c r="D67" s="25">
        <f>IF(OR($A67="",'04 Prices'!D67="",'04 Prices'!D68=""),"",LN('04 Prices'!D68/'04 Prices'!D67))</f>
        <v/>
      </c>
      <c r="E67" s="25">
        <f>IF(OR($A67="",'04 Prices'!E67="",'04 Prices'!E68=""),"",LN('04 Prices'!E68/'04 Prices'!E67))</f>
        <v/>
      </c>
      <c r="F67" s="25">
        <f>IF(OR($A67="",'04 Prices'!F67="",'04 Prices'!F68=""),"",LN('04 Prices'!F68/'04 Prices'!F67))</f>
        <v/>
      </c>
      <c r="G67" s="25">
        <f>IF(OR($A67="",'04 Prices'!G67="",'04 Prices'!G68=""),"",LN('04 Prices'!G68/'04 Prices'!G67))</f>
        <v/>
      </c>
      <c r="H67" s="25">
        <f>IF(OR($A67="",'04 Prices'!H67="",'04 Prices'!H68=""),"",LN('04 Prices'!H68/'04 Prices'!H67))</f>
        <v/>
      </c>
    </row>
    <row r="68">
      <c r="A68" s="23">
        <f>IF('04 Prices'!A69="","",'04 Prices'!A69)</f>
        <v/>
      </c>
      <c r="B68" s="25">
        <f>IF(OR($A68="",'04 Prices'!B68="",'04 Prices'!B69=""),"",LN('04 Prices'!B69/'04 Prices'!B68))</f>
        <v/>
      </c>
      <c r="C68" s="25">
        <f>IF(OR($A68="",'04 Prices'!C68="",'04 Prices'!C69=""),"",LN('04 Prices'!C69/'04 Prices'!C68))</f>
        <v/>
      </c>
      <c r="D68" s="25">
        <f>IF(OR($A68="",'04 Prices'!D68="",'04 Prices'!D69=""),"",LN('04 Prices'!D69/'04 Prices'!D68))</f>
        <v/>
      </c>
      <c r="E68" s="25">
        <f>IF(OR($A68="",'04 Prices'!E68="",'04 Prices'!E69=""),"",LN('04 Prices'!E69/'04 Prices'!E68))</f>
        <v/>
      </c>
      <c r="F68" s="25">
        <f>IF(OR($A68="",'04 Prices'!F68="",'04 Prices'!F69=""),"",LN('04 Prices'!F69/'04 Prices'!F68))</f>
        <v/>
      </c>
      <c r="G68" s="25">
        <f>IF(OR($A68="",'04 Prices'!G68="",'04 Prices'!G69=""),"",LN('04 Prices'!G69/'04 Prices'!G68))</f>
        <v/>
      </c>
      <c r="H68" s="25">
        <f>IF(OR($A68="",'04 Prices'!H68="",'04 Prices'!H69=""),"",LN('04 Prices'!H69/'04 Prices'!H68))</f>
        <v/>
      </c>
    </row>
    <row r="69">
      <c r="A69" s="23">
        <f>IF('04 Prices'!A70="","",'04 Prices'!A70)</f>
        <v/>
      </c>
      <c r="B69" s="25">
        <f>IF(OR($A69="",'04 Prices'!B69="",'04 Prices'!B70=""),"",LN('04 Prices'!B70/'04 Prices'!B69))</f>
        <v/>
      </c>
      <c r="C69" s="25">
        <f>IF(OR($A69="",'04 Prices'!C69="",'04 Prices'!C70=""),"",LN('04 Prices'!C70/'04 Prices'!C69))</f>
        <v/>
      </c>
      <c r="D69" s="25">
        <f>IF(OR($A69="",'04 Prices'!D69="",'04 Prices'!D70=""),"",LN('04 Prices'!D70/'04 Prices'!D69))</f>
        <v/>
      </c>
      <c r="E69" s="25">
        <f>IF(OR($A69="",'04 Prices'!E69="",'04 Prices'!E70=""),"",LN('04 Prices'!E70/'04 Prices'!E69))</f>
        <v/>
      </c>
      <c r="F69" s="25">
        <f>IF(OR($A69="",'04 Prices'!F69="",'04 Prices'!F70=""),"",LN('04 Prices'!F70/'04 Prices'!F69))</f>
        <v/>
      </c>
      <c r="G69" s="25">
        <f>IF(OR($A69="",'04 Prices'!G69="",'04 Prices'!G70=""),"",LN('04 Prices'!G70/'04 Prices'!G69))</f>
        <v/>
      </c>
      <c r="H69" s="25">
        <f>IF(OR($A69="",'04 Prices'!H69="",'04 Prices'!H70=""),"",LN('04 Prices'!H70/'04 Prices'!H69))</f>
        <v/>
      </c>
    </row>
    <row r="70">
      <c r="A70" s="23">
        <f>IF('04 Prices'!A71="","",'04 Prices'!A71)</f>
        <v/>
      </c>
      <c r="B70" s="25">
        <f>IF(OR($A70="",'04 Prices'!B70="",'04 Prices'!B71=""),"",LN('04 Prices'!B71/'04 Prices'!B70))</f>
        <v/>
      </c>
      <c r="C70" s="25">
        <f>IF(OR($A70="",'04 Prices'!C70="",'04 Prices'!C71=""),"",LN('04 Prices'!C71/'04 Prices'!C70))</f>
        <v/>
      </c>
      <c r="D70" s="25">
        <f>IF(OR($A70="",'04 Prices'!D70="",'04 Prices'!D71=""),"",LN('04 Prices'!D71/'04 Prices'!D70))</f>
        <v/>
      </c>
      <c r="E70" s="25">
        <f>IF(OR($A70="",'04 Prices'!E70="",'04 Prices'!E71=""),"",LN('04 Prices'!E71/'04 Prices'!E70))</f>
        <v/>
      </c>
      <c r="F70" s="25">
        <f>IF(OR($A70="",'04 Prices'!F70="",'04 Prices'!F71=""),"",LN('04 Prices'!F71/'04 Prices'!F70))</f>
        <v/>
      </c>
      <c r="G70" s="25">
        <f>IF(OR($A70="",'04 Prices'!G70="",'04 Prices'!G71=""),"",LN('04 Prices'!G71/'04 Prices'!G70))</f>
        <v/>
      </c>
      <c r="H70" s="25">
        <f>IF(OR($A70="",'04 Prices'!H70="",'04 Prices'!H71=""),"",LN('04 Prices'!H71/'04 Prices'!H70))</f>
        <v/>
      </c>
    </row>
    <row r="71">
      <c r="A71" s="23">
        <f>IF('04 Prices'!A72="","",'04 Prices'!A72)</f>
        <v/>
      </c>
      <c r="B71" s="25">
        <f>IF(OR($A71="",'04 Prices'!B71="",'04 Prices'!B72=""),"",LN('04 Prices'!B72/'04 Prices'!B71))</f>
        <v/>
      </c>
      <c r="C71" s="25">
        <f>IF(OR($A71="",'04 Prices'!C71="",'04 Prices'!C72=""),"",LN('04 Prices'!C72/'04 Prices'!C71))</f>
        <v/>
      </c>
      <c r="D71" s="25">
        <f>IF(OR($A71="",'04 Prices'!D71="",'04 Prices'!D72=""),"",LN('04 Prices'!D72/'04 Prices'!D71))</f>
        <v/>
      </c>
      <c r="E71" s="25">
        <f>IF(OR($A71="",'04 Prices'!E71="",'04 Prices'!E72=""),"",LN('04 Prices'!E72/'04 Prices'!E71))</f>
        <v/>
      </c>
      <c r="F71" s="25">
        <f>IF(OR($A71="",'04 Prices'!F71="",'04 Prices'!F72=""),"",LN('04 Prices'!F72/'04 Prices'!F71))</f>
        <v/>
      </c>
      <c r="G71" s="25">
        <f>IF(OR($A71="",'04 Prices'!G71="",'04 Prices'!G72=""),"",LN('04 Prices'!G72/'04 Prices'!G71))</f>
        <v/>
      </c>
      <c r="H71" s="25">
        <f>IF(OR($A71="",'04 Prices'!H71="",'04 Prices'!H72=""),"",LN('04 Prices'!H72/'04 Prices'!H71))</f>
        <v/>
      </c>
    </row>
    <row r="72">
      <c r="A72" s="23">
        <f>IF('04 Prices'!A73="","",'04 Prices'!A73)</f>
        <v/>
      </c>
      <c r="B72" s="25">
        <f>IF(OR($A72="",'04 Prices'!B72="",'04 Prices'!B73=""),"",LN('04 Prices'!B73/'04 Prices'!B72))</f>
        <v/>
      </c>
      <c r="C72" s="25">
        <f>IF(OR($A72="",'04 Prices'!C72="",'04 Prices'!C73=""),"",LN('04 Prices'!C73/'04 Prices'!C72))</f>
        <v/>
      </c>
      <c r="D72" s="25">
        <f>IF(OR($A72="",'04 Prices'!D72="",'04 Prices'!D73=""),"",LN('04 Prices'!D73/'04 Prices'!D72))</f>
        <v/>
      </c>
      <c r="E72" s="25">
        <f>IF(OR($A72="",'04 Prices'!E72="",'04 Prices'!E73=""),"",LN('04 Prices'!E73/'04 Prices'!E72))</f>
        <v/>
      </c>
      <c r="F72" s="25">
        <f>IF(OR($A72="",'04 Prices'!F72="",'04 Prices'!F73=""),"",LN('04 Prices'!F73/'04 Prices'!F72))</f>
        <v/>
      </c>
      <c r="G72" s="25">
        <f>IF(OR($A72="",'04 Prices'!G72="",'04 Prices'!G73=""),"",LN('04 Prices'!G73/'04 Prices'!G72))</f>
        <v/>
      </c>
      <c r="H72" s="25">
        <f>IF(OR($A72="",'04 Prices'!H72="",'04 Prices'!H73=""),"",LN('04 Prices'!H73/'04 Prices'!H72))</f>
        <v/>
      </c>
    </row>
    <row r="73">
      <c r="A73" s="23">
        <f>IF('04 Prices'!A74="","",'04 Prices'!A74)</f>
        <v/>
      </c>
      <c r="B73" s="25">
        <f>IF(OR($A73="",'04 Prices'!B73="",'04 Prices'!B74=""),"",LN('04 Prices'!B74/'04 Prices'!B73))</f>
        <v/>
      </c>
      <c r="C73" s="25">
        <f>IF(OR($A73="",'04 Prices'!C73="",'04 Prices'!C74=""),"",LN('04 Prices'!C74/'04 Prices'!C73))</f>
        <v/>
      </c>
      <c r="D73" s="25">
        <f>IF(OR($A73="",'04 Prices'!D73="",'04 Prices'!D74=""),"",LN('04 Prices'!D74/'04 Prices'!D73))</f>
        <v/>
      </c>
      <c r="E73" s="25">
        <f>IF(OR($A73="",'04 Prices'!E73="",'04 Prices'!E74=""),"",LN('04 Prices'!E74/'04 Prices'!E73))</f>
        <v/>
      </c>
      <c r="F73" s="25">
        <f>IF(OR($A73="",'04 Prices'!F73="",'04 Prices'!F74=""),"",LN('04 Prices'!F74/'04 Prices'!F73))</f>
        <v/>
      </c>
      <c r="G73" s="25">
        <f>IF(OR($A73="",'04 Prices'!G73="",'04 Prices'!G74=""),"",LN('04 Prices'!G74/'04 Prices'!G73))</f>
        <v/>
      </c>
      <c r="H73" s="25">
        <f>IF(OR($A73="",'04 Prices'!H73="",'04 Prices'!H74=""),"",LN('04 Prices'!H74/'04 Prices'!H73))</f>
        <v/>
      </c>
    </row>
    <row r="74">
      <c r="A74" s="23">
        <f>IF('04 Prices'!A75="","",'04 Prices'!A75)</f>
        <v/>
      </c>
      <c r="B74" s="25">
        <f>IF(OR($A74="",'04 Prices'!B74="",'04 Prices'!B75=""),"",LN('04 Prices'!B75/'04 Prices'!B74))</f>
        <v/>
      </c>
      <c r="C74" s="25">
        <f>IF(OR($A74="",'04 Prices'!C74="",'04 Prices'!C75=""),"",LN('04 Prices'!C75/'04 Prices'!C74))</f>
        <v/>
      </c>
      <c r="D74" s="25">
        <f>IF(OR($A74="",'04 Prices'!D74="",'04 Prices'!D75=""),"",LN('04 Prices'!D75/'04 Prices'!D74))</f>
        <v/>
      </c>
      <c r="E74" s="25">
        <f>IF(OR($A74="",'04 Prices'!E74="",'04 Prices'!E75=""),"",LN('04 Prices'!E75/'04 Prices'!E74))</f>
        <v/>
      </c>
      <c r="F74" s="25">
        <f>IF(OR($A74="",'04 Prices'!F74="",'04 Prices'!F75=""),"",LN('04 Prices'!F75/'04 Prices'!F74))</f>
        <v/>
      </c>
      <c r="G74" s="25">
        <f>IF(OR($A74="",'04 Prices'!G74="",'04 Prices'!G75=""),"",LN('04 Prices'!G75/'04 Prices'!G74))</f>
        <v/>
      </c>
      <c r="H74" s="25">
        <f>IF(OR($A74="",'04 Prices'!H74="",'04 Prices'!H75=""),"",LN('04 Prices'!H75/'04 Prices'!H74))</f>
        <v/>
      </c>
    </row>
    <row r="75">
      <c r="A75" s="23">
        <f>IF('04 Prices'!A76="","",'04 Prices'!A76)</f>
        <v/>
      </c>
      <c r="B75" s="25">
        <f>IF(OR($A75="",'04 Prices'!B75="",'04 Prices'!B76=""),"",LN('04 Prices'!B76/'04 Prices'!B75))</f>
        <v/>
      </c>
      <c r="C75" s="25">
        <f>IF(OR($A75="",'04 Prices'!C75="",'04 Prices'!C76=""),"",LN('04 Prices'!C76/'04 Prices'!C75))</f>
        <v/>
      </c>
      <c r="D75" s="25">
        <f>IF(OR($A75="",'04 Prices'!D75="",'04 Prices'!D76=""),"",LN('04 Prices'!D76/'04 Prices'!D75))</f>
        <v/>
      </c>
      <c r="E75" s="25">
        <f>IF(OR($A75="",'04 Prices'!E75="",'04 Prices'!E76=""),"",LN('04 Prices'!E76/'04 Prices'!E75))</f>
        <v/>
      </c>
      <c r="F75" s="25">
        <f>IF(OR($A75="",'04 Prices'!F75="",'04 Prices'!F76=""),"",LN('04 Prices'!F76/'04 Prices'!F75))</f>
        <v/>
      </c>
      <c r="G75" s="25">
        <f>IF(OR($A75="",'04 Prices'!G75="",'04 Prices'!G76=""),"",LN('04 Prices'!G76/'04 Prices'!G75))</f>
        <v/>
      </c>
      <c r="H75" s="25">
        <f>IF(OR($A75="",'04 Prices'!H75="",'04 Prices'!H76=""),"",LN('04 Prices'!H76/'04 Prices'!H75))</f>
        <v/>
      </c>
    </row>
    <row r="76">
      <c r="A76" s="23">
        <f>IF('04 Prices'!A77="","",'04 Prices'!A77)</f>
        <v/>
      </c>
      <c r="B76" s="25">
        <f>IF(OR($A76="",'04 Prices'!B76="",'04 Prices'!B77=""),"",LN('04 Prices'!B77/'04 Prices'!B76))</f>
        <v/>
      </c>
      <c r="C76" s="25">
        <f>IF(OR($A76="",'04 Prices'!C76="",'04 Prices'!C77=""),"",LN('04 Prices'!C77/'04 Prices'!C76))</f>
        <v/>
      </c>
      <c r="D76" s="25">
        <f>IF(OR($A76="",'04 Prices'!D76="",'04 Prices'!D77=""),"",LN('04 Prices'!D77/'04 Prices'!D76))</f>
        <v/>
      </c>
      <c r="E76" s="25">
        <f>IF(OR($A76="",'04 Prices'!E76="",'04 Prices'!E77=""),"",LN('04 Prices'!E77/'04 Prices'!E76))</f>
        <v/>
      </c>
      <c r="F76" s="25">
        <f>IF(OR($A76="",'04 Prices'!F76="",'04 Prices'!F77=""),"",LN('04 Prices'!F77/'04 Prices'!F76))</f>
        <v/>
      </c>
      <c r="G76" s="25">
        <f>IF(OR($A76="",'04 Prices'!G76="",'04 Prices'!G77=""),"",LN('04 Prices'!G77/'04 Prices'!G76))</f>
        <v/>
      </c>
      <c r="H76" s="25">
        <f>IF(OR($A76="",'04 Prices'!H76="",'04 Prices'!H77=""),"",LN('04 Prices'!H77/'04 Prices'!H76))</f>
        <v/>
      </c>
    </row>
    <row r="77">
      <c r="A77" s="23">
        <f>IF('04 Prices'!A78="","",'04 Prices'!A78)</f>
        <v/>
      </c>
      <c r="B77" s="25">
        <f>IF(OR($A77="",'04 Prices'!B77="",'04 Prices'!B78=""),"",LN('04 Prices'!B78/'04 Prices'!B77))</f>
        <v/>
      </c>
      <c r="C77" s="25">
        <f>IF(OR($A77="",'04 Prices'!C77="",'04 Prices'!C78=""),"",LN('04 Prices'!C78/'04 Prices'!C77))</f>
        <v/>
      </c>
      <c r="D77" s="25">
        <f>IF(OR($A77="",'04 Prices'!D77="",'04 Prices'!D78=""),"",LN('04 Prices'!D78/'04 Prices'!D77))</f>
        <v/>
      </c>
      <c r="E77" s="25">
        <f>IF(OR($A77="",'04 Prices'!E77="",'04 Prices'!E78=""),"",LN('04 Prices'!E78/'04 Prices'!E77))</f>
        <v/>
      </c>
      <c r="F77" s="25">
        <f>IF(OR($A77="",'04 Prices'!F77="",'04 Prices'!F78=""),"",LN('04 Prices'!F78/'04 Prices'!F77))</f>
        <v/>
      </c>
      <c r="G77" s="25">
        <f>IF(OR($A77="",'04 Prices'!G77="",'04 Prices'!G78=""),"",LN('04 Prices'!G78/'04 Prices'!G77))</f>
        <v/>
      </c>
      <c r="H77" s="25">
        <f>IF(OR($A77="",'04 Prices'!H77="",'04 Prices'!H78=""),"",LN('04 Prices'!H78/'04 Prices'!H77))</f>
        <v/>
      </c>
    </row>
    <row r="78">
      <c r="A78" s="23">
        <f>IF('04 Prices'!A79="","",'04 Prices'!A79)</f>
        <v/>
      </c>
      <c r="B78" s="25">
        <f>IF(OR($A78="",'04 Prices'!B78="",'04 Prices'!B79=""),"",LN('04 Prices'!B79/'04 Prices'!B78))</f>
        <v/>
      </c>
      <c r="C78" s="25">
        <f>IF(OR($A78="",'04 Prices'!C78="",'04 Prices'!C79=""),"",LN('04 Prices'!C79/'04 Prices'!C78))</f>
        <v/>
      </c>
      <c r="D78" s="25">
        <f>IF(OR($A78="",'04 Prices'!D78="",'04 Prices'!D79=""),"",LN('04 Prices'!D79/'04 Prices'!D78))</f>
        <v/>
      </c>
      <c r="E78" s="25">
        <f>IF(OR($A78="",'04 Prices'!E78="",'04 Prices'!E79=""),"",LN('04 Prices'!E79/'04 Prices'!E78))</f>
        <v/>
      </c>
      <c r="F78" s="25">
        <f>IF(OR($A78="",'04 Prices'!F78="",'04 Prices'!F79=""),"",LN('04 Prices'!F79/'04 Prices'!F78))</f>
        <v/>
      </c>
      <c r="G78" s="25">
        <f>IF(OR($A78="",'04 Prices'!G78="",'04 Prices'!G79=""),"",LN('04 Prices'!G79/'04 Prices'!G78))</f>
        <v/>
      </c>
      <c r="H78" s="25">
        <f>IF(OR($A78="",'04 Prices'!H78="",'04 Prices'!H79=""),"",LN('04 Prices'!H79/'04 Prices'!H78))</f>
        <v/>
      </c>
    </row>
    <row r="79">
      <c r="A79" s="23">
        <f>IF('04 Prices'!A80="","",'04 Prices'!A80)</f>
        <v/>
      </c>
      <c r="B79" s="25">
        <f>IF(OR($A79="",'04 Prices'!B79="",'04 Prices'!B80=""),"",LN('04 Prices'!B80/'04 Prices'!B79))</f>
        <v/>
      </c>
      <c r="C79" s="25">
        <f>IF(OR($A79="",'04 Prices'!C79="",'04 Prices'!C80=""),"",LN('04 Prices'!C80/'04 Prices'!C79))</f>
        <v/>
      </c>
      <c r="D79" s="25">
        <f>IF(OR($A79="",'04 Prices'!D79="",'04 Prices'!D80=""),"",LN('04 Prices'!D80/'04 Prices'!D79))</f>
        <v/>
      </c>
      <c r="E79" s="25">
        <f>IF(OR($A79="",'04 Prices'!E79="",'04 Prices'!E80=""),"",LN('04 Prices'!E80/'04 Prices'!E79))</f>
        <v/>
      </c>
      <c r="F79" s="25">
        <f>IF(OR($A79="",'04 Prices'!F79="",'04 Prices'!F80=""),"",LN('04 Prices'!F80/'04 Prices'!F79))</f>
        <v/>
      </c>
      <c r="G79" s="25">
        <f>IF(OR($A79="",'04 Prices'!G79="",'04 Prices'!G80=""),"",LN('04 Prices'!G80/'04 Prices'!G79))</f>
        <v/>
      </c>
      <c r="H79" s="25">
        <f>IF(OR($A79="",'04 Prices'!H79="",'04 Prices'!H80=""),"",LN('04 Prices'!H80/'04 Prices'!H79))</f>
        <v/>
      </c>
    </row>
    <row r="80">
      <c r="A80" s="23">
        <f>IF('04 Prices'!A81="","",'04 Prices'!A81)</f>
        <v/>
      </c>
      <c r="B80" s="25">
        <f>IF(OR($A80="",'04 Prices'!B80="",'04 Prices'!B81=""),"",LN('04 Prices'!B81/'04 Prices'!B80))</f>
        <v/>
      </c>
      <c r="C80" s="25">
        <f>IF(OR($A80="",'04 Prices'!C80="",'04 Prices'!C81=""),"",LN('04 Prices'!C81/'04 Prices'!C80))</f>
        <v/>
      </c>
      <c r="D80" s="25">
        <f>IF(OR($A80="",'04 Prices'!D80="",'04 Prices'!D81=""),"",LN('04 Prices'!D81/'04 Prices'!D80))</f>
        <v/>
      </c>
      <c r="E80" s="25">
        <f>IF(OR($A80="",'04 Prices'!E80="",'04 Prices'!E81=""),"",LN('04 Prices'!E81/'04 Prices'!E80))</f>
        <v/>
      </c>
      <c r="F80" s="25">
        <f>IF(OR($A80="",'04 Prices'!F80="",'04 Prices'!F81=""),"",LN('04 Prices'!F81/'04 Prices'!F80))</f>
        <v/>
      </c>
      <c r="G80" s="25">
        <f>IF(OR($A80="",'04 Prices'!G80="",'04 Prices'!G81=""),"",LN('04 Prices'!G81/'04 Prices'!G80))</f>
        <v/>
      </c>
      <c r="H80" s="25">
        <f>IF(OR($A80="",'04 Prices'!H80="",'04 Prices'!H81=""),"",LN('04 Prices'!H81/'04 Prices'!H80))</f>
        <v/>
      </c>
    </row>
    <row r="81">
      <c r="A81" s="23">
        <f>IF('04 Prices'!A82="","",'04 Prices'!A82)</f>
        <v/>
      </c>
      <c r="B81" s="25">
        <f>IF(OR($A81="",'04 Prices'!B81="",'04 Prices'!B82=""),"",LN('04 Prices'!B82/'04 Prices'!B81))</f>
        <v/>
      </c>
      <c r="C81" s="25">
        <f>IF(OR($A81="",'04 Prices'!C81="",'04 Prices'!C82=""),"",LN('04 Prices'!C82/'04 Prices'!C81))</f>
        <v/>
      </c>
      <c r="D81" s="25">
        <f>IF(OR($A81="",'04 Prices'!D81="",'04 Prices'!D82=""),"",LN('04 Prices'!D82/'04 Prices'!D81))</f>
        <v/>
      </c>
      <c r="E81" s="25">
        <f>IF(OR($A81="",'04 Prices'!E81="",'04 Prices'!E82=""),"",LN('04 Prices'!E82/'04 Prices'!E81))</f>
        <v/>
      </c>
      <c r="F81" s="25">
        <f>IF(OR($A81="",'04 Prices'!F81="",'04 Prices'!F82=""),"",LN('04 Prices'!F82/'04 Prices'!F81))</f>
        <v/>
      </c>
      <c r="G81" s="25">
        <f>IF(OR($A81="",'04 Prices'!G81="",'04 Prices'!G82=""),"",LN('04 Prices'!G82/'04 Prices'!G81))</f>
        <v/>
      </c>
      <c r="H81" s="25">
        <f>IF(OR($A81="",'04 Prices'!H81="",'04 Prices'!H82=""),"",LN('04 Prices'!H82/'04 Prices'!H81))</f>
        <v/>
      </c>
    </row>
    <row r="82">
      <c r="A82" s="23">
        <f>IF('04 Prices'!A83="","",'04 Prices'!A83)</f>
        <v/>
      </c>
      <c r="B82" s="25">
        <f>IF(OR($A82="",'04 Prices'!B82="",'04 Prices'!B83=""),"",LN('04 Prices'!B83/'04 Prices'!B82))</f>
        <v/>
      </c>
      <c r="C82" s="25">
        <f>IF(OR($A82="",'04 Prices'!C82="",'04 Prices'!C83=""),"",LN('04 Prices'!C83/'04 Prices'!C82))</f>
        <v/>
      </c>
      <c r="D82" s="25">
        <f>IF(OR($A82="",'04 Prices'!D82="",'04 Prices'!D83=""),"",LN('04 Prices'!D83/'04 Prices'!D82))</f>
        <v/>
      </c>
      <c r="E82" s="25">
        <f>IF(OR($A82="",'04 Prices'!E82="",'04 Prices'!E83=""),"",LN('04 Prices'!E83/'04 Prices'!E82))</f>
        <v/>
      </c>
      <c r="F82" s="25">
        <f>IF(OR($A82="",'04 Prices'!F82="",'04 Prices'!F83=""),"",LN('04 Prices'!F83/'04 Prices'!F82))</f>
        <v/>
      </c>
      <c r="G82" s="25">
        <f>IF(OR($A82="",'04 Prices'!G82="",'04 Prices'!G83=""),"",LN('04 Prices'!G83/'04 Prices'!G82))</f>
        <v/>
      </c>
      <c r="H82" s="25">
        <f>IF(OR($A82="",'04 Prices'!H82="",'04 Prices'!H83=""),"",LN('04 Prices'!H83/'04 Prices'!H82))</f>
        <v/>
      </c>
    </row>
    <row r="83">
      <c r="A83" s="23">
        <f>IF('04 Prices'!A84="","",'04 Prices'!A84)</f>
        <v/>
      </c>
      <c r="B83" s="25">
        <f>IF(OR($A83="",'04 Prices'!B83="",'04 Prices'!B84=""),"",LN('04 Prices'!B84/'04 Prices'!B83))</f>
        <v/>
      </c>
      <c r="C83" s="25">
        <f>IF(OR($A83="",'04 Prices'!C83="",'04 Prices'!C84=""),"",LN('04 Prices'!C84/'04 Prices'!C83))</f>
        <v/>
      </c>
      <c r="D83" s="25">
        <f>IF(OR($A83="",'04 Prices'!D83="",'04 Prices'!D84=""),"",LN('04 Prices'!D84/'04 Prices'!D83))</f>
        <v/>
      </c>
      <c r="E83" s="25">
        <f>IF(OR($A83="",'04 Prices'!E83="",'04 Prices'!E84=""),"",LN('04 Prices'!E84/'04 Prices'!E83))</f>
        <v/>
      </c>
      <c r="F83" s="25">
        <f>IF(OR($A83="",'04 Prices'!F83="",'04 Prices'!F84=""),"",LN('04 Prices'!F84/'04 Prices'!F83))</f>
        <v/>
      </c>
      <c r="G83" s="25">
        <f>IF(OR($A83="",'04 Prices'!G83="",'04 Prices'!G84=""),"",LN('04 Prices'!G84/'04 Prices'!G83))</f>
        <v/>
      </c>
      <c r="H83" s="25">
        <f>IF(OR($A83="",'04 Prices'!H83="",'04 Prices'!H84=""),"",LN('04 Prices'!H84/'04 Prices'!H83))</f>
        <v/>
      </c>
    </row>
    <row r="84">
      <c r="A84" s="23">
        <f>IF('04 Prices'!A85="","",'04 Prices'!A85)</f>
        <v/>
      </c>
      <c r="B84" s="25">
        <f>IF(OR($A84="",'04 Prices'!B84="",'04 Prices'!B85=""),"",LN('04 Prices'!B85/'04 Prices'!B84))</f>
        <v/>
      </c>
      <c r="C84" s="25">
        <f>IF(OR($A84="",'04 Prices'!C84="",'04 Prices'!C85=""),"",LN('04 Prices'!C85/'04 Prices'!C84))</f>
        <v/>
      </c>
      <c r="D84" s="25">
        <f>IF(OR($A84="",'04 Prices'!D84="",'04 Prices'!D85=""),"",LN('04 Prices'!D85/'04 Prices'!D84))</f>
        <v/>
      </c>
      <c r="E84" s="25">
        <f>IF(OR($A84="",'04 Prices'!E84="",'04 Prices'!E85=""),"",LN('04 Prices'!E85/'04 Prices'!E84))</f>
        <v/>
      </c>
      <c r="F84" s="25">
        <f>IF(OR($A84="",'04 Prices'!F84="",'04 Prices'!F85=""),"",LN('04 Prices'!F85/'04 Prices'!F84))</f>
        <v/>
      </c>
      <c r="G84" s="25">
        <f>IF(OR($A84="",'04 Prices'!G84="",'04 Prices'!G85=""),"",LN('04 Prices'!G85/'04 Prices'!G84))</f>
        <v/>
      </c>
      <c r="H84" s="25">
        <f>IF(OR($A84="",'04 Prices'!H84="",'04 Prices'!H85=""),"",LN('04 Prices'!H85/'04 Prices'!H84))</f>
        <v/>
      </c>
    </row>
    <row r="85">
      <c r="A85" s="23">
        <f>IF('04 Prices'!A86="","",'04 Prices'!A86)</f>
        <v/>
      </c>
      <c r="B85" s="25">
        <f>IF(OR($A85="",'04 Prices'!B85="",'04 Prices'!B86=""),"",LN('04 Prices'!B86/'04 Prices'!B85))</f>
        <v/>
      </c>
      <c r="C85" s="25">
        <f>IF(OR($A85="",'04 Prices'!C85="",'04 Prices'!C86=""),"",LN('04 Prices'!C86/'04 Prices'!C85))</f>
        <v/>
      </c>
      <c r="D85" s="25">
        <f>IF(OR($A85="",'04 Prices'!D85="",'04 Prices'!D86=""),"",LN('04 Prices'!D86/'04 Prices'!D85))</f>
        <v/>
      </c>
      <c r="E85" s="25">
        <f>IF(OR($A85="",'04 Prices'!E85="",'04 Prices'!E86=""),"",LN('04 Prices'!E86/'04 Prices'!E85))</f>
        <v/>
      </c>
      <c r="F85" s="25">
        <f>IF(OR($A85="",'04 Prices'!F85="",'04 Prices'!F86=""),"",LN('04 Prices'!F86/'04 Prices'!F85))</f>
        <v/>
      </c>
      <c r="G85" s="25">
        <f>IF(OR($A85="",'04 Prices'!G85="",'04 Prices'!G86=""),"",LN('04 Prices'!G86/'04 Prices'!G85))</f>
        <v/>
      </c>
      <c r="H85" s="25">
        <f>IF(OR($A85="",'04 Prices'!H85="",'04 Prices'!H86=""),"",LN('04 Prices'!H86/'04 Prices'!H85))</f>
        <v/>
      </c>
    </row>
    <row r="86">
      <c r="A86" s="23">
        <f>IF('04 Prices'!A87="","",'04 Prices'!A87)</f>
        <v/>
      </c>
      <c r="B86" s="25">
        <f>IF(OR($A86="",'04 Prices'!B86="",'04 Prices'!B87=""),"",LN('04 Prices'!B87/'04 Prices'!B86))</f>
        <v/>
      </c>
      <c r="C86" s="25">
        <f>IF(OR($A86="",'04 Prices'!C86="",'04 Prices'!C87=""),"",LN('04 Prices'!C87/'04 Prices'!C86))</f>
        <v/>
      </c>
      <c r="D86" s="25">
        <f>IF(OR($A86="",'04 Prices'!D86="",'04 Prices'!D87=""),"",LN('04 Prices'!D87/'04 Prices'!D86))</f>
        <v/>
      </c>
      <c r="E86" s="25">
        <f>IF(OR($A86="",'04 Prices'!E86="",'04 Prices'!E87=""),"",LN('04 Prices'!E87/'04 Prices'!E86))</f>
        <v/>
      </c>
      <c r="F86" s="25">
        <f>IF(OR($A86="",'04 Prices'!F86="",'04 Prices'!F87=""),"",LN('04 Prices'!F87/'04 Prices'!F86))</f>
        <v/>
      </c>
      <c r="G86" s="25">
        <f>IF(OR($A86="",'04 Prices'!G86="",'04 Prices'!G87=""),"",LN('04 Prices'!G87/'04 Prices'!G86))</f>
        <v/>
      </c>
      <c r="H86" s="25">
        <f>IF(OR($A86="",'04 Prices'!H86="",'04 Prices'!H87=""),"",LN('04 Prices'!H87/'04 Prices'!H86))</f>
        <v/>
      </c>
    </row>
    <row r="87">
      <c r="A87" s="23">
        <f>IF('04 Prices'!A88="","",'04 Prices'!A88)</f>
        <v/>
      </c>
      <c r="B87" s="25">
        <f>IF(OR($A87="",'04 Prices'!B87="",'04 Prices'!B88=""),"",LN('04 Prices'!B88/'04 Prices'!B87))</f>
        <v/>
      </c>
      <c r="C87" s="25">
        <f>IF(OR($A87="",'04 Prices'!C87="",'04 Prices'!C88=""),"",LN('04 Prices'!C88/'04 Prices'!C87))</f>
        <v/>
      </c>
      <c r="D87" s="25">
        <f>IF(OR($A87="",'04 Prices'!D87="",'04 Prices'!D88=""),"",LN('04 Prices'!D88/'04 Prices'!D87))</f>
        <v/>
      </c>
      <c r="E87" s="25">
        <f>IF(OR($A87="",'04 Prices'!E87="",'04 Prices'!E88=""),"",LN('04 Prices'!E88/'04 Prices'!E87))</f>
        <v/>
      </c>
      <c r="F87" s="25">
        <f>IF(OR($A87="",'04 Prices'!F87="",'04 Prices'!F88=""),"",LN('04 Prices'!F88/'04 Prices'!F87))</f>
        <v/>
      </c>
      <c r="G87" s="25">
        <f>IF(OR($A87="",'04 Prices'!G87="",'04 Prices'!G88=""),"",LN('04 Prices'!G88/'04 Prices'!G87))</f>
        <v/>
      </c>
      <c r="H87" s="25">
        <f>IF(OR($A87="",'04 Prices'!H87="",'04 Prices'!H88=""),"",LN('04 Prices'!H88/'04 Prices'!H87))</f>
        <v/>
      </c>
    </row>
    <row r="88">
      <c r="A88" s="23">
        <f>IF('04 Prices'!A89="","",'04 Prices'!A89)</f>
        <v/>
      </c>
      <c r="B88" s="25">
        <f>IF(OR($A88="",'04 Prices'!B88="",'04 Prices'!B89=""),"",LN('04 Prices'!B89/'04 Prices'!B88))</f>
        <v/>
      </c>
      <c r="C88" s="25">
        <f>IF(OR($A88="",'04 Prices'!C88="",'04 Prices'!C89=""),"",LN('04 Prices'!C89/'04 Prices'!C88))</f>
        <v/>
      </c>
      <c r="D88" s="25">
        <f>IF(OR($A88="",'04 Prices'!D88="",'04 Prices'!D89=""),"",LN('04 Prices'!D89/'04 Prices'!D88))</f>
        <v/>
      </c>
      <c r="E88" s="25">
        <f>IF(OR($A88="",'04 Prices'!E88="",'04 Prices'!E89=""),"",LN('04 Prices'!E89/'04 Prices'!E88))</f>
        <v/>
      </c>
      <c r="F88" s="25">
        <f>IF(OR($A88="",'04 Prices'!F88="",'04 Prices'!F89=""),"",LN('04 Prices'!F89/'04 Prices'!F88))</f>
        <v/>
      </c>
      <c r="G88" s="25">
        <f>IF(OR($A88="",'04 Prices'!G88="",'04 Prices'!G89=""),"",LN('04 Prices'!G89/'04 Prices'!G88))</f>
        <v/>
      </c>
      <c r="H88" s="25">
        <f>IF(OR($A88="",'04 Prices'!H88="",'04 Prices'!H89=""),"",LN('04 Prices'!H89/'04 Prices'!H88))</f>
        <v/>
      </c>
    </row>
    <row r="89">
      <c r="A89" s="23">
        <f>IF('04 Prices'!A90="","",'04 Prices'!A90)</f>
        <v/>
      </c>
      <c r="B89" s="25">
        <f>IF(OR($A89="",'04 Prices'!B89="",'04 Prices'!B90=""),"",LN('04 Prices'!B90/'04 Prices'!B89))</f>
        <v/>
      </c>
      <c r="C89" s="25">
        <f>IF(OR($A89="",'04 Prices'!C89="",'04 Prices'!C90=""),"",LN('04 Prices'!C90/'04 Prices'!C89))</f>
        <v/>
      </c>
      <c r="D89" s="25">
        <f>IF(OR($A89="",'04 Prices'!D89="",'04 Prices'!D90=""),"",LN('04 Prices'!D90/'04 Prices'!D89))</f>
        <v/>
      </c>
      <c r="E89" s="25">
        <f>IF(OR($A89="",'04 Prices'!E89="",'04 Prices'!E90=""),"",LN('04 Prices'!E90/'04 Prices'!E89))</f>
        <v/>
      </c>
      <c r="F89" s="25">
        <f>IF(OR($A89="",'04 Prices'!F89="",'04 Prices'!F90=""),"",LN('04 Prices'!F90/'04 Prices'!F89))</f>
        <v/>
      </c>
      <c r="G89" s="25">
        <f>IF(OR($A89="",'04 Prices'!G89="",'04 Prices'!G90=""),"",LN('04 Prices'!G90/'04 Prices'!G89))</f>
        <v/>
      </c>
      <c r="H89" s="25">
        <f>IF(OR($A89="",'04 Prices'!H89="",'04 Prices'!H90=""),"",LN('04 Prices'!H90/'04 Prices'!H89))</f>
        <v/>
      </c>
    </row>
    <row r="90">
      <c r="A90" s="23">
        <f>IF('04 Prices'!A91="","",'04 Prices'!A91)</f>
        <v/>
      </c>
      <c r="B90" s="25">
        <f>IF(OR($A90="",'04 Prices'!B90="",'04 Prices'!B91=""),"",LN('04 Prices'!B91/'04 Prices'!B90))</f>
        <v/>
      </c>
      <c r="C90" s="25">
        <f>IF(OR($A90="",'04 Prices'!C90="",'04 Prices'!C91=""),"",LN('04 Prices'!C91/'04 Prices'!C90))</f>
        <v/>
      </c>
      <c r="D90" s="25">
        <f>IF(OR($A90="",'04 Prices'!D90="",'04 Prices'!D91=""),"",LN('04 Prices'!D91/'04 Prices'!D90))</f>
        <v/>
      </c>
      <c r="E90" s="25">
        <f>IF(OR($A90="",'04 Prices'!E90="",'04 Prices'!E91=""),"",LN('04 Prices'!E91/'04 Prices'!E90))</f>
        <v/>
      </c>
      <c r="F90" s="25">
        <f>IF(OR($A90="",'04 Prices'!F90="",'04 Prices'!F91=""),"",LN('04 Prices'!F91/'04 Prices'!F90))</f>
        <v/>
      </c>
      <c r="G90" s="25">
        <f>IF(OR($A90="",'04 Prices'!G90="",'04 Prices'!G91=""),"",LN('04 Prices'!G91/'04 Prices'!G90))</f>
        <v/>
      </c>
      <c r="H90" s="25">
        <f>IF(OR($A90="",'04 Prices'!H90="",'04 Prices'!H91=""),"",LN('04 Prices'!H91/'04 Prices'!H90))</f>
        <v/>
      </c>
    </row>
    <row r="91">
      <c r="A91" s="23">
        <f>IF('04 Prices'!A92="","",'04 Prices'!A92)</f>
        <v/>
      </c>
      <c r="B91" s="25">
        <f>IF(OR($A91="",'04 Prices'!B91="",'04 Prices'!B92=""),"",LN('04 Prices'!B92/'04 Prices'!B91))</f>
        <v/>
      </c>
      <c r="C91" s="25">
        <f>IF(OR($A91="",'04 Prices'!C91="",'04 Prices'!C92=""),"",LN('04 Prices'!C92/'04 Prices'!C91))</f>
        <v/>
      </c>
      <c r="D91" s="25">
        <f>IF(OR($A91="",'04 Prices'!D91="",'04 Prices'!D92=""),"",LN('04 Prices'!D92/'04 Prices'!D91))</f>
        <v/>
      </c>
      <c r="E91" s="25">
        <f>IF(OR($A91="",'04 Prices'!E91="",'04 Prices'!E92=""),"",LN('04 Prices'!E92/'04 Prices'!E91))</f>
        <v/>
      </c>
      <c r="F91" s="25">
        <f>IF(OR($A91="",'04 Prices'!F91="",'04 Prices'!F92=""),"",LN('04 Prices'!F92/'04 Prices'!F91))</f>
        <v/>
      </c>
      <c r="G91" s="25">
        <f>IF(OR($A91="",'04 Prices'!G91="",'04 Prices'!G92=""),"",LN('04 Prices'!G92/'04 Prices'!G91))</f>
        <v/>
      </c>
      <c r="H91" s="25">
        <f>IF(OR($A91="",'04 Prices'!H91="",'04 Prices'!H92=""),"",LN('04 Prices'!H92/'04 Prices'!H91))</f>
        <v/>
      </c>
    </row>
    <row r="92">
      <c r="A92" s="23">
        <f>IF('04 Prices'!A93="","",'04 Prices'!A93)</f>
        <v/>
      </c>
      <c r="B92" s="25">
        <f>IF(OR($A92="",'04 Prices'!B92="",'04 Prices'!B93=""),"",LN('04 Prices'!B93/'04 Prices'!B92))</f>
        <v/>
      </c>
      <c r="C92" s="25">
        <f>IF(OR($A92="",'04 Prices'!C92="",'04 Prices'!C93=""),"",LN('04 Prices'!C93/'04 Prices'!C92))</f>
        <v/>
      </c>
      <c r="D92" s="25">
        <f>IF(OR($A92="",'04 Prices'!D92="",'04 Prices'!D93=""),"",LN('04 Prices'!D93/'04 Prices'!D92))</f>
        <v/>
      </c>
      <c r="E92" s="25">
        <f>IF(OR($A92="",'04 Prices'!E92="",'04 Prices'!E93=""),"",LN('04 Prices'!E93/'04 Prices'!E92))</f>
        <v/>
      </c>
      <c r="F92" s="25">
        <f>IF(OR($A92="",'04 Prices'!F92="",'04 Prices'!F93=""),"",LN('04 Prices'!F93/'04 Prices'!F92))</f>
        <v/>
      </c>
      <c r="G92" s="25">
        <f>IF(OR($A92="",'04 Prices'!G92="",'04 Prices'!G93=""),"",LN('04 Prices'!G93/'04 Prices'!G92))</f>
        <v/>
      </c>
      <c r="H92" s="25">
        <f>IF(OR($A92="",'04 Prices'!H92="",'04 Prices'!H93=""),"",LN('04 Prices'!H93/'04 Prices'!H92))</f>
        <v/>
      </c>
    </row>
    <row r="93">
      <c r="A93" s="23">
        <f>IF('04 Prices'!A94="","",'04 Prices'!A94)</f>
        <v/>
      </c>
      <c r="B93" s="25">
        <f>IF(OR($A93="",'04 Prices'!B93="",'04 Prices'!B94=""),"",LN('04 Prices'!B94/'04 Prices'!B93))</f>
        <v/>
      </c>
      <c r="C93" s="25">
        <f>IF(OR($A93="",'04 Prices'!C93="",'04 Prices'!C94=""),"",LN('04 Prices'!C94/'04 Prices'!C93))</f>
        <v/>
      </c>
      <c r="D93" s="25">
        <f>IF(OR($A93="",'04 Prices'!D93="",'04 Prices'!D94=""),"",LN('04 Prices'!D94/'04 Prices'!D93))</f>
        <v/>
      </c>
      <c r="E93" s="25">
        <f>IF(OR($A93="",'04 Prices'!E93="",'04 Prices'!E94=""),"",LN('04 Prices'!E94/'04 Prices'!E93))</f>
        <v/>
      </c>
      <c r="F93" s="25">
        <f>IF(OR($A93="",'04 Prices'!F93="",'04 Prices'!F94=""),"",LN('04 Prices'!F94/'04 Prices'!F93))</f>
        <v/>
      </c>
      <c r="G93" s="25">
        <f>IF(OR($A93="",'04 Prices'!G93="",'04 Prices'!G94=""),"",LN('04 Prices'!G94/'04 Prices'!G93))</f>
        <v/>
      </c>
      <c r="H93" s="25">
        <f>IF(OR($A93="",'04 Prices'!H93="",'04 Prices'!H94=""),"",LN('04 Prices'!H94/'04 Prices'!H93))</f>
        <v/>
      </c>
    </row>
    <row r="94">
      <c r="A94" s="23">
        <f>IF('04 Prices'!A95="","",'04 Prices'!A95)</f>
        <v/>
      </c>
      <c r="B94" s="25">
        <f>IF(OR($A94="",'04 Prices'!B94="",'04 Prices'!B95=""),"",LN('04 Prices'!B95/'04 Prices'!B94))</f>
        <v/>
      </c>
      <c r="C94" s="25">
        <f>IF(OR($A94="",'04 Prices'!C94="",'04 Prices'!C95=""),"",LN('04 Prices'!C95/'04 Prices'!C94))</f>
        <v/>
      </c>
      <c r="D94" s="25">
        <f>IF(OR($A94="",'04 Prices'!D94="",'04 Prices'!D95=""),"",LN('04 Prices'!D95/'04 Prices'!D94))</f>
        <v/>
      </c>
      <c r="E94" s="25">
        <f>IF(OR($A94="",'04 Prices'!E94="",'04 Prices'!E95=""),"",LN('04 Prices'!E95/'04 Prices'!E94))</f>
        <v/>
      </c>
      <c r="F94" s="25">
        <f>IF(OR($A94="",'04 Prices'!F94="",'04 Prices'!F95=""),"",LN('04 Prices'!F95/'04 Prices'!F94))</f>
        <v/>
      </c>
      <c r="G94" s="25">
        <f>IF(OR($A94="",'04 Prices'!G94="",'04 Prices'!G95=""),"",LN('04 Prices'!G95/'04 Prices'!G94))</f>
        <v/>
      </c>
      <c r="H94" s="25">
        <f>IF(OR($A94="",'04 Prices'!H94="",'04 Prices'!H95=""),"",LN('04 Prices'!H95/'04 Prices'!H94))</f>
        <v/>
      </c>
    </row>
    <row r="95">
      <c r="A95" s="23">
        <f>IF('04 Prices'!A96="","",'04 Prices'!A96)</f>
        <v/>
      </c>
      <c r="B95" s="25">
        <f>IF(OR($A95="",'04 Prices'!B95="",'04 Prices'!B96=""),"",LN('04 Prices'!B96/'04 Prices'!B95))</f>
        <v/>
      </c>
      <c r="C95" s="25">
        <f>IF(OR($A95="",'04 Prices'!C95="",'04 Prices'!C96=""),"",LN('04 Prices'!C96/'04 Prices'!C95))</f>
        <v/>
      </c>
      <c r="D95" s="25">
        <f>IF(OR($A95="",'04 Prices'!D95="",'04 Prices'!D96=""),"",LN('04 Prices'!D96/'04 Prices'!D95))</f>
        <v/>
      </c>
      <c r="E95" s="25">
        <f>IF(OR($A95="",'04 Prices'!E95="",'04 Prices'!E96=""),"",LN('04 Prices'!E96/'04 Prices'!E95))</f>
        <v/>
      </c>
      <c r="F95" s="25">
        <f>IF(OR($A95="",'04 Prices'!F95="",'04 Prices'!F96=""),"",LN('04 Prices'!F96/'04 Prices'!F95))</f>
        <v/>
      </c>
      <c r="G95" s="25">
        <f>IF(OR($A95="",'04 Prices'!G95="",'04 Prices'!G96=""),"",LN('04 Prices'!G96/'04 Prices'!G95))</f>
        <v/>
      </c>
      <c r="H95" s="25">
        <f>IF(OR($A95="",'04 Prices'!H95="",'04 Prices'!H96=""),"",LN('04 Prices'!H96/'04 Prices'!H95))</f>
        <v/>
      </c>
    </row>
    <row r="96">
      <c r="A96" s="23">
        <f>IF('04 Prices'!A97="","",'04 Prices'!A97)</f>
        <v/>
      </c>
      <c r="B96" s="25">
        <f>IF(OR($A96="",'04 Prices'!B96="",'04 Prices'!B97=""),"",LN('04 Prices'!B97/'04 Prices'!B96))</f>
        <v/>
      </c>
      <c r="C96" s="25">
        <f>IF(OR($A96="",'04 Prices'!C96="",'04 Prices'!C97=""),"",LN('04 Prices'!C97/'04 Prices'!C96))</f>
        <v/>
      </c>
      <c r="D96" s="25">
        <f>IF(OR($A96="",'04 Prices'!D96="",'04 Prices'!D97=""),"",LN('04 Prices'!D97/'04 Prices'!D96))</f>
        <v/>
      </c>
      <c r="E96" s="25">
        <f>IF(OR($A96="",'04 Prices'!E96="",'04 Prices'!E97=""),"",LN('04 Prices'!E97/'04 Prices'!E96))</f>
        <v/>
      </c>
      <c r="F96" s="25">
        <f>IF(OR($A96="",'04 Prices'!F96="",'04 Prices'!F97=""),"",LN('04 Prices'!F97/'04 Prices'!F96))</f>
        <v/>
      </c>
      <c r="G96" s="25">
        <f>IF(OR($A96="",'04 Prices'!G96="",'04 Prices'!G97=""),"",LN('04 Prices'!G97/'04 Prices'!G96))</f>
        <v/>
      </c>
      <c r="H96" s="25">
        <f>IF(OR($A96="",'04 Prices'!H96="",'04 Prices'!H97=""),"",LN('04 Prices'!H97/'04 Prices'!H96))</f>
        <v/>
      </c>
    </row>
    <row r="97">
      <c r="A97" s="23">
        <f>IF('04 Prices'!A98="","",'04 Prices'!A98)</f>
        <v/>
      </c>
      <c r="B97" s="25">
        <f>IF(OR($A97="",'04 Prices'!B97="",'04 Prices'!B98=""),"",LN('04 Prices'!B98/'04 Prices'!B97))</f>
        <v/>
      </c>
      <c r="C97" s="25">
        <f>IF(OR($A97="",'04 Prices'!C97="",'04 Prices'!C98=""),"",LN('04 Prices'!C98/'04 Prices'!C97))</f>
        <v/>
      </c>
      <c r="D97" s="25">
        <f>IF(OR($A97="",'04 Prices'!D97="",'04 Prices'!D98=""),"",LN('04 Prices'!D98/'04 Prices'!D97))</f>
        <v/>
      </c>
      <c r="E97" s="25">
        <f>IF(OR($A97="",'04 Prices'!E97="",'04 Prices'!E98=""),"",LN('04 Prices'!E98/'04 Prices'!E97))</f>
        <v/>
      </c>
      <c r="F97" s="25">
        <f>IF(OR($A97="",'04 Prices'!F97="",'04 Prices'!F98=""),"",LN('04 Prices'!F98/'04 Prices'!F97))</f>
        <v/>
      </c>
      <c r="G97" s="25">
        <f>IF(OR($A97="",'04 Prices'!G97="",'04 Prices'!G98=""),"",LN('04 Prices'!G98/'04 Prices'!G97))</f>
        <v/>
      </c>
      <c r="H97" s="25">
        <f>IF(OR($A97="",'04 Prices'!H97="",'04 Prices'!H98=""),"",LN('04 Prices'!H98/'04 Prices'!H97))</f>
        <v/>
      </c>
    </row>
    <row r="98">
      <c r="A98" s="23">
        <f>IF('04 Prices'!A99="","",'04 Prices'!A99)</f>
        <v/>
      </c>
      <c r="B98" s="25">
        <f>IF(OR($A98="",'04 Prices'!B98="",'04 Prices'!B99=""),"",LN('04 Prices'!B99/'04 Prices'!B98))</f>
        <v/>
      </c>
      <c r="C98" s="25">
        <f>IF(OR($A98="",'04 Prices'!C98="",'04 Prices'!C99=""),"",LN('04 Prices'!C99/'04 Prices'!C98))</f>
        <v/>
      </c>
      <c r="D98" s="25">
        <f>IF(OR($A98="",'04 Prices'!D98="",'04 Prices'!D99=""),"",LN('04 Prices'!D99/'04 Prices'!D98))</f>
        <v/>
      </c>
      <c r="E98" s="25">
        <f>IF(OR($A98="",'04 Prices'!E98="",'04 Prices'!E99=""),"",LN('04 Prices'!E99/'04 Prices'!E98))</f>
        <v/>
      </c>
      <c r="F98" s="25">
        <f>IF(OR($A98="",'04 Prices'!F98="",'04 Prices'!F99=""),"",LN('04 Prices'!F99/'04 Prices'!F98))</f>
        <v/>
      </c>
      <c r="G98" s="25">
        <f>IF(OR($A98="",'04 Prices'!G98="",'04 Prices'!G99=""),"",LN('04 Prices'!G99/'04 Prices'!G98))</f>
        <v/>
      </c>
      <c r="H98" s="25">
        <f>IF(OR($A98="",'04 Prices'!H98="",'04 Prices'!H99=""),"",LN('04 Prices'!H99/'04 Prices'!H98))</f>
        <v/>
      </c>
    </row>
    <row r="99">
      <c r="A99" s="23">
        <f>IF('04 Prices'!A100="","",'04 Prices'!A100)</f>
        <v/>
      </c>
      <c r="B99" s="25">
        <f>IF(OR($A99="",'04 Prices'!B99="",'04 Prices'!B100=""),"",LN('04 Prices'!B100/'04 Prices'!B99))</f>
        <v/>
      </c>
      <c r="C99" s="25">
        <f>IF(OR($A99="",'04 Prices'!C99="",'04 Prices'!C100=""),"",LN('04 Prices'!C100/'04 Prices'!C99))</f>
        <v/>
      </c>
      <c r="D99" s="25">
        <f>IF(OR($A99="",'04 Prices'!D99="",'04 Prices'!D100=""),"",LN('04 Prices'!D100/'04 Prices'!D99))</f>
        <v/>
      </c>
      <c r="E99" s="25">
        <f>IF(OR($A99="",'04 Prices'!E99="",'04 Prices'!E100=""),"",LN('04 Prices'!E100/'04 Prices'!E99))</f>
        <v/>
      </c>
      <c r="F99" s="25">
        <f>IF(OR($A99="",'04 Prices'!F99="",'04 Prices'!F100=""),"",LN('04 Prices'!F100/'04 Prices'!F99))</f>
        <v/>
      </c>
      <c r="G99" s="25">
        <f>IF(OR($A99="",'04 Prices'!G99="",'04 Prices'!G100=""),"",LN('04 Prices'!G100/'04 Prices'!G99))</f>
        <v/>
      </c>
      <c r="H99" s="25">
        <f>IF(OR($A99="",'04 Prices'!H99="",'04 Prices'!H100=""),"",LN('04 Prices'!H100/'04 Prices'!H99))</f>
        <v/>
      </c>
    </row>
    <row r="100">
      <c r="A100" s="23">
        <f>IF('04 Prices'!A101="","",'04 Prices'!A101)</f>
        <v/>
      </c>
      <c r="B100" s="25">
        <f>IF(OR($A100="",'04 Prices'!B100="",'04 Prices'!B101=""),"",LN('04 Prices'!B101/'04 Prices'!B100))</f>
        <v/>
      </c>
      <c r="C100" s="25">
        <f>IF(OR($A100="",'04 Prices'!C100="",'04 Prices'!C101=""),"",LN('04 Prices'!C101/'04 Prices'!C100))</f>
        <v/>
      </c>
      <c r="D100" s="25">
        <f>IF(OR($A100="",'04 Prices'!D100="",'04 Prices'!D101=""),"",LN('04 Prices'!D101/'04 Prices'!D100))</f>
        <v/>
      </c>
      <c r="E100" s="25">
        <f>IF(OR($A100="",'04 Prices'!E100="",'04 Prices'!E101=""),"",LN('04 Prices'!E101/'04 Prices'!E100))</f>
        <v/>
      </c>
      <c r="F100" s="25">
        <f>IF(OR($A100="",'04 Prices'!F100="",'04 Prices'!F101=""),"",LN('04 Prices'!F101/'04 Prices'!F100))</f>
        <v/>
      </c>
      <c r="G100" s="25">
        <f>IF(OR($A100="",'04 Prices'!G100="",'04 Prices'!G101=""),"",LN('04 Prices'!G101/'04 Prices'!G100))</f>
        <v/>
      </c>
      <c r="H100" s="25">
        <f>IF(OR($A100="",'04 Prices'!H100="",'04 Prices'!H101=""),"",LN('04 Prices'!H101/'04 Prices'!H100))</f>
        <v/>
      </c>
    </row>
    <row r="101">
      <c r="A101" s="23">
        <f>IF('04 Prices'!A102="","",'04 Prices'!A102)</f>
        <v/>
      </c>
      <c r="B101" s="25">
        <f>IF(OR($A101="",'04 Prices'!B101="",'04 Prices'!B102=""),"",LN('04 Prices'!B102/'04 Prices'!B101))</f>
        <v/>
      </c>
      <c r="C101" s="25">
        <f>IF(OR($A101="",'04 Prices'!C101="",'04 Prices'!C102=""),"",LN('04 Prices'!C102/'04 Prices'!C101))</f>
        <v/>
      </c>
      <c r="D101" s="25">
        <f>IF(OR($A101="",'04 Prices'!D101="",'04 Prices'!D102=""),"",LN('04 Prices'!D102/'04 Prices'!D101))</f>
        <v/>
      </c>
      <c r="E101" s="25">
        <f>IF(OR($A101="",'04 Prices'!E101="",'04 Prices'!E102=""),"",LN('04 Prices'!E102/'04 Prices'!E101))</f>
        <v/>
      </c>
      <c r="F101" s="25">
        <f>IF(OR($A101="",'04 Prices'!F101="",'04 Prices'!F102=""),"",LN('04 Prices'!F102/'04 Prices'!F101))</f>
        <v/>
      </c>
      <c r="G101" s="25">
        <f>IF(OR($A101="",'04 Prices'!G101="",'04 Prices'!G102=""),"",LN('04 Prices'!G102/'04 Prices'!G101))</f>
        <v/>
      </c>
      <c r="H101" s="25">
        <f>IF(OR($A101="",'04 Prices'!H101="",'04 Prices'!H102=""),"",LN('04 Prices'!H102/'04 Prices'!H101))</f>
        <v/>
      </c>
    </row>
    <row r="102">
      <c r="A102" s="23">
        <f>IF('04 Prices'!A103="","",'04 Prices'!A103)</f>
        <v/>
      </c>
      <c r="B102" s="25">
        <f>IF(OR($A102="",'04 Prices'!B102="",'04 Prices'!B103=""),"",LN('04 Prices'!B103/'04 Prices'!B102))</f>
        <v/>
      </c>
      <c r="C102" s="25">
        <f>IF(OR($A102="",'04 Prices'!C102="",'04 Prices'!C103=""),"",LN('04 Prices'!C103/'04 Prices'!C102))</f>
        <v/>
      </c>
      <c r="D102" s="25">
        <f>IF(OR($A102="",'04 Prices'!D102="",'04 Prices'!D103=""),"",LN('04 Prices'!D103/'04 Prices'!D102))</f>
        <v/>
      </c>
      <c r="E102" s="25">
        <f>IF(OR($A102="",'04 Prices'!E102="",'04 Prices'!E103=""),"",LN('04 Prices'!E103/'04 Prices'!E102))</f>
        <v/>
      </c>
      <c r="F102" s="25">
        <f>IF(OR($A102="",'04 Prices'!F102="",'04 Prices'!F103=""),"",LN('04 Prices'!F103/'04 Prices'!F102))</f>
        <v/>
      </c>
      <c r="G102" s="25">
        <f>IF(OR($A102="",'04 Prices'!G102="",'04 Prices'!G103=""),"",LN('04 Prices'!G103/'04 Prices'!G102))</f>
        <v/>
      </c>
      <c r="H102" s="25">
        <f>IF(OR($A102="",'04 Prices'!H102="",'04 Prices'!H103=""),"",LN('04 Prices'!H103/'04 Prices'!H102))</f>
        <v/>
      </c>
    </row>
    <row r="103">
      <c r="A103" s="23">
        <f>IF('04 Prices'!A104="","",'04 Prices'!A104)</f>
        <v/>
      </c>
      <c r="B103" s="25">
        <f>IF(OR($A103="",'04 Prices'!B103="",'04 Prices'!B104=""),"",LN('04 Prices'!B104/'04 Prices'!B103))</f>
        <v/>
      </c>
      <c r="C103" s="25">
        <f>IF(OR($A103="",'04 Prices'!C103="",'04 Prices'!C104=""),"",LN('04 Prices'!C104/'04 Prices'!C103))</f>
        <v/>
      </c>
      <c r="D103" s="25">
        <f>IF(OR($A103="",'04 Prices'!D103="",'04 Prices'!D104=""),"",LN('04 Prices'!D104/'04 Prices'!D103))</f>
        <v/>
      </c>
      <c r="E103" s="25">
        <f>IF(OR($A103="",'04 Prices'!E103="",'04 Prices'!E104=""),"",LN('04 Prices'!E104/'04 Prices'!E103))</f>
        <v/>
      </c>
      <c r="F103" s="25">
        <f>IF(OR($A103="",'04 Prices'!F103="",'04 Prices'!F104=""),"",LN('04 Prices'!F104/'04 Prices'!F103))</f>
        <v/>
      </c>
      <c r="G103" s="25">
        <f>IF(OR($A103="",'04 Prices'!G103="",'04 Prices'!G104=""),"",LN('04 Prices'!G104/'04 Prices'!G103))</f>
        <v/>
      </c>
      <c r="H103" s="25">
        <f>IF(OR($A103="",'04 Prices'!H103="",'04 Prices'!H104=""),"",LN('04 Prices'!H104/'04 Prices'!H103))</f>
        <v/>
      </c>
    </row>
    <row r="104">
      <c r="A104" s="23">
        <f>IF('04 Prices'!A105="","",'04 Prices'!A105)</f>
        <v/>
      </c>
      <c r="B104" s="25">
        <f>IF(OR($A104="",'04 Prices'!B104="",'04 Prices'!B105=""),"",LN('04 Prices'!B105/'04 Prices'!B104))</f>
        <v/>
      </c>
      <c r="C104" s="25">
        <f>IF(OR($A104="",'04 Prices'!C104="",'04 Prices'!C105=""),"",LN('04 Prices'!C105/'04 Prices'!C104))</f>
        <v/>
      </c>
      <c r="D104" s="25">
        <f>IF(OR($A104="",'04 Prices'!D104="",'04 Prices'!D105=""),"",LN('04 Prices'!D105/'04 Prices'!D104))</f>
        <v/>
      </c>
      <c r="E104" s="25">
        <f>IF(OR($A104="",'04 Prices'!E104="",'04 Prices'!E105=""),"",LN('04 Prices'!E105/'04 Prices'!E104))</f>
        <v/>
      </c>
      <c r="F104" s="25">
        <f>IF(OR($A104="",'04 Prices'!F104="",'04 Prices'!F105=""),"",LN('04 Prices'!F105/'04 Prices'!F104))</f>
        <v/>
      </c>
      <c r="G104" s="25">
        <f>IF(OR($A104="",'04 Prices'!G104="",'04 Prices'!G105=""),"",LN('04 Prices'!G105/'04 Prices'!G104))</f>
        <v/>
      </c>
      <c r="H104" s="25">
        <f>IF(OR($A104="",'04 Prices'!H104="",'04 Prices'!H105=""),"",LN('04 Prices'!H105/'04 Prices'!H104))</f>
        <v/>
      </c>
    </row>
    <row r="105">
      <c r="A105" s="23">
        <f>IF('04 Prices'!A106="","",'04 Prices'!A106)</f>
        <v/>
      </c>
      <c r="B105" s="25">
        <f>IF(OR($A105="",'04 Prices'!B105="",'04 Prices'!B106=""),"",LN('04 Prices'!B106/'04 Prices'!B105))</f>
        <v/>
      </c>
      <c r="C105" s="25">
        <f>IF(OR($A105="",'04 Prices'!C105="",'04 Prices'!C106=""),"",LN('04 Prices'!C106/'04 Prices'!C105))</f>
        <v/>
      </c>
      <c r="D105" s="25">
        <f>IF(OR($A105="",'04 Prices'!D105="",'04 Prices'!D106=""),"",LN('04 Prices'!D106/'04 Prices'!D105))</f>
        <v/>
      </c>
      <c r="E105" s="25">
        <f>IF(OR($A105="",'04 Prices'!E105="",'04 Prices'!E106=""),"",LN('04 Prices'!E106/'04 Prices'!E105))</f>
        <v/>
      </c>
      <c r="F105" s="25">
        <f>IF(OR($A105="",'04 Prices'!F105="",'04 Prices'!F106=""),"",LN('04 Prices'!F106/'04 Prices'!F105))</f>
        <v/>
      </c>
      <c r="G105" s="25">
        <f>IF(OR($A105="",'04 Prices'!G105="",'04 Prices'!G106=""),"",LN('04 Prices'!G106/'04 Prices'!G105))</f>
        <v/>
      </c>
      <c r="H105" s="25">
        <f>IF(OR($A105="",'04 Prices'!H105="",'04 Prices'!H106=""),"",LN('04 Prices'!H106/'04 Prices'!H105))</f>
        <v/>
      </c>
    </row>
    <row r="106">
      <c r="A106" s="23">
        <f>IF('04 Prices'!A107="","",'04 Prices'!A107)</f>
        <v/>
      </c>
      <c r="B106" s="25">
        <f>IF(OR($A106="",'04 Prices'!B106="",'04 Prices'!B107=""),"",LN('04 Prices'!B107/'04 Prices'!B106))</f>
        <v/>
      </c>
      <c r="C106" s="25">
        <f>IF(OR($A106="",'04 Prices'!C106="",'04 Prices'!C107=""),"",LN('04 Prices'!C107/'04 Prices'!C106))</f>
        <v/>
      </c>
      <c r="D106" s="25">
        <f>IF(OR($A106="",'04 Prices'!D106="",'04 Prices'!D107=""),"",LN('04 Prices'!D107/'04 Prices'!D106))</f>
        <v/>
      </c>
      <c r="E106" s="25">
        <f>IF(OR($A106="",'04 Prices'!E106="",'04 Prices'!E107=""),"",LN('04 Prices'!E107/'04 Prices'!E106))</f>
        <v/>
      </c>
      <c r="F106" s="25">
        <f>IF(OR($A106="",'04 Prices'!F106="",'04 Prices'!F107=""),"",LN('04 Prices'!F107/'04 Prices'!F106))</f>
        <v/>
      </c>
      <c r="G106" s="25">
        <f>IF(OR($A106="",'04 Prices'!G106="",'04 Prices'!G107=""),"",LN('04 Prices'!G107/'04 Prices'!G106))</f>
        <v/>
      </c>
      <c r="H106" s="25">
        <f>IF(OR($A106="",'04 Prices'!H106="",'04 Prices'!H107=""),"",LN('04 Prices'!H107/'04 Prices'!H106))</f>
        <v/>
      </c>
    </row>
    <row r="107">
      <c r="A107" s="23">
        <f>IF('04 Prices'!A108="","",'04 Prices'!A108)</f>
        <v/>
      </c>
      <c r="B107" s="25">
        <f>IF(OR($A107="",'04 Prices'!B107="",'04 Prices'!B108=""),"",LN('04 Prices'!B108/'04 Prices'!B107))</f>
        <v/>
      </c>
      <c r="C107" s="25">
        <f>IF(OR($A107="",'04 Prices'!C107="",'04 Prices'!C108=""),"",LN('04 Prices'!C108/'04 Prices'!C107))</f>
        <v/>
      </c>
      <c r="D107" s="25">
        <f>IF(OR($A107="",'04 Prices'!D107="",'04 Prices'!D108=""),"",LN('04 Prices'!D108/'04 Prices'!D107))</f>
        <v/>
      </c>
      <c r="E107" s="25">
        <f>IF(OR($A107="",'04 Prices'!E107="",'04 Prices'!E108=""),"",LN('04 Prices'!E108/'04 Prices'!E107))</f>
        <v/>
      </c>
      <c r="F107" s="25">
        <f>IF(OR($A107="",'04 Prices'!F107="",'04 Prices'!F108=""),"",LN('04 Prices'!F108/'04 Prices'!F107))</f>
        <v/>
      </c>
      <c r="G107" s="25">
        <f>IF(OR($A107="",'04 Prices'!G107="",'04 Prices'!G108=""),"",LN('04 Prices'!G108/'04 Prices'!G107))</f>
        <v/>
      </c>
      <c r="H107" s="25">
        <f>IF(OR($A107="",'04 Prices'!H107="",'04 Prices'!H108=""),"",LN('04 Prices'!H108/'04 Prices'!H107))</f>
        <v/>
      </c>
    </row>
    <row r="108">
      <c r="A108" s="23">
        <f>IF('04 Prices'!A109="","",'04 Prices'!A109)</f>
        <v/>
      </c>
      <c r="B108" s="25">
        <f>IF(OR($A108="",'04 Prices'!B108="",'04 Prices'!B109=""),"",LN('04 Prices'!B109/'04 Prices'!B108))</f>
        <v/>
      </c>
      <c r="C108" s="25">
        <f>IF(OR($A108="",'04 Prices'!C108="",'04 Prices'!C109=""),"",LN('04 Prices'!C109/'04 Prices'!C108))</f>
        <v/>
      </c>
      <c r="D108" s="25">
        <f>IF(OR($A108="",'04 Prices'!D108="",'04 Prices'!D109=""),"",LN('04 Prices'!D109/'04 Prices'!D108))</f>
        <v/>
      </c>
      <c r="E108" s="25">
        <f>IF(OR($A108="",'04 Prices'!E108="",'04 Prices'!E109=""),"",LN('04 Prices'!E109/'04 Prices'!E108))</f>
        <v/>
      </c>
      <c r="F108" s="25">
        <f>IF(OR($A108="",'04 Prices'!F108="",'04 Prices'!F109=""),"",LN('04 Prices'!F109/'04 Prices'!F108))</f>
        <v/>
      </c>
      <c r="G108" s="25">
        <f>IF(OR($A108="",'04 Prices'!G108="",'04 Prices'!G109=""),"",LN('04 Prices'!G109/'04 Prices'!G108))</f>
        <v/>
      </c>
      <c r="H108" s="25">
        <f>IF(OR($A108="",'04 Prices'!H108="",'04 Prices'!H109=""),"",LN('04 Prices'!H109/'04 Prices'!H108))</f>
        <v/>
      </c>
    </row>
    <row r="109">
      <c r="A109" s="23">
        <f>IF('04 Prices'!A110="","",'04 Prices'!A110)</f>
        <v/>
      </c>
      <c r="B109" s="25">
        <f>IF(OR($A109="",'04 Prices'!B109="",'04 Prices'!B110=""),"",LN('04 Prices'!B110/'04 Prices'!B109))</f>
        <v/>
      </c>
      <c r="C109" s="25">
        <f>IF(OR($A109="",'04 Prices'!C109="",'04 Prices'!C110=""),"",LN('04 Prices'!C110/'04 Prices'!C109))</f>
        <v/>
      </c>
      <c r="D109" s="25">
        <f>IF(OR($A109="",'04 Prices'!D109="",'04 Prices'!D110=""),"",LN('04 Prices'!D110/'04 Prices'!D109))</f>
        <v/>
      </c>
      <c r="E109" s="25">
        <f>IF(OR($A109="",'04 Prices'!E109="",'04 Prices'!E110=""),"",LN('04 Prices'!E110/'04 Prices'!E109))</f>
        <v/>
      </c>
      <c r="F109" s="25">
        <f>IF(OR($A109="",'04 Prices'!F109="",'04 Prices'!F110=""),"",LN('04 Prices'!F110/'04 Prices'!F109))</f>
        <v/>
      </c>
      <c r="G109" s="25">
        <f>IF(OR($A109="",'04 Prices'!G109="",'04 Prices'!G110=""),"",LN('04 Prices'!G110/'04 Prices'!G109))</f>
        <v/>
      </c>
      <c r="H109" s="25">
        <f>IF(OR($A109="",'04 Prices'!H109="",'04 Prices'!H110=""),"",LN('04 Prices'!H110/'04 Prices'!H109))</f>
        <v/>
      </c>
    </row>
    <row r="110">
      <c r="A110" s="23">
        <f>IF('04 Prices'!A111="","",'04 Prices'!A111)</f>
        <v/>
      </c>
      <c r="B110" s="25">
        <f>IF(OR($A110="",'04 Prices'!B110="",'04 Prices'!B111=""),"",LN('04 Prices'!B111/'04 Prices'!B110))</f>
        <v/>
      </c>
      <c r="C110" s="25">
        <f>IF(OR($A110="",'04 Prices'!C110="",'04 Prices'!C111=""),"",LN('04 Prices'!C111/'04 Prices'!C110))</f>
        <v/>
      </c>
      <c r="D110" s="25">
        <f>IF(OR($A110="",'04 Prices'!D110="",'04 Prices'!D111=""),"",LN('04 Prices'!D111/'04 Prices'!D110))</f>
        <v/>
      </c>
      <c r="E110" s="25">
        <f>IF(OR($A110="",'04 Prices'!E110="",'04 Prices'!E111=""),"",LN('04 Prices'!E111/'04 Prices'!E110))</f>
        <v/>
      </c>
      <c r="F110" s="25">
        <f>IF(OR($A110="",'04 Prices'!F110="",'04 Prices'!F111=""),"",LN('04 Prices'!F111/'04 Prices'!F110))</f>
        <v/>
      </c>
      <c r="G110" s="25">
        <f>IF(OR($A110="",'04 Prices'!G110="",'04 Prices'!G111=""),"",LN('04 Prices'!G111/'04 Prices'!G110))</f>
        <v/>
      </c>
      <c r="H110" s="25">
        <f>IF(OR($A110="",'04 Prices'!H110="",'04 Prices'!H111=""),"",LN('04 Prices'!H111/'04 Prices'!H110))</f>
        <v/>
      </c>
    </row>
    <row r="111">
      <c r="A111" s="23">
        <f>IF('04 Prices'!A112="","",'04 Prices'!A112)</f>
        <v/>
      </c>
      <c r="B111" s="25">
        <f>IF(OR($A111="",'04 Prices'!B111="",'04 Prices'!B112=""),"",LN('04 Prices'!B112/'04 Prices'!B111))</f>
        <v/>
      </c>
      <c r="C111" s="25">
        <f>IF(OR($A111="",'04 Prices'!C111="",'04 Prices'!C112=""),"",LN('04 Prices'!C112/'04 Prices'!C111))</f>
        <v/>
      </c>
      <c r="D111" s="25">
        <f>IF(OR($A111="",'04 Prices'!D111="",'04 Prices'!D112=""),"",LN('04 Prices'!D112/'04 Prices'!D111))</f>
        <v/>
      </c>
      <c r="E111" s="25">
        <f>IF(OR($A111="",'04 Prices'!E111="",'04 Prices'!E112=""),"",LN('04 Prices'!E112/'04 Prices'!E111))</f>
        <v/>
      </c>
      <c r="F111" s="25">
        <f>IF(OR($A111="",'04 Prices'!F111="",'04 Prices'!F112=""),"",LN('04 Prices'!F112/'04 Prices'!F111))</f>
        <v/>
      </c>
      <c r="G111" s="25">
        <f>IF(OR($A111="",'04 Prices'!G111="",'04 Prices'!G112=""),"",LN('04 Prices'!G112/'04 Prices'!G111))</f>
        <v/>
      </c>
      <c r="H111" s="25">
        <f>IF(OR($A111="",'04 Prices'!H111="",'04 Prices'!H112=""),"",LN('04 Prices'!H112/'04 Prices'!H111))</f>
        <v/>
      </c>
    </row>
    <row r="112">
      <c r="A112" s="23">
        <f>IF('04 Prices'!A113="","",'04 Prices'!A113)</f>
        <v/>
      </c>
      <c r="B112" s="25">
        <f>IF(OR($A112="",'04 Prices'!B112="",'04 Prices'!B113=""),"",LN('04 Prices'!B113/'04 Prices'!B112))</f>
        <v/>
      </c>
      <c r="C112" s="25">
        <f>IF(OR($A112="",'04 Prices'!C112="",'04 Prices'!C113=""),"",LN('04 Prices'!C113/'04 Prices'!C112))</f>
        <v/>
      </c>
      <c r="D112" s="25">
        <f>IF(OR($A112="",'04 Prices'!D112="",'04 Prices'!D113=""),"",LN('04 Prices'!D113/'04 Prices'!D112))</f>
        <v/>
      </c>
      <c r="E112" s="25">
        <f>IF(OR($A112="",'04 Prices'!E112="",'04 Prices'!E113=""),"",LN('04 Prices'!E113/'04 Prices'!E112))</f>
        <v/>
      </c>
      <c r="F112" s="25">
        <f>IF(OR($A112="",'04 Prices'!F112="",'04 Prices'!F113=""),"",LN('04 Prices'!F113/'04 Prices'!F112))</f>
        <v/>
      </c>
      <c r="G112" s="25">
        <f>IF(OR($A112="",'04 Prices'!G112="",'04 Prices'!G113=""),"",LN('04 Prices'!G113/'04 Prices'!G112))</f>
        <v/>
      </c>
      <c r="H112" s="25">
        <f>IF(OR($A112="",'04 Prices'!H112="",'04 Prices'!H113=""),"",LN('04 Prices'!H113/'04 Prices'!H112))</f>
        <v/>
      </c>
    </row>
    <row r="113">
      <c r="A113" s="23">
        <f>IF('04 Prices'!A114="","",'04 Prices'!A114)</f>
        <v/>
      </c>
      <c r="B113" s="25">
        <f>IF(OR($A113="",'04 Prices'!B113="",'04 Prices'!B114=""),"",LN('04 Prices'!B114/'04 Prices'!B113))</f>
        <v/>
      </c>
      <c r="C113" s="25">
        <f>IF(OR($A113="",'04 Prices'!C113="",'04 Prices'!C114=""),"",LN('04 Prices'!C114/'04 Prices'!C113))</f>
        <v/>
      </c>
      <c r="D113" s="25">
        <f>IF(OR($A113="",'04 Prices'!D113="",'04 Prices'!D114=""),"",LN('04 Prices'!D114/'04 Prices'!D113))</f>
        <v/>
      </c>
      <c r="E113" s="25">
        <f>IF(OR($A113="",'04 Prices'!E113="",'04 Prices'!E114=""),"",LN('04 Prices'!E114/'04 Prices'!E113))</f>
        <v/>
      </c>
      <c r="F113" s="25">
        <f>IF(OR($A113="",'04 Prices'!F113="",'04 Prices'!F114=""),"",LN('04 Prices'!F114/'04 Prices'!F113))</f>
        <v/>
      </c>
      <c r="G113" s="25">
        <f>IF(OR($A113="",'04 Prices'!G113="",'04 Prices'!G114=""),"",LN('04 Prices'!G114/'04 Prices'!G113))</f>
        <v/>
      </c>
      <c r="H113" s="25">
        <f>IF(OR($A113="",'04 Prices'!H113="",'04 Prices'!H114=""),"",LN('04 Prices'!H114/'04 Prices'!H113))</f>
        <v/>
      </c>
    </row>
    <row r="114">
      <c r="A114" s="23">
        <f>IF('04 Prices'!A115="","",'04 Prices'!A115)</f>
        <v/>
      </c>
      <c r="B114" s="25">
        <f>IF(OR($A114="",'04 Prices'!B114="",'04 Prices'!B115=""),"",LN('04 Prices'!B115/'04 Prices'!B114))</f>
        <v/>
      </c>
      <c r="C114" s="25">
        <f>IF(OR($A114="",'04 Prices'!C114="",'04 Prices'!C115=""),"",LN('04 Prices'!C115/'04 Prices'!C114))</f>
        <v/>
      </c>
      <c r="D114" s="25">
        <f>IF(OR($A114="",'04 Prices'!D114="",'04 Prices'!D115=""),"",LN('04 Prices'!D115/'04 Prices'!D114))</f>
        <v/>
      </c>
      <c r="E114" s="25">
        <f>IF(OR($A114="",'04 Prices'!E114="",'04 Prices'!E115=""),"",LN('04 Prices'!E115/'04 Prices'!E114))</f>
        <v/>
      </c>
      <c r="F114" s="25">
        <f>IF(OR($A114="",'04 Prices'!F114="",'04 Prices'!F115=""),"",LN('04 Prices'!F115/'04 Prices'!F114))</f>
        <v/>
      </c>
      <c r="G114" s="25">
        <f>IF(OR($A114="",'04 Prices'!G114="",'04 Prices'!G115=""),"",LN('04 Prices'!G115/'04 Prices'!G114))</f>
        <v/>
      </c>
      <c r="H114" s="25">
        <f>IF(OR($A114="",'04 Prices'!H114="",'04 Prices'!H115=""),"",LN('04 Prices'!H115/'04 Prices'!H114))</f>
        <v/>
      </c>
    </row>
    <row r="115">
      <c r="A115" s="23">
        <f>IF('04 Prices'!A116="","",'04 Prices'!A116)</f>
        <v/>
      </c>
      <c r="B115" s="25">
        <f>IF(OR($A115="",'04 Prices'!B115="",'04 Prices'!B116=""),"",LN('04 Prices'!B116/'04 Prices'!B115))</f>
        <v/>
      </c>
      <c r="C115" s="25">
        <f>IF(OR($A115="",'04 Prices'!C115="",'04 Prices'!C116=""),"",LN('04 Prices'!C116/'04 Prices'!C115))</f>
        <v/>
      </c>
      <c r="D115" s="25">
        <f>IF(OR($A115="",'04 Prices'!D115="",'04 Prices'!D116=""),"",LN('04 Prices'!D116/'04 Prices'!D115))</f>
        <v/>
      </c>
      <c r="E115" s="25">
        <f>IF(OR($A115="",'04 Prices'!E115="",'04 Prices'!E116=""),"",LN('04 Prices'!E116/'04 Prices'!E115))</f>
        <v/>
      </c>
      <c r="F115" s="25">
        <f>IF(OR($A115="",'04 Prices'!F115="",'04 Prices'!F116=""),"",LN('04 Prices'!F116/'04 Prices'!F115))</f>
        <v/>
      </c>
      <c r="G115" s="25">
        <f>IF(OR($A115="",'04 Prices'!G115="",'04 Prices'!G116=""),"",LN('04 Prices'!G116/'04 Prices'!G115))</f>
        <v/>
      </c>
      <c r="H115" s="25">
        <f>IF(OR($A115="",'04 Prices'!H115="",'04 Prices'!H116=""),"",LN('04 Prices'!H116/'04 Prices'!H115))</f>
        <v/>
      </c>
    </row>
    <row r="116">
      <c r="A116" s="23">
        <f>IF('04 Prices'!A117="","",'04 Prices'!A117)</f>
        <v/>
      </c>
      <c r="B116" s="25">
        <f>IF(OR($A116="",'04 Prices'!B116="",'04 Prices'!B117=""),"",LN('04 Prices'!B117/'04 Prices'!B116))</f>
        <v/>
      </c>
      <c r="C116" s="25">
        <f>IF(OR($A116="",'04 Prices'!C116="",'04 Prices'!C117=""),"",LN('04 Prices'!C117/'04 Prices'!C116))</f>
        <v/>
      </c>
      <c r="D116" s="25">
        <f>IF(OR($A116="",'04 Prices'!D116="",'04 Prices'!D117=""),"",LN('04 Prices'!D117/'04 Prices'!D116))</f>
        <v/>
      </c>
      <c r="E116" s="25">
        <f>IF(OR($A116="",'04 Prices'!E116="",'04 Prices'!E117=""),"",LN('04 Prices'!E117/'04 Prices'!E116))</f>
        <v/>
      </c>
      <c r="F116" s="25">
        <f>IF(OR($A116="",'04 Prices'!F116="",'04 Prices'!F117=""),"",LN('04 Prices'!F117/'04 Prices'!F116))</f>
        <v/>
      </c>
      <c r="G116" s="25">
        <f>IF(OR($A116="",'04 Prices'!G116="",'04 Prices'!G117=""),"",LN('04 Prices'!G117/'04 Prices'!G116))</f>
        <v/>
      </c>
      <c r="H116" s="25">
        <f>IF(OR($A116="",'04 Prices'!H116="",'04 Prices'!H117=""),"",LN('04 Prices'!H117/'04 Prices'!H116))</f>
        <v/>
      </c>
    </row>
    <row r="117">
      <c r="A117" s="23">
        <f>IF('04 Prices'!A118="","",'04 Prices'!A118)</f>
        <v/>
      </c>
      <c r="B117" s="25">
        <f>IF(OR($A117="",'04 Prices'!B117="",'04 Prices'!B118=""),"",LN('04 Prices'!B118/'04 Prices'!B117))</f>
        <v/>
      </c>
      <c r="C117" s="25">
        <f>IF(OR($A117="",'04 Prices'!C117="",'04 Prices'!C118=""),"",LN('04 Prices'!C118/'04 Prices'!C117))</f>
        <v/>
      </c>
      <c r="D117" s="25">
        <f>IF(OR($A117="",'04 Prices'!D117="",'04 Prices'!D118=""),"",LN('04 Prices'!D118/'04 Prices'!D117))</f>
        <v/>
      </c>
      <c r="E117" s="25">
        <f>IF(OR($A117="",'04 Prices'!E117="",'04 Prices'!E118=""),"",LN('04 Prices'!E118/'04 Prices'!E117))</f>
        <v/>
      </c>
      <c r="F117" s="25">
        <f>IF(OR($A117="",'04 Prices'!F117="",'04 Prices'!F118=""),"",LN('04 Prices'!F118/'04 Prices'!F117))</f>
        <v/>
      </c>
      <c r="G117" s="25">
        <f>IF(OR($A117="",'04 Prices'!G117="",'04 Prices'!G118=""),"",LN('04 Prices'!G118/'04 Prices'!G117))</f>
        <v/>
      </c>
      <c r="H117" s="25">
        <f>IF(OR($A117="",'04 Prices'!H117="",'04 Prices'!H118=""),"",LN('04 Prices'!H118/'04 Prices'!H117))</f>
        <v/>
      </c>
    </row>
    <row r="118">
      <c r="A118" s="23">
        <f>IF('04 Prices'!A119="","",'04 Prices'!A119)</f>
        <v/>
      </c>
      <c r="B118" s="25">
        <f>IF(OR($A118="",'04 Prices'!B118="",'04 Prices'!B119=""),"",LN('04 Prices'!B119/'04 Prices'!B118))</f>
        <v/>
      </c>
      <c r="C118" s="25">
        <f>IF(OR($A118="",'04 Prices'!C118="",'04 Prices'!C119=""),"",LN('04 Prices'!C119/'04 Prices'!C118))</f>
        <v/>
      </c>
      <c r="D118" s="25">
        <f>IF(OR($A118="",'04 Prices'!D118="",'04 Prices'!D119=""),"",LN('04 Prices'!D119/'04 Prices'!D118))</f>
        <v/>
      </c>
      <c r="E118" s="25">
        <f>IF(OR($A118="",'04 Prices'!E118="",'04 Prices'!E119=""),"",LN('04 Prices'!E119/'04 Prices'!E118))</f>
        <v/>
      </c>
      <c r="F118" s="25">
        <f>IF(OR($A118="",'04 Prices'!F118="",'04 Prices'!F119=""),"",LN('04 Prices'!F119/'04 Prices'!F118))</f>
        <v/>
      </c>
      <c r="G118" s="25">
        <f>IF(OR($A118="",'04 Prices'!G118="",'04 Prices'!G119=""),"",LN('04 Prices'!G119/'04 Prices'!G118))</f>
        <v/>
      </c>
      <c r="H118" s="25">
        <f>IF(OR($A118="",'04 Prices'!H118="",'04 Prices'!H119=""),"",LN('04 Prices'!H119/'04 Prices'!H118))</f>
        <v/>
      </c>
    </row>
    <row r="119">
      <c r="A119" s="23">
        <f>IF('04 Prices'!A120="","",'04 Prices'!A120)</f>
        <v/>
      </c>
      <c r="B119" s="25">
        <f>IF(OR($A119="",'04 Prices'!B119="",'04 Prices'!B120=""),"",LN('04 Prices'!B120/'04 Prices'!B119))</f>
        <v/>
      </c>
      <c r="C119" s="25">
        <f>IF(OR($A119="",'04 Prices'!C119="",'04 Prices'!C120=""),"",LN('04 Prices'!C120/'04 Prices'!C119))</f>
        <v/>
      </c>
      <c r="D119" s="25">
        <f>IF(OR($A119="",'04 Prices'!D119="",'04 Prices'!D120=""),"",LN('04 Prices'!D120/'04 Prices'!D119))</f>
        <v/>
      </c>
      <c r="E119" s="25">
        <f>IF(OR($A119="",'04 Prices'!E119="",'04 Prices'!E120=""),"",LN('04 Prices'!E120/'04 Prices'!E119))</f>
        <v/>
      </c>
      <c r="F119" s="25">
        <f>IF(OR($A119="",'04 Prices'!F119="",'04 Prices'!F120=""),"",LN('04 Prices'!F120/'04 Prices'!F119))</f>
        <v/>
      </c>
      <c r="G119" s="25">
        <f>IF(OR($A119="",'04 Prices'!G119="",'04 Prices'!G120=""),"",LN('04 Prices'!G120/'04 Prices'!G119))</f>
        <v/>
      </c>
      <c r="H119" s="25">
        <f>IF(OR($A119="",'04 Prices'!H119="",'04 Prices'!H120=""),"",LN('04 Prices'!H120/'04 Prices'!H119))</f>
        <v/>
      </c>
    </row>
    <row r="120">
      <c r="A120" s="23">
        <f>IF('04 Prices'!A121="","",'04 Prices'!A121)</f>
        <v/>
      </c>
      <c r="B120" s="25">
        <f>IF(OR($A120="",'04 Prices'!B120="",'04 Prices'!B121=""),"",LN('04 Prices'!B121/'04 Prices'!B120))</f>
        <v/>
      </c>
      <c r="C120" s="25">
        <f>IF(OR($A120="",'04 Prices'!C120="",'04 Prices'!C121=""),"",LN('04 Prices'!C121/'04 Prices'!C120))</f>
        <v/>
      </c>
      <c r="D120" s="25">
        <f>IF(OR($A120="",'04 Prices'!D120="",'04 Prices'!D121=""),"",LN('04 Prices'!D121/'04 Prices'!D120))</f>
        <v/>
      </c>
      <c r="E120" s="25">
        <f>IF(OR($A120="",'04 Prices'!E120="",'04 Prices'!E121=""),"",LN('04 Prices'!E121/'04 Prices'!E120))</f>
        <v/>
      </c>
      <c r="F120" s="25">
        <f>IF(OR($A120="",'04 Prices'!F120="",'04 Prices'!F121=""),"",LN('04 Prices'!F121/'04 Prices'!F120))</f>
        <v/>
      </c>
      <c r="G120" s="25">
        <f>IF(OR($A120="",'04 Prices'!G120="",'04 Prices'!G121=""),"",LN('04 Prices'!G121/'04 Prices'!G120))</f>
        <v/>
      </c>
      <c r="H120" s="25">
        <f>IF(OR($A120="",'04 Prices'!H120="",'04 Prices'!H121=""),"",LN('04 Prices'!H121/'04 Prices'!H120))</f>
        <v/>
      </c>
    </row>
    <row r="121">
      <c r="A121" s="23">
        <f>IF('04 Prices'!A122="","",'04 Prices'!A122)</f>
        <v/>
      </c>
      <c r="B121" s="25">
        <f>IF(OR($A121="",'04 Prices'!B121="",'04 Prices'!B122=""),"",LN('04 Prices'!B122/'04 Prices'!B121))</f>
        <v/>
      </c>
      <c r="C121" s="25">
        <f>IF(OR($A121="",'04 Prices'!C121="",'04 Prices'!C122=""),"",LN('04 Prices'!C122/'04 Prices'!C121))</f>
        <v/>
      </c>
      <c r="D121" s="25">
        <f>IF(OR($A121="",'04 Prices'!D121="",'04 Prices'!D122=""),"",LN('04 Prices'!D122/'04 Prices'!D121))</f>
        <v/>
      </c>
      <c r="E121" s="25">
        <f>IF(OR($A121="",'04 Prices'!E121="",'04 Prices'!E122=""),"",LN('04 Prices'!E122/'04 Prices'!E121))</f>
        <v/>
      </c>
      <c r="F121" s="25">
        <f>IF(OR($A121="",'04 Prices'!F121="",'04 Prices'!F122=""),"",LN('04 Prices'!F122/'04 Prices'!F121))</f>
        <v/>
      </c>
      <c r="G121" s="25">
        <f>IF(OR($A121="",'04 Prices'!G121="",'04 Prices'!G122=""),"",LN('04 Prices'!G122/'04 Prices'!G121))</f>
        <v/>
      </c>
      <c r="H121" s="25">
        <f>IF(OR($A121="",'04 Prices'!H121="",'04 Prices'!H122=""),"",LN('04 Prices'!H122/'04 Prices'!H121))</f>
        <v/>
      </c>
    </row>
    <row r="122">
      <c r="A122" s="23">
        <f>IF('04 Prices'!A123="","",'04 Prices'!A123)</f>
        <v/>
      </c>
      <c r="B122" s="25">
        <f>IF(OR($A122="",'04 Prices'!B122="",'04 Prices'!B123=""),"",LN('04 Prices'!B123/'04 Prices'!B122))</f>
        <v/>
      </c>
      <c r="C122" s="25">
        <f>IF(OR($A122="",'04 Prices'!C122="",'04 Prices'!C123=""),"",LN('04 Prices'!C123/'04 Prices'!C122))</f>
        <v/>
      </c>
      <c r="D122" s="25">
        <f>IF(OR($A122="",'04 Prices'!D122="",'04 Prices'!D123=""),"",LN('04 Prices'!D123/'04 Prices'!D122))</f>
        <v/>
      </c>
      <c r="E122" s="25">
        <f>IF(OR($A122="",'04 Prices'!E122="",'04 Prices'!E123=""),"",LN('04 Prices'!E123/'04 Prices'!E122))</f>
        <v/>
      </c>
      <c r="F122" s="25">
        <f>IF(OR($A122="",'04 Prices'!F122="",'04 Prices'!F123=""),"",LN('04 Prices'!F123/'04 Prices'!F122))</f>
        <v/>
      </c>
      <c r="G122" s="25">
        <f>IF(OR($A122="",'04 Prices'!G122="",'04 Prices'!G123=""),"",LN('04 Prices'!G123/'04 Prices'!G122))</f>
        <v/>
      </c>
      <c r="H122" s="25">
        <f>IF(OR($A122="",'04 Prices'!H122="",'04 Prices'!H123=""),"",LN('04 Prices'!H123/'04 Prices'!H122))</f>
        <v/>
      </c>
    </row>
    <row r="123">
      <c r="A123" s="23">
        <f>IF('04 Prices'!A124="","",'04 Prices'!A124)</f>
        <v/>
      </c>
      <c r="B123" s="25">
        <f>IF(OR($A123="",'04 Prices'!B123="",'04 Prices'!B124=""),"",LN('04 Prices'!B124/'04 Prices'!B123))</f>
        <v/>
      </c>
      <c r="C123" s="25">
        <f>IF(OR($A123="",'04 Prices'!C123="",'04 Prices'!C124=""),"",LN('04 Prices'!C124/'04 Prices'!C123))</f>
        <v/>
      </c>
      <c r="D123" s="25">
        <f>IF(OR($A123="",'04 Prices'!D123="",'04 Prices'!D124=""),"",LN('04 Prices'!D124/'04 Prices'!D123))</f>
        <v/>
      </c>
      <c r="E123" s="25">
        <f>IF(OR($A123="",'04 Prices'!E123="",'04 Prices'!E124=""),"",LN('04 Prices'!E124/'04 Prices'!E123))</f>
        <v/>
      </c>
      <c r="F123" s="25">
        <f>IF(OR($A123="",'04 Prices'!F123="",'04 Prices'!F124=""),"",LN('04 Prices'!F124/'04 Prices'!F123))</f>
        <v/>
      </c>
      <c r="G123" s="25">
        <f>IF(OR($A123="",'04 Prices'!G123="",'04 Prices'!G124=""),"",LN('04 Prices'!G124/'04 Prices'!G123))</f>
        <v/>
      </c>
      <c r="H123" s="25">
        <f>IF(OR($A123="",'04 Prices'!H123="",'04 Prices'!H124=""),"",LN('04 Prices'!H124/'04 Prices'!H123))</f>
        <v/>
      </c>
    </row>
    <row r="124">
      <c r="A124" s="23">
        <f>IF('04 Prices'!A125="","",'04 Prices'!A125)</f>
        <v/>
      </c>
      <c r="B124" s="25">
        <f>IF(OR($A124="",'04 Prices'!B124="",'04 Prices'!B125=""),"",LN('04 Prices'!B125/'04 Prices'!B124))</f>
        <v/>
      </c>
      <c r="C124" s="25">
        <f>IF(OR($A124="",'04 Prices'!C124="",'04 Prices'!C125=""),"",LN('04 Prices'!C125/'04 Prices'!C124))</f>
        <v/>
      </c>
      <c r="D124" s="25">
        <f>IF(OR($A124="",'04 Prices'!D124="",'04 Prices'!D125=""),"",LN('04 Prices'!D125/'04 Prices'!D124))</f>
        <v/>
      </c>
      <c r="E124" s="25">
        <f>IF(OR($A124="",'04 Prices'!E124="",'04 Prices'!E125=""),"",LN('04 Prices'!E125/'04 Prices'!E124))</f>
        <v/>
      </c>
      <c r="F124" s="25">
        <f>IF(OR($A124="",'04 Prices'!F124="",'04 Prices'!F125=""),"",LN('04 Prices'!F125/'04 Prices'!F124))</f>
        <v/>
      </c>
      <c r="G124" s="25">
        <f>IF(OR($A124="",'04 Prices'!G124="",'04 Prices'!G125=""),"",LN('04 Prices'!G125/'04 Prices'!G124))</f>
        <v/>
      </c>
      <c r="H124" s="25">
        <f>IF(OR($A124="",'04 Prices'!H124="",'04 Prices'!H125=""),"",LN('04 Prices'!H125/'04 Prices'!H124))</f>
        <v/>
      </c>
    </row>
    <row r="125">
      <c r="A125" s="23">
        <f>IF('04 Prices'!A126="","",'04 Prices'!A126)</f>
        <v/>
      </c>
      <c r="B125" s="25">
        <f>IF(OR($A125="",'04 Prices'!B125="",'04 Prices'!B126=""),"",LN('04 Prices'!B126/'04 Prices'!B125))</f>
        <v/>
      </c>
      <c r="C125" s="25">
        <f>IF(OR($A125="",'04 Prices'!C125="",'04 Prices'!C126=""),"",LN('04 Prices'!C126/'04 Prices'!C125))</f>
        <v/>
      </c>
      <c r="D125" s="25">
        <f>IF(OR($A125="",'04 Prices'!D125="",'04 Prices'!D126=""),"",LN('04 Prices'!D126/'04 Prices'!D125))</f>
        <v/>
      </c>
      <c r="E125" s="25">
        <f>IF(OR($A125="",'04 Prices'!E125="",'04 Prices'!E126=""),"",LN('04 Prices'!E126/'04 Prices'!E125))</f>
        <v/>
      </c>
      <c r="F125" s="25">
        <f>IF(OR($A125="",'04 Prices'!F125="",'04 Prices'!F126=""),"",LN('04 Prices'!F126/'04 Prices'!F125))</f>
        <v/>
      </c>
      <c r="G125" s="25">
        <f>IF(OR($A125="",'04 Prices'!G125="",'04 Prices'!G126=""),"",LN('04 Prices'!G126/'04 Prices'!G125))</f>
        <v/>
      </c>
      <c r="H125" s="25">
        <f>IF(OR($A125="",'04 Prices'!H125="",'04 Prices'!H126=""),"",LN('04 Prices'!H126/'04 Prices'!H125))</f>
        <v/>
      </c>
    </row>
    <row r="126">
      <c r="A126" s="23">
        <f>IF('04 Prices'!A127="","",'04 Prices'!A127)</f>
        <v/>
      </c>
      <c r="B126" s="25">
        <f>IF(OR($A126="",'04 Prices'!B126="",'04 Prices'!B127=""),"",LN('04 Prices'!B127/'04 Prices'!B126))</f>
        <v/>
      </c>
      <c r="C126" s="25">
        <f>IF(OR($A126="",'04 Prices'!C126="",'04 Prices'!C127=""),"",LN('04 Prices'!C127/'04 Prices'!C126))</f>
        <v/>
      </c>
      <c r="D126" s="25">
        <f>IF(OR($A126="",'04 Prices'!D126="",'04 Prices'!D127=""),"",LN('04 Prices'!D127/'04 Prices'!D126))</f>
        <v/>
      </c>
      <c r="E126" s="25">
        <f>IF(OR($A126="",'04 Prices'!E126="",'04 Prices'!E127=""),"",LN('04 Prices'!E127/'04 Prices'!E126))</f>
        <v/>
      </c>
      <c r="F126" s="25">
        <f>IF(OR($A126="",'04 Prices'!F126="",'04 Prices'!F127=""),"",LN('04 Prices'!F127/'04 Prices'!F126))</f>
        <v/>
      </c>
      <c r="G126" s="25">
        <f>IF(OR($A126="",'04 Prices'!G126="",'04 Prices'!G127=""),"",LN('04 Prices'!G127/'04 Prices'!G126))</f>
        <v/>
      </c>
      <c r="H126" s="25">
        <f>IF(OR($A126="",'04 Prices'!H126="",'04 Prices'!H127=""),"",LN('04 Prices'!H127/'04 Prices'!H126))</f>
        <v/>
      </c>
    </row>
    <row r="127">
      <c r="A127" s="23">
        <f>IF('04 Prices'!A128="","",'04 Prices'!A128)</f>
        <v/>
      </c>
      <c r="B127" s="25">
        <f>IF(OR($A127="",'04 Prices'!B127="",'04 Prices'!B128=""),"",LN('04 Prices'!B128/'04 Prices'!B127))</f>
        <v/>
      </c>
      <c r="C127" s="25">
        <f>IF(OR($A127="",'04 Prices'!C127="",'04 Prices'!C128=""),"",LN('04 Prices'!C128/'04 Prices'!C127))</f>
        <v/>
      </c>
      <c r="D127" s="25">
        <f>IF(OR($A127="",'04 Prices'!D127="",'04 Prices'!D128=""),"",LN('04 Prices'!D128/'04 Prices'!D127))</f>
        <v/>
      </c>
      <c r="E127" s="25">
        <f>IF(OR($A127="",'04 Prices'!E127="",'04 Prices'!E128=""),"",LN('04 Prices'!E128/'04 Prices'!E127))</f>
        <v/>
      </c>
      <c r="F127" s="25">
        <f>IF(OR($A127="",'04 Prices'!F127="",'04 Prices'!F128=""),"",LN('04 Prices'!F128/'04 Prices'!F127))</f>
        <v/>
      </c>
      <c r="G127" s="25">
        <f>IF(OR($A127="",'04 Prices'!G127="",'04 Prices'!G128=""),"",LN('04 Prices'!G128/'04 Prices'!G127))</f>
        <v/>
      </c>
      <c r="H127" s="25">
        <f>IF(OR($A127="",'04 Prices'!H127="",'04 Prices'!H128=""),"",LN('04 Prices'!H128/'04 Prices'!H127))</f>
        <v/>
      </c>
    </row>
    <row r="128">
      <c r="A128" s="23">
        <f>IF('04 Prices'!A129="","",'04 Prices'!A129)</f>
        <v/>
      </c>
      <c r="B128" s="25">
        <f>IF(OR($A128="",'04 Prices'!B128="",'04 Prices'!B129=""),"",LN('04 Prices'!B129/'04 Prices'!B128))</f>
        <v/>
      </c>
      <c r="C128" s="25">
        <f>IF(OR($A128="",'04 Prices'!C128="",'04 Prices'!C129=""),"",LN('04 Prices'!C129/'04 Prices'!C128))</f>
        <v/>
      </c>
      <c r="D128" s="25">
        <f>IF(OR($A128="",'04 Prices'!D128="",'04 Prices'!D129=""),"",LN('04 Prices'!D129/'04 Prices'!D128))</f>
        <v/>
      </c>
      <c r="E128" s="25">
        <f>IF(OR($A128="",'04 Prices'!E128="",'04 Prices'!E129=""),"",LN('04 Prices'!E129/'04 Prices'!E128))</f>
        <v/>
      </c>
      <c r="F128" s="25">
        <f>IF(OR($A128="",'04 Prices'!F128="",'04 Prices'!F129=""),"",LN('04 Prices'!F129/'04 Prices'!F128))</f>
        <v/>
      </c>
      <c r="G128" s="25">
        <f>IF(OR($A128="",'04 Prices'!G128="",'04 Prices'!G129=""),"",LN('04 Prices'!G129/'04 Prices'!G128))</f>
        <v/>
      </c>
      <c r="H128" s="25">
        <f>IF(OR($A128="",'04 Prices'!H128="",'04 Prices'!H129=""),"",LN('04 Prices'!H129/'04 Prices'!H128))</f>
        <v/>
      </c>
    </row>
    <row r="129">
      <c r="A129" s="23">
        <f>IF('04 Prices'!A130="","",'04 Prices'!A130)</f>
        <v/>
      </c>
      <c r="B129" s="25">
        <f>IF(OR($A129="",'04 Prices'!B129="",'04 Prices'!B130=""),"",LN('04 Prices'!B130/'04 Prices'!B129))</f>
        <v/>
      </c>
      <c r="C129" s="25">
        <f>IF(OR($A129="",'04 Prices'!C129="",'04 Prices'!C130=""),"",LN('04 Prices'!C130/'04 Prices'!C129))</f>
        <v/>
      </c>
      <c r="D129" s="25">
        <f>IF(OR($A129="",'04 Prices'!D129="",'04 Prices'!D130=""),"",LN('04 Prices'!D130/'04 Prices'!D129))</f>
        <v/>
      </c>
      <c r="E129" s="25">
        <f>IF(OR($A129="",'04 Prices'!E129="",'04 Prices'!E130=""),"",LN('04 Prices'!E130/'04 Prices'!E129))</f>
        <v/>
      </c>
      <c r="F129" s="25">
        <f>IF(OR($A129="",'04 Prices'!F129="",'04 Prices'!F130=""),"",LN('04 Prices'!F130/'04 Prices'!F129))</f>
        <v/>
      </c>
      <c r="G129" s="25">
        <f>IF(OR($A129="",'04 Prices'!G129="",'04 Prices'!G130=""),"",LN('04 Prices'!G130/'04 Prices'!G129))</f>
        <v/>
      </c>
      <c r="H129" s="25">
        <f>IF(OR($A129="",'04 Prices'!H129="",'04 Prices'!H130=""),"",LN('04 Prices'!H130/'04 Prices'!H129))</f>
        <v/>
      </c>
    </row>
    <row r="130">
      <c r="A130" s="23">
        <f>IF('04 Prices'!A131="","",'04 Prices'!A131)</f>
        <v/>
      </c>
      <c r="B130" s="25">
        <f>IF(OR($A130="",'04 Prices'!B130="",'04 Prices'!B131=""),"",LN('04 Prices'!B131/'04 Prices'!B130))</f>
        <v/>
      </c>
      <c r="C130" s="25">
        <f>IF(OR($A130="",'04 Prices'!C130="",'04 Prices'!C131=""),"",LN('04 Prices'!C131/'04 Prices'!C130))</f>
        <v/>
      </c>
      <c r="D130" s="25">
        <f>IF(OR($A130="",'04 Prices'!D130="",'04 Prices'!D131=""),"",LN('04 Prices'!D131/'04 Prices'!D130))</f>
        <v/>
      </c>
      <c r="E130" s="25">
        <f>IF(OR($A130="",'04 Prices'!E130="",'04 Prices'!E131=""),"",LN('04 Prices'!E131/'04 Prices'!E130))</f>
        <v/>
      </c>
      <c r="F130" s="25">
        <f>IF(OR($A130="",'04 Prices'!F130="",'04 Prices'!F131=""),"",LN('04 Prices'!F131/'04 Prices'!F130))</f>
        <v/>
      </c>
      <c r="G130" s="25">
        <f>IF(OR($A130="",'04 Prices'!G130="",'04 Prices'!G131=""),"",LN('04 Prices'!G131/'04 Prices'!G130))</f>
        <v/>
      </c>
      <c r="H130" s="25">
        <f>IF(OR($A130="",'04 Prices'!H130="",'04 Prices'!H131=""),"",LN('04 Prices'!H131/'04 Prices'!H130))</f>
        <v/>
      </c>
    </row>
    <row r="131">
      <c r="A131" s="23">
        <f>IF('04 Prices'!A132="","",'04 Prices'!A132)</f>
        <v/>
      </c>
      <c r="B131" s="25">
        <f>IF(OR($A131="",'04 Prices'!B131="",'04 Prices'!B132=""),"",LN('04 Prices'!B132/'04 Prices'!B131))</f>
        <v/>
      </c>
      <c r="C131" s="25">
        <f>IF(OR($A131="",'04 Prices'!C131="",'04 Prices'!C132=""),"",LN('04 Prices'!C132/'04 Prices'!C131))</f>
        <v/>
      </c>
      <c r="D131" s="25">
        <f>IF(OR($A131="",'04 Prices'!D131="",'04 Prices'!D132=""),"",LN('04 Prices'!D132/'04 Prices'!D131))</f>
        <v/>
      </c>
      <c r="E131" s="25">
        <f>IF(OR($A131="",'04 Prices'!E131="",'04 Prices'!E132=""),"",LN('04 Prices'!E132/'04 Prices'!E131))</f>
        <v/>
      </c>
      <c r="F131" s="25">
        <f>IF(OR($A131="",'04 Prices'!F131="",'04 Prices'!F132=""),"",LN('04 Prices'!F132/'04 Prices'!F131))</f>
        <v/>
      </c>
      <c r="G131" s="25">
        <f>IF(OR($A131="",'04 Prices'!G131="",'04 Prices'!G132=""),"",LN('04 Prices'!G132/'04 Prices'!G131))</f>
        <v/>
      </c>
      <c r="H131" s="25">
        <f>IF(OR($A131="",'04 Prices'!H131="",'04 Prices'!H132=""),"",LN('04 Prices'!H132/'04 Prices'!H131))</f>
        <v/>
      </c>
    </row>
    <row r="132">
      <c r="A132" s="23">
        <f>IF('04 Prices'!A133="","",'04 Prices'!A133)</f>
        <v/>
      </c>
      <c r="B132" s="25">
        <f>IF(OR($A132="",'04 Prices'!B132="",'04 Prices'!B133=""),"",LN('04 Prices'!B133/'04 Prices'!B132))</f>
        <v/>
      </c>
      <c r="C132" s="25">
        <f>IF(OR($A132="",'04 Prices'!C132="",'04 Prices'!C133=""),"",LN('04 Prices'!C133/'04 Prices'!C132))</f>
        <v/>
      </c>
      <c r="D132" s="25">
        <f>IF(OR($A132="",'04 Prices'!D132="",'04 Prices'!D133=""),"",LN('04 Prices'!D133/'04 Prices'!D132))</f>
        <v/>
      </c>
      <c r="E132" s="25">
        <f>IF(OR($A132="",'04 Prices'!E132="",'04 Prices'!E133=""),"",LN('04 Prices'!E133/'04 Prices'!E132))</f>
        <v/>
      </c>
      <c r="F132" s="25">
        <f>IF(OR($A132="",'04 Prices'!F132="",'04 Prices'!F133=""),"",LN('04 Prices'!F133/'04 Prices'!F132))</f>
        <v/>
      </c>
      <c r="G132" s="25">
        <f>IF(OR($A132="",'04 Prices'!G132="",'04 Prices'!G133=""),"",LN('04 Prices'!G133/'04 Prices'!G132))</f>
        <v/>
      </c>
      <c r="H132" s="25">
        <f>IF(OR($A132="",'04 Prices'!H132="",'04 Prices'!H133=""),"",LN('04 Prices'!H133/'04 Prices'!H132))</f>
        <v/>
      </c>
    </row>
    <row r="133">
      <c r="A133" s="23">
        <f>IF('04 Prices'!A134="","",'04 Prices'!A134)</f>
        <v/>
      </c>
      <c r="B133" s="25">
        <f>IF(OR($A133="",'04 Prices'!B133="",'04 Prices'!B134=""),"",LN('04 Prices'!B134/'04 Prices'!B133))</f>
        <v/>
      </c>
      <c r="C133" s="25">
        <f>IF(OR($A133="",'04 Prices'!C133="",'04 Prices'!C134=""),"",LN('04 Prices'!C134/'04 Prices'!C133))</f>
        <v/>
      </c>
      <c r="D133" s="25">
        <f>IF(OR($A133="",'04 Prices'!D133="",'04 Prices'!D134=""),"",LN('04 Prices'!D134/'04 Prices'!D133))</f>
        <v/>
      </c>
      <c r="E133" s="25">
        <f>IF(OR($A133="",'04 Prices'!E133="",'04 Prices'!E134=""),"",LN('04 Prices'!E134/'04 Prices'!E133))</f>
        <v/>
      </c>
      <c r="F133" s="25">
        <f>IF(OR($A133="",'04 Prices'!F133="",'04 Prices'!F134=""),"",LN('04 Prices'!F134/'04 Prices'!F133))</f>
        <v/>
      </c>
      <c r="G133" s="25">
        <f>IF(OR($A133="",'04 Prices'!G133="",'04 Prices'!G134=""),"",LN('04 Prices'!G134/'04 Prices'!G133))</f>
        <v/>
      </c>
      <c r="H133" s="25">
        <f>IF(OR($A133="",'04 Prices'!H133="",'04 Prices'!H134=""),"",LN('04 Prices'!H134/'04 Prices'!H133))</f>
        <v/>
      </c>
    </row>
    <row r="134">
      <c r="A134" s="23">
        <f>IF('04 Prices'!A135="","",'04 Prices'!A135)</f>
        <v/>
      </c>
      <c r="B134" s="25">
        <f>IF(OR($A134="",'04 Prices'!B134="",'04 Prices'!B135=""),"",LN('04 Prices'!B135/'04 Prices'!B134))</f>
        <v/>
      </c>
      <c r="C134" s="25">
        <f>IF(OR($A134="",'04 Prices'!C134="",'04 Prices'!C135=""),"",LN('04 Prices'!C135/'04 Prices'!C134))</f>
        <v/>
      </c>
      <c r="D134" s="25">
        <f>IF(OR($A134="",'04 Prices'!D134="",'04 Prices'!D135=""),"",LN('04 Prices'!D135/'04 Prices'!D134))</f>
        <v/>
      </c>
      <c r="E134" s="25">
        <f>IF(OR($A134="",'04 Prices'!E134="",'04 Prices'!E135=""),"",LN('04 Prices'!E135/'04 Prices'!E134))</f>
        <v/>
      </c>
      <c r="F134" s="25">
        <f>IF(OR($A134="",'04 Prices'!F134="",'04 Prices'!F135=""),"",LN('04 Prices'!F135/'04 Prices'!F134))</f>
        <v/>
      </c>
      <c r="G134" s="25">
        <f>IF(OR($A134="",'04 Prices'!G134="",'04 Prices'!G135=""),"",LN('04 Prices'!G135/'04 Prices'!G134))</f>
        <v/>
      </c>
      <c r="H134" s="25">
        <f>IF(OR($A134="",'04 Prices'!H134="",'04 Prices'!H135=""),"",LN('04 Prices'!H135/'04 Prices'!H134))</f>
        <v/>
      </c>
    </row>
    <row r="135">
      <c r="A135" s="23">
        <f>IF('04 Prices'!A136="","",'04 Prices'!A136)</f>
        <v/>
      </c>
      <c r="B135" s="25">
        <f>IF(OR($A135="",'04 Prices'!B135="",'04 Prices'!B136=""),"",LN('04 Prices'!B136/'04 Prices'!B135))</f>
        <v/>
      </c>
      <c r="C135" s="25">
        <f>IF(OR($A135="",'04 Prices'!C135="",'04 Prices'!C136=""),"",LN('04 Prices'!C136/'04 Prices'!C135))</f>
        <v/>
      </c>
      <c r="D135" s="25">
        <f>IF(OR($A135="",'04 Prices'!D135="",'04 Prices'!D136=""),"",LN('04 Prices'!D136/'04 Prices'!D135))</f>
        <v/>
      </c>
      <c r="E135" s="25">
        <f>IF(OR($A135="",'04 Prices'!E135="",'04 Prices'!E136=""),"",LN('04 Prices'!E136/'04 Prices'!E135))</f>
        <v/>
      </c>
      <c r="F135" s="25">
        <f>IF(OR($A135="",'04 Prices'!F135="",'04 Prices'!F136=""),"",LN('04 Prices'!F136/'04 Prices'!F135))</f>
        <v/>
      </c>
      <c r="G135" s="25">
        <f>IF(OR($A135="",'04 Prices'!G135="",'04 Prices'!G136=""),"",LN('04 Prices'!G136/'04 Prices'!G135))</f>
        <v/>
      </c>
      <c r="H135" s="25">
        <f>IF(OR($A135="",'04 Prices'!H135="",'04 Prices'!H136=""),"",LN('04 Prices'!H136/'04 Prices'!H135))</f>
        <v/>
      </c>
    </row>
    <row r="136">
      <c r="A136" s="23">
        <f>IF('04 Prices'!A137="","",'04 Prices'!A137)</f>
        <v/>
      </c>
      <c r="B136" s="25">
        <f>IF(OR($A136="",'04 Prices'!B136="",'04 Prices'!B137=""),"",LN('04 Prices'!B137/'04 Prices'!B136))</f>
        <v/>
      </c>
      <c r="C136" s="25">
        <f>IF(OR($A136="",'04 Prices'!C136="",'04 Prices'!C137=""),"",LN('04 Prices'!C137/'04 Prices'!C136))</f>
        <v/>
      </c>
      <c r="D136" s="25">
        <f>IF(OR($A136="",'04 Prices'!D136="",'04 Prices'!D137=""),"",LN('04 Prices'!D137/'04 Prices'!D136))</f>
        <v/>
      </c>
      <c r="E136" s="25">
        <f>IF(OR($A136="",'04 Prices'!E136="",'04 Prices'!E137=""),"",LN('04 Prices'!E137/'04 Prices'!E136))</f>
        <v/>
      </c>
      <c r="F136" s="25">
        <f>IF(OR($A136="",'04 Prices'!F136="",'04 Prices'!F137=""),"",LN('04 Prices'!F137/'04 Prices'!F136))</f>
        <v/>
      </c>
      <c r="G136" s="25">
        <f>IF(OR($A136="",'04 Prices'!G136="",'04 Prices'!G137=""),"",LN('04 Prices'!G137/'04 Prices'!G136))</f>
        <v/>
      </c>
      <c r="H136" s="25">
        <f>IF(OR($A136="",'04 Prices'!H136="",'04 Prices'!H137=""),"",LN('04 Prices'!H137/'04 Prices'!H136))</f>
        <v/>
      </c>
    </row>
    <row r="137">
      <c r="A137" s="23">
        <f>IF('04 Prices'!A138="","",'04 Prices'!A138)</f>
        <v/>
      </c>
      <c r="B137" s="25">
        <f>IF(OR($A137="",'04 Prices'!B137="",'04 Prices'!B138=""),"",LN('04 Prices'!B138/'04 Prices'!B137))</f>
        <v/>
      </c>
      <c r="C137" s="25">
        <f>IF(OR($A137="",'04 Prices'!C137="",'04 Prices'!C138=""),"",LN('04 Prices'!C138/'04 Prices'!C137))</f>
        <v/>
      </c>
      <c r="D137" s="25">
        <f>IF(OR($A137="",'04 Prices'!D137="",'04 Prices'!D138=""),"",LN('04 Prices'!D138/'04 Prices'!D137))</f>
        <v/>
      </c>
      <c r="E137" s="25">
        <f>IF(OR($A137="",'04 Prices'!E137="",'04 Prices'!E138=""),"",LN('04 Prices'!E138/'04 Prices'!E137))</f>
        <v/>
      </c>
      <c r="F137" s="25">
        <f>IF(OR($A137="",'04 Prices'!F137="",'04 Prices'!F138=""),"",LN('04 Prices'!F138/'04 Prices'!F137))</f>
        <v/>
      </c>
      <c r="G137" s="25">
        <f>IF(OR($A137="",'04 Prices'!G137="",'04 Prices'!G138=""),"",LN('04 Prices'!G138/'04 Prices'!G137))</f>
        <v/>
      </c>
      <c r="H137" s="25">
        <f>IF(OR($A137="",'04 Prices'!H137="",'04 Prices'!H138=""),"",LN('04 Prices'!H138/'04 Prices'!H137))</f>
        <v/>
      </c>
    </row>
    <row r="138">
      <c r="A138" s="23">
        <f>IF('04 Prices'!A139="","",'04 Prices'!A139)</f>
        <v/>
      </c>
      <c r="B138" s="25">
        <f>IF(OR($A138="",'04 Prices'!B138="",'04 Prices'!B139=""),"",LN('04 Prices'!B139/'04 Prices'!B138))</f>
        <v/>
      </c>
      <c r="C138" s="25">
        <f>IF(OR($A138="",'04 Prices'!C138="",'04 Prices'!C139=""),"",LN('04 Prices'!C139/'04 Prices'!C138))</f>
        <v/>
      </c>
      <c r="D138" s="25">
        <f>IF(OR($A138="",'04 Prices'!D138="",'04 Prices'!D139=""),"",LN('04 Prices'!D139/'04 Prices'!D138))</f>
        <v/>
      </c>
      <c r="E138" s="25">
        <f>IF(OR($A138="",'04 Prices'!E138="",'04 Prices'!E139=""),"",LN('04 Prices'!E139/'04 Prices'!E138))</f>
        <v/>
      </c>
      <c r="F138" s="25">
        <f>IF(OR($A138="",'04 Prices'!F138="",'04 Prices'!F139=""),"",LN('04 Prices'!F139/'04 Prices'!F138))</f>
        <v/>
      </c>
      <c r="G138" s="25">
        <f>IF(OR($A138="",'04 Prices'!G138="",'04 Prices'!G139=""),"",LN('04 Prices'!G139/'04 Prices'!G138))</f>
        <v/>
      </c>
      <c r="H138" s="25">
        <f>IF(OR($A138="",'04 Prices'!H138="",'04 Prices'!H139=""),"",LN('04 Prices'!H139/'04 Prices'!H138))</f>
        <v/>
      </c>
    </row>
    <row r="139">
      <c r="A139" s="23">
        <f>IF('04 Prices'!A140="","",'04 Prices'!A140)</f>
        <v/>
      </c>
      <c r="B139" s="25">
        <f>IF(OR($A139="",'04 Prices'!B139="",'04 Prices'!B140=""),"",LN('04 Prices'!B140/'04 Prices'!B139))</f>
        <v/>
      </c>
      <c r="C139" s="25">
        <f>IF(OR($A139="",'04 Prices'!C139="",'04 Prices'!C140=""),"",LN('04 Prices'!C140/'04 Prices'!C139))</f>
        <v/>
      </c>
      <c r="D139" s="25">
        <f>IF(OR($A139="",'04 Prices'!D139="",'04 Prices'!D140=""),"",LN('04 Prices'!D140/'04 Prices'!D139))</f>
        <v/>
      </c>
      <c r="E139" s="25">
        <f>IF(OR($A139="",'04 Prices'!E139="",'04 Prices'!E140=""),"",LN('04 Prices'!E140/'04 Prices'!E139))</f>
        <v/>
      </c>
      <c r="F139" s="25">
        <f>IF(OR($A139="",'04 Prices'!F139="",'04 Prices'!F140=""),"",LN('04 Prices'!F140/'04 Prices'!F139))</f>
        <v/>
      </c>
      <c r="G139" s="25">
        <f>IF(OR($A139="",'04 Prices'!G139="",'04 Prices'!G140=""),"",LN('04 Prices'!G140/'04 Prices'!G139))</f>
        <v/>
      </c>
      <c r="H139" s="25">
        <f>IF(OR($A139="",'04 Prices'!H139="",'04 Prices'!H140=""),"",LN('04 Prices'!H140/'04 Prices'!H139))</f>
        <v/>
      </c>
    </row>
    <row r="140">
      <c r="A140" s="23">
        <f>IF('04 Prices'!A141="","",'04 Prices'!A141)</f>
        <v/>
      </c>
      <c r="B140" s="25">
        <f>IF(OR($A140="",'04 Prices'!B140="",'04 Prices'!B141=""),"",LN('04 Prices'!B141/'04 Prices'!B140))</f>
        <v/>
      </c>
      <c r="C140" s="25">
        <f>IF(OR($A140="",'04 Prices'!C140="",'04 Prices'!C141=""),"",LN('04 Prices'!C141/'04 Prices'!C140))</f>
        <v/>
      </c>
      <c r="D140" s="25">
        <f>IF(OR($A140="",'04 Prices'!D140="",'04 Prices'!D141=""),"",LN('04 Prices'!D141/'04 Prices'!D140))</f>
        <v/>
      </c>
      <c r="E140" s="25">
        <f>IF(OR($A140="",'04 Prices'!E140="",'04 Prices'!E141=""),"",LN('04 Prices'!E141/'04 Prices'!E140))</f>
        <v/>
      </c>
      <c r="F140" s="25">
        <f>IF(OR($A140="",'04 Prices'!F140="",'04 Prices'!F141=""),"",LN('04 Prices'!F141/'04 Prices'!F140))</f>
        <v/>
      </c>
      <c r="G140" s="25">
        <f>IF(OR($A140="",'04 Prices'!G140="",'04 Prices'!G141=""),"",LN('04 Prices'!G141/'04 Prices'!G140))</f>
        <v/>
      </c>
      <c r="H140" s="25">
        <f>IF(OR($A140="",'04 Prices'!H140="",'04 Prices'!H141=""),"",LN('04 Prices'!H141/'04 Prices'!H140))</f>
        <v/>
      </c>
    </row>
    <row r="141">
      <c r="A141" s="23">
        <f>IF('04 Prices'!A142="","",'04 Prices'!A142)</f>
        <v/>
      </c>
      <c r="B141" s="25">
        <f>IF(OR($A141="",'04 Prices'!B141="",'04 Prices'!B142=""),"",LN('04 Prices'!B142/'04 Prices'!B141))</f>
        <v/>
      </c>
      <c r="C141" s="25">
        <f>IF(OR($A141="",'04 Prices'!C141="",'04 Prices'!C142=""),"",LN('04 Prices'!C142/'04 Prices'!C141))</f>
        <v/>
      </c>
      <c r="D141" s="25">
        <f>IF(OR($A141="",'04 Prices'!D141="",'04 Prices'!D142=""),"",LN('04 Prices'!D142/'04 Prices'!D141))</f>
        <v/>
      </c>
      <c r="E141" s="25">
        <f>IF(OR($A141="",'04 Prices'!E141="",'04 Prices'!E142=""),"",LN('04 Prices'!E142/'04 Prices'!E141))</f>
        <v/>
      </c>
      <c r="F141" s="25">
        <f>IF(OR($A141="",'04 Prices'!F141="",'04 Prices'!F142=""),"",LN('04 Prices'!F142/'04 Prices'!F141))</f>
        <v/>
      </c>
      <c r="G141" s="25">
        <f>IF(OR($A141="",'04 Prices'!G141="",'04 Prices'!G142=""),"",LN('04 Prices'!G142/'04 Prices'!G141))</f>
        <v/>
      </c>
      <c r="H141" s="25">
        <f>IF(OR($A141="",'04 Prices'!H141="",'04 Prices'!H142=""),"",LN('04 Prices'!H142/'04 Prices'!H141))</f>
        <v/>
      </c>
    </row>
    <row r="142">
      <c r="A142" s="23">
        <f>IF('04 Prices'!A143="","",'04 Prices'!A143)</f>
        <v/>
      </c>
      <c r="B142" s="25">
        <f>IF(OR($A142="",'04 Prices'!B142="",'04 Prices'!B143=""),"",LN('04 Prices'!B143/'04 Prices'!B142))</f>
        <v/>
      </c>
      <c r="C142" s="25">
        <f>IF(OR($A142="",'04 Prices'!C142="",'04 Prices'!C143=""),"",LN('04 Prices'!C143/'04 Prices'!C142))</f>
        <v/>
      </c>
      <c r="D142" s="25">
        <f>IF(OR($A142="",'04 Prices'!D142="",'04 Prices'!D143=""),"",LN('04 Prices'!D143/'04 Prices'!D142))</f>
        <v/>
      </c>
      <c r="E142" s="25">
        <f>IF(OR($A142="",'04 Prices'!E142="",'04 Prices'!E143=""),"",LN('04 Prices'!E143/'04 Prices'!E142))</f>
        <v/>
      </c>
      <c r="F142" s="25">
        <f>IF(OR($A142="",'04 Prices'!F142="",'04 Prices'!F143=""),"",LN('04 Prices'!F143/'04 Prices'!F142))</f>
        <v/>
      </c>
      <c r="G142" s="25">
        <f>IF(OR($A142="",'04 Prices'!G142="",'04 Prices'!G143=""),"",LN('04 Prices'!G143/'04 Prices'!G142))</f>
        <v/>
      </c>
      <c r="H142" s="25">
        <f>IF(OR($A142="",'04 Prices'!H142="",'04 Prices'!H143=""),"",LN('04 Prices'!H143/'04 Prices'!H142))</f>
        <v/>
      </c>
    </row>
    <row r="143">
      <c r="A143" s="23">
        <f>IF('04 Prices'!A144="","",'04 Prices'!A144)</f>
        <v/>
      </c>
      <c r="B143" s="25">
        <f>IF(OR($A143="",'04 Prices'!B143="",'04 Prices'!B144=""),"",LN('04 Prices'!B144/'04 Prices'!B143))</f>
        <v/>
      </c>
      <c r="C143" s="25">
        <f>IF(OR($A143="",'04 Prices'!C143="",'04 Prices'!C144=""),"",LN('04 Prices'!C144/'04 Prices'!C143))</f>
        <v/>
      </c>
      <c r="D143" s="25">
        <f>IF(OR($A143="",'04 Prices'!D143="",'04 Prices'!D144=""),"",LN('04 Prices'!D144/'04 Prices'!D143))</f>
        <v/>
      </c>
      <c r="E143" s="25">
        <f>IF(OR($A143="",'04 Prices'!E143="",'04 Prices'!E144=""),"",LN('04 Prices'!E144/'04 Prices'!E143))</f>
        <v/>
      </c>
      <c r="F143" s="25">
        <f>IF(OR($A143="",'04 Prices'!F143="",'04 Prices'!F144=""),"",LN('04 Prices'!F144/'04 Prices'!F143))</f>
        <v/>
      </c>
      <c r="G143" s="25">
        <f>IF(OR($A143="",'04 Prices'!G143="",'04 Prices'!G144=""),"",LN('04 Prices'!G144/'04 Prices'!G143))</f>
        <v/>
      </c>
      <c r="H143" s="25">
        <f>IF(OR($A143="",'04 Prices'!H143="",'04 Prices'!H144=""),"",LN('04 Prices'!H144/'04 Prices'!H143))</f>
        <v/>
      </c>
    </row>
    <row r="144">
      <c r="A144" s="23">
        <f>IF('04 Prices'!A145="","",'04 Prices'!A145)</f>
        <v/>
      </c>
      <c r="B144" s="25">
        <f>IF(OR($A144="",'04 Prices'!B144="",'04 Prices'!B145=""),"",LN('04 Prices'!B145/'04 Prices'!B144))</f>
        <v/>
      </c>
      <c r="C144" s="25">
        <f>IF(OR($A144="",'04 Prices'!C144="",'04 Prices'!C145=""),"",LN('04 Prices'!C145/'04 Prices'!C144))</f>
        <v/>
      </c>
      <c r="D144" s="25">
        <f>IF(OR($A144="",'04 Prices'!D144="",'04 Prices'!D145=""),"",LN('04 Prices'!D145/'04 Prices'!D144))</f>
        <v/>
      </c>
      <c r="E144" s="25">
        <f>IF(OR($A144="",'04 Prices'!E144="",'04 Prices'!E145=""),"",LN('04 Prices'!E145/'04 Prices'!E144))</f>
        <v/>
      </c>
      <c r="F144" s="25">
        <f>IF(OR($A144="",'04 Prices'!F144="",'04 Prices'!F145=""),"",LN('04 Prices'!F145/'04 Prices'!F144))</f>
        <v/>
      </c>
      <c r="G144" s="25">
        <f>IF(OR($A144="",'04 Prices'!G144="",'04 Prices'!G145=""),"",LN('04 Prices'!G145/'04 Prices'!G144))</f>
        <v/>
      </c>
      <c r="H144" s="25">
        <f>IF(OR($A144="",'04 Prices'!H144="",'04 Prices'!H145=""),"",LN('04 Prices'!H145/'04 Prices'!H144))</f>
        <v/>
      </c>
    </row>
    <row r="145">
      <c r="A145" s="23">
        <f>IF('04 Prices'!A146="","",'04 Prices'!A146)</f>
        <v/>
      </c>
      <c r="B145" s="25">
        <f>IF(OR($A145="",'04 Prices'!B145="",'04 Prices'!B146=""),"",LN('04 Prices'!B146/'04 Prices'!B145))</f>
        <v/>
      </c>
      <c r="C145" s="25">
        <f>IF(OR($A145="",'04 Prices'!C145="",'04 Prices'!C146=""),"",LN('04 Prices'!C146/'04 Prices'!C145))</f>
        <v/>
      </c>
      <c r="D145" s="25">
        <f>IF(OR($A145="",'04 Prices'!D145="",'04 Prices'!D146=""),"",LN('04 Prices'!D146/'04 Prices'!D145))</f>
        <v/>
      </c>
      <c r="E145" s="25">
        <f>IF(OR($A145="",'04 Prices'!E145="",'04 Prices'!E146=""),"",LN('04 Prices'!E146/'04 Prices'!E145))</f>
        <v/>
      </c>
      <c r="F145" s="25">
        <f>IF(OR($A145="",'04 Prices'!F145="",'04 Prices'!F146=""),"",LN('04 Prices'!F146/'04 Prices'!F145))</f>
        <v/>
      </c>
      <c r="G145" s="25">
        <f>IF(OR($A145="",'04 Prices'!G145="",'04 Prices'!G146=""),"",LN('04 Prices'!G146/'04 Prices'!G145))</f>
        <v/>
      </c>
      <c r="H145" s="25">
        <f>IF(OR($A145="",'04 Prices'!H145="",'04 Prices'!H146=""),"",LN('04 Prices'!H146/'04 Prices'!H145))</f>
        <v/>
      </c>
    </row>
    <row r="146">
      <c r="A146" s="23">
        <f>IF('04 Prices'!A147="","",'04 Prices'!A147)</f>
        <v/>
      </c>
      <c r="B146" s="25">
        <f>IF(OR($A146="",'04 Prices'!B146="",'04 Prices'!B147=""),"",LN('04 Prices'!B147/'04 Prices'!B146))</f>
        <v/>
      </c>
      <c r="C146" s="25">
        <f>IF(OR($A146="",'04 Prices'!C146="",'04 Prices'!C147=""),"",LN('04 Prices'!C147/'04 Prices'!C146))</f>
        <v/>
      </c>
      <c r="D146" s="25">
        <f>IF(OR($A146="",'04 Prices'!D146="",'04 Prices'!D147=""),"",LN('04 Prices'!D147/'04 Prices'!D146))</f>
        <v/>
      </c>
      <c r="E146" s="25">
        <f>IF(OR($A146="",'04 Prices'!E146="",'04 Prices'!E147=""),"",LN('04 Prices'!E147/'04 Prices'!E146))</f>
        <v/>
      </c>
      <c r="F146" s="25">
        <f>IF(OR($A146="",'04 Prices'!F146="",'04 Prices'!F147=""),"",LN('04 Prices'!F147/'04 Prices'!F146))</f>
        <v/>
      </c>
      <c r="G146" s="25">
        <f>IF(OR($A146="",'04 Prices'!G146="",'04 Prices'!G147=""),"",LN('04 Prices'!G147/'04 Prices'!G146))</f>
        <v/>
      </c>
      <c r="H146" s="25">
        <f>IF(OR($A146="",'04 Prices'!H146="",'04 Prices'!H147=""),"",LN('04 Prices'!H147/'04 Prices'!H146))</f>
        <v/>
      </c>
    </row>
    <row r="147">
      <c r="A147" s="23">
        <f>IF('04 Prices'!A148="","",'04 Prices'!A148)</f>
        <v/>
      </c>
      <c r="B147" s="25">
        <f>IF(OR($A147="",'04 Prices'!B147="",'04 Prices'!B148=""),"",LN('04 Prices'!B148/'04 Prices'!B147))</f>
        <v/>
      </c>
      <c r="C147" s="25">
        <f>IF(OR($A147="",'04 Prices'!C147="",'04 Prices'!C148=""),"",LN('04 Prices'!C148/'04 Prices'!C147))</f>
        <v/>
      </c>
      <c r="D147" s="25">
        <f>IF(OR($A147="",'04 Prices'!D147="",'04 Prices'!D148=""),"",LN('04 Prices'!D148/'04 Prices'!D147))</f>
        <v/>
      </c>
      <c r="E147" s="25">
        <f>IF(OR($A147="",'04 Prices'!E147="",'04 Prices'!E148=""),"",LN('04 Prices'!E148/'04 Prices'!E147))</f>
        <v/>
      </c>
      <c r="F147" s="25">
        <f>IF(OR($A147="",'04 Prices'!F147="",'04 Prices'!F148=""),"",LN('04 Prices'!F148/'04 Prices'!F147))</f>
        <v/>
      </c>
      <c r="G147" s="25">
        <f>IF(OR($A147="",'04 Prices'!G147="",'04 Prices'!G148=""),"",LN('04 Prices'!G148/'04 Prices'!G147))</f>
        <v/>
      </c>
      <c r="H147" s="25">
        <f>IF(OR($A147="",'04 Prices'!H147="",'04 Prices'!H148=""),"",LN('04 Prices'!H148/'04 Prices'!H147))</f>
        <v/>
      </c>
    </row>
    <row r="148">
      <c r="A148" s="23">
        <f>IF('04 Prices'!A149="","",'04 Prices'!A149)</f>
        <v/>
      </c>
      <c r="B148" s="25">
        <f>IF(OR($A148="",'04 Prices'!B148="",'04 Prices'!B149=""),"",LN('04 Prices'!B149/'04 Prices'!B148))</f>
        <v/>
      </c>
      <c r="C148" s="25">
        <f>IF(OR($A148="",'04 Prices'!C148="",'04 Prices'!C149=""),"",LN('04 Prices'!C149/'04 Prices'!C148))</f>
        <v/>
      </c>
      <c r="D148" s="25">
        <f>IF(OR($A148="",'04 Prices'!D148="",'04 Prices'!D149=""),"",LN('04 Prices'!D149/'04 Prices'!D148))</f>
        <v/>
      </c>
      <c r="E148" s="25">
        <f>IF(OR($A148="",'04 Prices'!E148="",'04 Prices'!E149=""),"",LN('04 Prices'!E149/'04 Prices'!E148))</f>
        <v/>
      </c>
      <c r="F148" s="25">
        <f>IF(OR($A148="",'04 Prices'!F148="",'04 Prices'!F149=""),"",LN('04 Prices'!F149/'04 Prices'!F148))</f>
        <v/>
      </c>
      <c r="G148" s="25">
        <f>IF(OR($A148="",'04 Prices'!G148="",'04 Prices'!G149=""),"",LN('04 Prices'!G149/'04 Prices'!G148))</f>
        <v/>
      </c>
      <c r="H148" s="25">
        <f>IF(OR($A148="",'04 Prices'!H148="",'04 Prices'!H149=""),"",LN('04 Prices'!H149/'04 Prices'!H148))</f>
        <v/>
      </c>
    </row>
    <row r="149">
      <c r="A149" s="23">
        <f>IF('04 Prices'!A150="","",'04 Prices'!A150)</f>
        <v/>
      </c>
      <c r="B149" s="25">
        <f>IF(OR($A149="",'04 Prices'!B149="",'04 Prices'!B150=""),"",LN('04 Prices'!B150/'04 Prices'!B149))</f>
        <v/>
      </c>
      <c r="C149" s="25">
        <f>IF(OR($A149="",'04 Prices'!C149="",'04 Prices'!C150=""),"",LN('04 Prices'!C150/'04 Prices'!C149))</f>
        <v/>
      </c>
      <c r="D149" s="25">
        <f>IF(OR($A149="",'04 Prices'!D149="",'04 Prices'!D150=""),"",LN('04 Prices'!D150/'04 Prices'!D149))</f>
        <v/>
      </c>
      <c r="E149" s="25">
        <f>IF(OR($A149="",'04 Prices'!E149="",'04 Prices'!E150=""),"",LN('04 Prices'!E150/'04 Prices'!E149))</f>
        <v/>
      </c>
      <c r="F149" s="25">
        <f>IF(OR($A149="",'04 Prices'!F149="",'04 Prices'!F150=""),"",LN('04 Prices'!F150/'04 Prices'!F149))</f>
        <v/>
      </c>
      <c r="G149" s="25">
        <f>IF(OR($A149="",'04 Prices'!G149="",'04 Prices'!G150=""),"",LN('04 Prices'!G150/'04 Prices'!G149))</f>
        <v/>
      </c>
      <c r="H149" s="25">
        <f>IF(OR($A149="",'04 Prices'!H149="",'04 Prices'!H150=""),"",LN('04 Prices'!H150/'04 Prices'!H149))</f>
        <v/>
      </c>
    </row>
    <row r="150">
      <c r="A150" s="23">
        <f>IF('04 Prices'!A151="","",'04 Prices'!A151)</f>
        <v/>
      </c>
      <c r="B150" s="25">
        <f>IF(OR($A150="",'04 Prices'!B150="",'04 Prices'!B151=""),"",LN('04 Prices'!B151/'04 Prices'!B150))</f>
        <v/>
      </c>
      <c r="C150" s="25">
        <f>IF(OR($A150="",'04 Prices'!C150="",'04 Prices'!C151=""),"",LN('04 Prices'!C151/'04 Prices'!C150))</f>
        <v/>
      </c>
      <c r="D150" s="25">
        <f>IF(OR($A150="",'04 Prices'!D150="",'04 Prices'!D151=""),"",LN('04 Prices'!D151/'04 Prices'!D150))</f>
        <v/>
      </c>
      <c r="E150" s="25">
        <f>IF(OR($A150="",'04 Prices'!E150="",'04 Prices'!E151=""),"",LN('04 Prices'!E151/'04 Prices'!E150))</f>
        <v/>
      </c>
      <c r="F150" s="25">
        <f>IF(OR($A150="",'04 Prices'!F150="",'04 Prices'!F151=""),"",LN('04 Prices'!F151/'04 Prices'!F150))</f>
        <v/>
      </c>
      <c r="G150" s="25">
        <f>IF(OR($A150="",'04 Prices'!G150="",'04 Prices'!G151=""),"",LN('04 Prices'!G151/'04 Prices'!G150))</f>
        <v/>
      </c>
      <c r="H150" s="25">
        <f>IF(OR($A150="",'04 Prices'!H150="",'04 Prices'!H151=""),"",LN('04 Prices'!H151/'04 Prices'!H150))</f>
        <v/>
      </c>
    </row>
    <row r="151">
      <c r="A151" s="23">
        <f>IF('04 Prices'!A152="","",'04 Prices'!A152)</f>
        <v/>
      </c>
      <c r="B151" s="25">
        <f>IF(OR($A151="",'04 Prices'!B151="",'04 Prices'!B152=""),"",LN('04 Prices'!B152/'04 Prices'!B151))</f>
        <v/>
      </c>
      <c r="C151" s="25">
        <f>IF(OR($A151="",'04 Prices'!C151="",'04 Prices'!C152=""),"",LN('04 Prices'!C152/'04 Prices'!C151))</f>
        <v/>
      </c>
      <c r="D151" s="25">
        <f>IF(OR($A151="",'04 Prices'!D151="",'04 Prices'!D152=""),"",LN('04 Prices'!D152/'04 Prices'!D151))</f>
        <v/>
      </c>
      <c r="E151" s="25">
        <f>IF(OR($A151="",'04 Prices'!E151="",'04 Prices'!E152=""),"",LN('04 Prices'!E152/'04 Prices'!E151))</f>
        <v/>
      </c>
      <c r="F151" s="25">
        <f>IF(OR($A151="",'04 Prices'!F151="",'04 Prices'!F152=""),"",LN('04 Prices'!F152/'04 Prices'!F151))</f>
        <v/>
      </c>
      <c r="G151" s="25">
        <f>IF(OR($A151="",'04 Prices'!G151="",'04 Prices'!G152=""),"",LN('04 Prices'!G152/'04 Prices'!G151))</f>
        <v/>
      </c>
      <c r="H151" s="25">
        <f>IF(OR($A151="",'04 Prices'!H151="",'04 Prices'!H152=""),"",LN('04 Prices'!H152/'04 Prices'!H151))</f>
        <v/>
      </c>
    </row>
    <row r="152">
      <c r="A152" s="23">
        <f>IF('04 Prices'!A153="","",'04 Prices'!A153)</f>
        <v/>
      </c>
      <c r="B152" s="25">
        <f>IF(OR($A152="",'04 Prices'!B152="",'04 Prices'!B153=""),"",LN('04 Prices'!B153/'04 Prices'!B152))</f>
        <v/>
      </c>
      <c r="C152" s="25">
        <f>IF(OR($A152="",'04 Prices'!C152="",'04 Prices'!C153=""),"",LN('04 Prices'!C153/'04 Prices'!C152))</f>
        <v/>
      </c>
      <c r="D152" s="25">
        <f>IF(OR($A152="",'04 Prices'!D152="",'04 Prices'!D153=""),"",LN('04 Prices'!D153/'04 Prices'!D152))</f>
        <v/>
      </c>
      <c r="E152" s="25">
        <f>IF(OR($A152="",'04 Prices'!E152="",'04 Prices'!E153=""),"",LN('04 Prices'!E153/'04 Prices'!E152))</f>
        <v/>
      </c>
      <c r="F152" s="25">
        <f>IF(OR($A152="",'04 Prices'!F152="",'04 Prices'!F153=""),"",LN('04 Prices'!F153/'04 Prices'!F152))</f>
        <v/>
      </c>
      <c r="G152" s="25">
        <f>IF(OR($A152="",'04 Prices'!G152="",'04 Prices'!G153=""),"",LN('04 Prices'!G153/'04 Prices'!G152))</f>
        <v/>
      </c>
      <c r="H152" s="25">
        <f>IF(OR($A152="",'04 Prices'!H152="",'04 Prices'!H153=""),"",LN('04 Prices'!H153/'04 Prices'!H152))</f>
        <v/>
      </c>
    </row>
    <row r="153">
      <c r="A153" s="23">
        <f>IF('04 Prices'!A154="","",'04 Prices'!A154)</f>
        <v/>
      </c>
      <c r="B153" s="25">
        <f>IF(OR($A153="",'04 Prices'!B153="",'04 Prices'!B154=""),"",LN('04 Prices'!B154/'04 Prices'!B153))</f>
        <v/>
      </c>
      <c r="C153" s="25">
        <f>IF(OR($A153="",'04 Prices'!C153="",'04 Prices'!C154=""),"",LN('04 Prices'!C154/'04 Prices'!C153))</f>
        <v/>
      </c>
      <c r="D153" s="25">
        <f>IF(OR($A153="",'04 Prices'!D153="",'04 Prices'!D154=""),"",LN('04 Prices'!D154/'04 Prices'!D153))</f>
        <v/>
      </c>
      <c r="E153" s="25">
        <f>IF(OR($A153="",'04 Prices'!E153="",'04 Prices'!E154=""),"",LN('04 Prices'!E154/'04 Prices'!E153))</f>
        <v/>
      </c>
      <c r="F153" s="25">
        <f>IF(OR($A153="",'04 Prices'!F153="",'04 Prices'!F154=""),"",LN('04 Prices'!F154/'04 Prices'!F153))</f>
        <v/>
      </c>
      <c r="G153" s="25">
        <f>IF(OR($A153="",'04 Prices'!G153="",'04 Prices'!G154=""),"",LN('04 Prices'!G154/'04 Prices'!G153))</f>
        <v/>
      </c>
      <c r="H153" s="25">
        <f>IF(OR($A153="",'04 Prices'!H153="",'04 Prices'!H154=""),"",LN('04 Prices'!H154/'04 Prices'!H153))</f>
        <v/>
      </c>
    </row>
    <row r="154">
      <c r="A154" s="23">
        <f>IF('04 Prices'!A155="","",'04 Prices'!A155)</f>
        <v/>
      </c>
      <c r="B154" s="25">
        <f>IF(OR($A154="",'04 Prices'!B154="",'04 Prices'!B155=""),"",LN('04 Prices'!B155/'04 Prices'!B154))</f>
        <v/>
      </c>
      <c r="C154" s="25">
        <f>IF(OR($A154="",'04 Prices'!C154="",'04 Prices'!C155=""),"",LN('04 Prices'!C155/'04 Prices'!C154))</f>
        <v/>
      </c>
      <c r="D154" s="25">
        <f>IF(OR($A154="",'04 Prices'!D154="",'04 Prices'!D155=""),"",LN('04 Prices'!D155/'04 Prices'!D154))</f>
        <v/>
      </c>
      <c r="E154" s="25">
        <f>IF(OR($A154="",'04 Prices'!E154="",'04 Prices'!E155=""),"",LN('04 Prices'!E155/'04 Prices'!E154))</f>
        <v/>
      </c>
      <c r="F154" s="25">
        <f>IF(OR($A154="",'04 Prices'!F154="",'04 Prices'!F155=""),"",LN('04 Prices'!F155/'04 Prices'!F154))</f>
        <v/>
      </c>
      <c r="G154" s="25">
        <f>IF(OR($A154="",'04 Prices'!G154="",'04 Prices'!G155=""),"",LN('04 Prices'!G155/'04 Prices'!G154))</f>
        <v/>
      </c>
      <c r="H154" s="25">
        <f>IF(OR($A154="",'04 Prices'!H154="",'04 Prices'!H155=""),"",LN('04 Prices'!H155/'04 Prices'!H154))</f>
        <v/>
      </c>
    </row>
    <row r="155">
      <c r="A155" s="23">
        <f>IF('04 Prices'!A156="","",'04 Prices'!A156)</f>
        <v/>
      </c>
      <c r="B155" s="25">
        <f>IF(OR($A155="",'04 Prices'!B155="",'04 Prices'!B156=""),"",LN('04 Prices'!B156/'04 Prices'!B155))</f>
        <v/>
      </c>
      <c r="C155" s="25">
        <f>IF(OR($A155="",'04 Prices'!C155="",'04 Prices'!C156=""),"",LN('04 Prices'!C156/'04 Prices'!C155))</f>
        <v/>
      </c>
      <c r="D155" s="25">
        <f>IF(OR($A155="",'04 Prices'!D155="",'04 Prices'!D156=""),"",LN('04 Prices'!D156/'04 Prices'!D155))</f>
        <v/>
      </c>
      <c r="E155" s="25">
        <f>IF(OR($A155="",'04 Prices'!E155="",'04 Prices'!E156=""),"",LN('04 Prices'!E156/'04 Prices'!E155))</f>
        <v/>
      </c>
      <c r="F155" s="25">
        <f>IF(OR($A155="",'04 Prices'!F155="",'04 Prices'!F156=""),"",LN('04 Prices'!F156/'04 Prices'!F155))</f>
        <v/>
      </c>
      <c r="G155" s="25">
        <f>IF(OR($A155="",'04 Prices'!G155="",'04 Prices'!G156=""),"",LN('04 Prices'!G156/'04 Prices'!G155))</f>
        <v/>
      </c>
      <c r="H155" s="25">
        <f>IF(OR($A155="",'04 Prices'!H155="",'04 Prices'!H156=""),"",LN('04 Prices'!H156/'04 Prices'!H155))</f>
        <v/>
      </c>
    </row>
    <row r="156">
      <c r="A156" s="23">
        <f>IF('04 Prices'!A157="","",'04 Prices'!A157)</f>
        <v/>
      </c>
      <c r="B156" s="25">
        <f>IF(OR($A156="",'04 Prices'!B156="",'04 Prices'!B157=""),"",LN('04 Prices'!B157/'04 Prices'!B156))</f>
        <v/>
      </c>
      <c r="C156" s="25">
        <f>IF(OR($A156="",'04 Prices'!C156="",'04 Prices'!C157=""),"",LN('04 Prices'!C157/'04 Prices'!C156))</f>
        <v/>
      </c>
      <c r="D156" s="25">
        <f>IF(OR($A156="",'04 Prices'!D156="",'04 Prices'!D157=""),"",LN('04 Prices'!D157/'04 Prices'!D156))</f>
        <v/>
      </c>
      <c r="E156" s="25">
        <f>IF(OR($A156="",'04 Prices'!E156="",'04 Prices'!E157=""),"",LN('04 Prices'!E157/'04 Prices'!E156))</f>
        <v/>
      </c>
      <c r="F156" s="25">
        <f>IF(OR($A156="",'04 Prices'!F156="",'04 Prices'!F157=""),"",LN('04 Prices'!F157/'04 Prices'!F156))</f>
        <v/>
      </c>
      <c r="G156" s="25">
        <f>IF(OR($A156="",'04 Prices'!G156="",'04 Prices'!G157=""),"",LN('04 Prices'!G157/'04 Prices'!G156))</f>
        <v/>
      </c>
      <c r="H156" s="25">
        <f>IF(OR($A156="",'04 Prices'!H156="",'04 Prices'!H157=""),"",LN('04 Prices'!H157/'04 Prices'!H156))</f>
        <v/>
      </c>
    </row>
    <row r="157">
      <c r="A157" s="23">
        <f>IF('04 Prices'!A158="","",'04 Prices'!A158)</f>
        <v/>
      </c>
      <c r="B157" s="25">
        <f>IF(OR($A157="",'04 Prices'!B157="",'04 Prices'!B158=""),"",LN('04 Prices'!B158/'04 Prices'!B157))</f>
        <v/>
      </c>
      <c r="C157" s="25">
        <f>IF(OR($A157="",'04 Prices'!C157="",'04 Prices'!C158=""),"",LN('04 Prices'!C158/'04 Prices'!C157))</f>
        <v/>
      </c>
      <c r="D157" s="25">
        <f>IF(OR($A157="",'04 Prices'!D157="",'04 Prices'!D158=""),"",LN('04 Prices'!D158/'04 Prices'!D157))</f>
        <v/>
      </c>
      <c r="E157" s="25">
        <f>IF(OR($A157="",'04 Prices'!E157="",'04 Prices'!E158=""),"",LN('04 Prices'!E158/'04 Prices'!E157))</f>
        <v/>
      </c>
      <c r="F157" s="25">
        <f>IF(OR($A157="",'04 Prices'!F157="",'04 Prices'!F158=""),"",LN('04 Prices'!F158/'04 Prices'!F157))</f>
        <v/>
      </c>
      <c r="G157" s="25">
        <f>IF(OR($A157="",'04 Prices'!G157="",'04 Prices'!G158=""),"",LN('04 Prices'!G158/'04 Prices'!G157))</f>
        <v/>
      </c>
      <c r="H157" s="25">
        <f>IF(OR($A157="",'04 Prices'!H157="",'04 Prices'!H158=""),"",LN('04 Prices'!H158/'04 Prices'!H157))</f>
        <v/>
      </c>
    </row>
    <row r="158">
      <c r="A158" s="23">
        <f>IF('04 Prices'!A159="","",'04 Prices'!A159)</f>
        <v/>
      </c>
      <c r="B158" s="25">
        <f>IF(OR($A158="",'04 Prices'!B158="",'04 Prices'!B159=""),"",LN('04 Prices'!B159/'04 Prices'!B158))</f>
        <v/>
      </c>
      <c r="C158" s="25">
        <f>IF(OR($A158="",'04 Prices'!C158="",'04 Prices'!C159=""),"",LN('04 Prices'!C159/'04 Prices'!C158))</f>
        <v/>
      </c>
      <c r="D158" s="25">
        <f>IF(OR($A158="",'04 Prices'!D158="",'04 Prices'!D159=""),"",LN('04 Prices'!D159/'04 Prices'!D158))</f>
        <v/>
      </c>
      <c r="E158" s="25">
        <f>IF(OR($A158="",'04 Prices'!E158="",'04 Prices'!E159=""),"",LN('04 Prices'!E159/'04 Prices'!E158))</f>
        <v/>
      </c>
      <c r="F158" s="25">
        <f>IF(OR($A158="",'04 Prices'!F158="",'04 Prices'!F159=""),"",LN('04 Prices'!F159/'04 Prices'!F158))</f>
        <v/>
      </c>
      <c r="G158" s="25">
        <f>IF(OR($A158="",'04 Prices'!G158="",'04 Prices'!G159=""),"",LN('04 Prices'!G159/'04 Prices'!G158))</f>
        <v/>
      </c>
      <c r="H158" s="25">
        <f>IF(OR($A158="",'04 Prices'!H158="",'04 Prices'!H159=""),"",LN('04 Prices'!H159/'04 Prices'!H158))</f>
        <v/>
      </c>
    </row>
    <row r="159">
      <c r="A159" s="23">
        <f>IF('04 Prices'!A160="","",'04 Prices'!A160)</f>
        <v/>
      </c>
      <c r="B159" s="25">
        <f>IF(OR($A159="",'04 Prices'!B159="",'04 Prices'!B160=""),"",LN('04 Prices'!B160/'04 Prices'!B159))</f>
        <v/>
      </c>
      <c r="C159" s="25">
        <f>IF(OR($A159="",'04 Prices'!C159="",'04 Prices'!C160=""),"",LN('04 Prices'!C160/'04 Prices'!C159))</f>
        <v/>
      </c>
      <c r="D159" s="25">
        <f>IF(OR($A159="",'04 Prices'!D159="",'04 Prices'!D160=""),"",LN('04 Prices'!D160/'04 Prices'!D159))</f>
        <v/>
      </c>
      <c r="E159" s="25">
        <f>IF(OR($A159="",'04 Prices'!E159="",'04 Prices'!E160=""),"",LN('04 Prices'!E160/'04 Prices'!E159))</f>
        <v/>
      </c>
      <c r="F159" s="25">
        <f>IF(OR($A159="",'04 Prices'!F159="",'04 Prices'!F160=""),"",LN('04 Prices'!F160/'04 Prices'!F159))</f>
        <v/>
      </c>
      <c r="G159" s="25">
        <f>IF(OR($A159="",'04 Prices'!G159="",'04 Prices'!G160=""),"",LN('04 Prices'!G160/'04 Prices'!G159))</f>
        <v/>
      </c>
      <c r="H159" s="25">
        <f>IF(OR($A159="",'04 Prices'!H159="",'04 Prices'!H160=""),"",LN('04 Prices'!H160/'04 Prices'!H159))</f>
        <v/>
      </c>
    </row>
    <row r="160">
      <c r="A160" s="23">
        <f>IF('04 Prices'!A161="","",'04 Prices'!A161)</f>
        <v/>
      </c>
      <c r="B160" s="25">
        <f>IF(OR($A160="",'04 Prices'!B160="",'04 Prices'!B161=""),"",LN('04 Prices'!B161/'04 Prices'!B160))</f>
        <v/>
      </c>
      <c r="C160" s="25">
        <f>IF(OR($A160="",'04 Prices'!C160="",'04 Prices'!C161=""),"",LN('04 Prices'!C161/'04 Prices'!C160))</f>
        <v/>
      </c>
      <c r="D160" s="25">
        <f>IF(OR($A160="",'04 Prices'!D160="",'04 Prices'!D161=""),"",LN('04 Prices'!D161/'04 Prices'!D160))</f>
        <v/>
      </c>
      <c r="E160" s="25">
        <f>IF(OR($A160="",'04 Prices'!E160="",'04 Prices'!E161=""),"",LN('04 Prices'!E161/'04 Prices'!E160))</f>
        <v/>
      </c>
      <c r="F160" s="25">
        <f>IF(OR($A160="",'04 Prices'!F160="",'04 Prices'!F161=""),"",LN('04 Prices'!F161/'04 Prices'!F160))</f>
        <v/>
      </c>
      <c r="G160" s="25">
        <f>IF(OR($A160="",'04 Prices'!G160="",'04 Prices'!G161=""),"",LN('04 Prices'!G161/'04 Prices'!G160))</f>
        <v/>
      </c>
      <c r="H160" s="25">
        <f>IF(OR($A160="",'04 Prices'!H160="",'04 Prices'!H161=""),"",LN('04 Prices'!H161/'04 Prices'!H160))</f>
        <v/>
      </c>
    </row>
    <row r="161">
      <c r="A161" s="23">
        <f>IF('04 Prices'!A162="","",'04 Prices'!A162)</f>
        <v/>
      </c>
      <c r="B161" s="25">
        <f>IF(OR($A161="",'04 Prices'!B161="",'04 Prices'!B162=""),"",LN('04 Prices'!B162/'04 Prices'!B161))</f>
        <v/>
      </c>
      <c r="C161" s="25">
        <f>IF(OR($A161="",'04 Prices'!C161="",'04 Prices'!C162=""),"",LN('04 Prices'!C162/'04 Prices'!C161))</f>
        <v/>
      </c>
      <c r="D161" s="25">
        <f>IF(OR($A161="",'04 Prices'!D161="",'04 Prices'!D162=""),"",LN('04 Prices'!D162/'04 Prices'!D161))</f>
        <v/>
      </c>
      <c r="E161" s="25">
        <f>IF(OR($A161="",'04 Prices'!E161="",'04 Prices'!E162=""),"",LN('04 Prices'!E162/'04 Prices'!E161))</f>
        <v/>
      </c>
      <c r="F161" s="25">
        <f>IF(OR($A161="",'04 Prices'!F161="",'04 Prices'!F162=""),"",LN('04 Prices'!F162/'04 Prices'!F161))</f>
        <v/>
      </c>
      <c r="G161" s="25">
        <f>IF(OR($A161="",'04 Prices'!G161="",'04 Prices'!G162=""),"",LN('04 Prices'!G162/'04 Prices'!G161))</f>
        <v/>
      </c>
      <c r="H161" s="25">
        <f>IF(OR($A161="",'04 Prices'!H161="",'04 Prices'!H162=""),"",LN('04 Prices'!H162/'04 Prices'!H161))</f>
        <v/>
      </c>
    </row>
    <row r="162">
      <c r="A162" s="23">
        <f>IF('04 Prices'!A163="","",'04 Prices'!A163)</f>
        <v/>
      </c>
      <c r="B162" s="25">
        <f>IF(OR($A162="",'04 Prices'!B162="",'04 Prices'!B163=""),"",LN('04 Prices'!B163/'04 Prices'!B162))</f>
        <v/>
      </c>
      <c r="C162" s="25">
        <f>IF(OR($A162="",'04 Prices'!C162="",'04 Prices'!C163=""),"",LN('04 Prices'!C163/'04 Prices'!C162))</f>
        <v/>
      </c>
      <c r="D162" s="25">
        <f>IF(OR($A162="",'04 Prices'!D162="",'04 Prices'!D163=""),"",LN('04 Prices'!D163/'04 Prices'!D162))</f>
        <v/>
      </c>
      <c r="E162" s="25">
        <f>IF(OR($A162="",'04 Prices'!E162="",'04 Prices'!E163=""),"",LN('04 Prices'!E163/'04 Prices'!E162))</f>
        <v/>
      </c>
      <c r="F162" s="25">
        <f>IF(OR($A162="",'04 Prices'!F162="",'04 Prices'!F163=""),"",LN('04 Prices'!F163/'04 Prices'!F162))</f>
        <v/>
      </c>
      <c r="G162" s="25">
        <f>IF(OR($A162="",'04 Prices'!G162="",'04 Prices'!G163=""),"",LN('04 Prices'!G163/'04 Prices'!G162))</f>
        <v/>
      </c>
      <c r="H162" s="25">
        <f>IF(OR($A162="",'04 Prices'!H162="",'04 Prices'!H163=""),"",LN('04 Prices'!H163/'04 Prices'!H162))</f>
        <v/>
      </c>
    </row>
    <row r="163">
      <c r="A163" s="23">
        <f>IF('04 Prices'!A164="","",'04 Prices'!A164)</f>
        <v/>
      </c>
      <c r="B163" s="25">
        <f>IF(OR($A163="",'04 Prices'!B163="",'04 Prices'!B164=""),"",LN('04 Prices'!B164/'04 Prices'!B163))</f>
        <v/>
      </c>
      <c r="C163" s="25">
        <f>IF(OR($A163="",'04 Prices'!C163="",'04 Prices'!C164=""),"",LN('04 Prices'!C164/'04 Prices'!C163))</f>
        <v/>
      </c>
      <c r="D163" s="25">
        <f>IF(OR($A163="",'04 Prices'!D163="",'04 Prices'!D164=""),"",LN('04 Prices'!D164/'04 Prices'!D163))</f>
        <v/>
      </c>
      <c r="E163" s="25">
        <f>IF(OR($A163="",'04 Prices'!E163="",'04 Prices'!E164=""),"",LN('04 Prices'!E164/'04 Prices'!E163))</f>
        <v/>
      </c>
      <c r="F163" s="25">
        <f>IF(OR($A163="",'04 Prices'!F163="",'04 Prices'!F164=""),"",LN('04 Prices'!F164/'04 Prices'!F163))</f>
        <v/>
      </c>
      <c r="G163" s="25">
        <f>IF(OR($A163="",'04 Prices'!G163="",'04 Prices'!G164=""),"",LN('04 Prices'!G164/'04 Prices'!G163))</f>
        <v/>
      </c>
      <c r="H163" s="25">
        <f>IF(OR($A163="",'04 Prices'!H163="",'04 Prices'!H164=""),"",LN('04 Prices'!H164/'04 Prices'!H163))</f>
        <v/>
      </c>
    </row>
    <row r="164">
      <c r="A164" s="23">
        <f>IF('04 Prices'!A165="","",'04 Prices'!A165)</f>
        <v/>
      </c>
      <c r="B164" s="25">
        <f>IF(OR($A164="",'04 Prices'!B164="",'04 Prices'!B165=""),"",LN('04 Prices'!B165/'04 Prices'!B164))</f>
        <v/>
      </c>
      <c r="C164" s="25">
        <f>IF(OR($A164="",'04 Prices'!C164="",'04 Prices'!C165=""),"",LN('04 Prices'!C165/'04 Prices'!C164))</f>
        <v/>
      </c>
      <c r="D164" s="25">
        <f>IF(OR($A164="",'04 Prices'!D164="",'04 Prices'!D165=""),"",LN('04 Prices'!D165/'04 Prices'!D164))</f>
        <v/>
      </c>
      <c r="E164" s="25">
        <f>IF(OR($A164="",'04 Prices'!E164="",'04 Prices'!E165=""),"",LN('04 Prices'!E165/'04 Prices'!E164))</f>
        <v/>
      </c>
      <c r="F164" s="25">
        <f>IF(OR($A164="",'04 Prices'!F164="",'04 Prices'!F165=""),"",LN('04 Prices'!F165/'04 Prices'!F164))</f>
        <v/>
      </c>
      <c r="G164" s="25">
        <f>IF(OR($A164="",'04 Prices'!G164="",'04 Prices'!G165=""),"",LN('04 Prices'!G165/'04 Prices'!G164))</f>
        <v/>
      </c>
      <c r="H164" s="25">
        <f>IF(OR($A164="",'04 Prices'!H164="",'04 Prices'!H165=""),"",LN('04 Prices'!H165/'04 Prices'!H164))</f>
        <v/>
      </c>
    </row>
    <row r="165">
      <c r="A165" s="23">
        <f>IF('04 Prices'!A166="","",'04 Prices'!A166)</f>
        <v/>
      </c>
      <c r="B165" s="25">
        <f>IF(OR($A165="",'04 Prices'!B165="",'04 Prices'!B166=""),"",LN('04 Prices'!B166/'04 Prices'!B165))</f>
        <v/>
      </c>
      <c r="C165" s="25">
        <f>IF(OR($A165="",'04 Prices'!C165="",'04 Prices'!C166=""),"",LN('04 Prices'!C166/'04 Prices'!C165))</f>
        <v/>
      </c>
      <c r="D165" s="25">
        <f>IF(OR($A165="",'04 Prices'!D165="",'04 Prices'!D166=""),"",LN('04 Prices'!D166/'04 Prices'!D165))</f>
        <v/>
      </c>
      <c r="E165" s="25">
        <f>IF(OR($A165="",'04 Prices'!E165="",'04 Prices'!E166=""),"",LN('04 Prices'!E166/'04 Prices'!E165))</f>
        <v/>
      </c>
      <c r="F165" s="25">
        <f>IF(OR($A165="",'04 Prices'!F165="",'04 Prices'!F166=""),"",LN('04 Prices'!F166/'04 Prices'!F165))</f>
        <v/>
      </c>
      <c r="G165" s="25">
        <f>IF(OR($A165="",'04 Prices'!G165="",'04 Prices'!G166=""),"",LN('04 Prices'!G166/'04 Prices'!G165))</f>
        <v/>
      </c>
      <c r="H165" s="25">
        <f>IF(OR($A165="",'04 Prices'!H165="",'04 Prices'!H166=""),"",LN('04 Prices'!H166/'04 Prices'!H165))</f>
        <v/>
      </c>
    </row>
    <row r="166">
      <c r="A166" s="23">
        <f>IF('04 Prices'!A167="","",'04 Prices'!A167)</f>
        <v/>
      </c>
      <c r="B166" s="25">
        <f>IF(OR($A166="",'04 Prices'!B166="",'04 Prices'!B167=""),"",LN('04 Prices'!B167/'04 Prices'!B166))</f>
        <v/>
      </c>
      <c r="C166" s="25">
        <f>IF(OR($A166="",'04 Prices'!C166="",'04 Prices'!C167=""),"",LN('04 Prices'!C167/'04 Prices'!C166))</f>
        <v/>
      </c>
      <c r="D166" s="25">
        <f>IF(OR($A166="",'04 Prices'!D166="",'04 Prices'!D167=""),"",LN('04 Prices'!D167/'04 Prices'!D166))</f>
        <v/>
      </c>
      <c r="E166" s="25">
        <f>IF(OR($A166="",'04 Prices'!E166="",'04 Prices'!E167=""),"",LN('04 Prices'!E167/'04 Prices'!E166))</f>
        <v/>
      </c>
      <c r="F166" s="25">
        <f>IF(OR($A166="",'04 Prices'!F166="",'04 Prices'!F167=""),"",LN('04 Prices'!F167/'04 Prices'!F166))</f>
        <v/>
      </c>
      <c r="G166" s="25">
        <f>IF(OR($A166="",'04 Prices'!G166="",'04 Prices'!G167=""),"",LN('04 Prices'!G167/'04 Prices'!G166))</f>
        <v/>
      </c>
      <c r="H166" s="25">
        <f>IF(OR($A166="",'04 Prices'!H166="",'04 Prices'!H167=""),"",LN('04 Prices'!H167/'04 Prices'!H166))</f>
        <v/>
      </c>
    </row>
    <row r="167">
      <c r="A167" s="23">
        <f>IF('04 Prices'!A168="","",'04 Prices'!A168)</f>
        <v/>
      </c>
      <c r="B167" s="25">
        <f>IF(OR($A167="",'04 Prices'!B167="",'04 Prices'!B168=""),"",LN('04 Prices'!B168/'04 Prices'!B167))</f>
        <v/>
      </c>
      <c r="C167" s="25">
        <f>IF(OR($A167="",'04 Prices'!C167="",'04 Prices'!C168=""),"",LN('04 Prices'!C168/'04 Prices'!C167))</f>
        <v/>
      </c>
      <c r="D167" s="25">
        <f>IF(OR($A167="",'04 Prices'!D167="",'04 Prices'!D168=""),"",LN('04 Prices'!D168/'04 Prices'!D167))</f>
        <v/>
      </c>
      <c r="E167" s="25">
        <f>IF(OR($A167="",'04 Prices'!E167="",'04 Prices'!E168=""),"",LN('04 Prices'!E168/'04 Prices'!E167))</f>
        <v/>
      </c>
      <c r="F167" s="25">
        <f>IF(OR($A167="",'04 Prices'!F167="",'04 Prices'!F168=""),"",LN('04 Prices'!F168/'04 Prices'!F167))</f>
        <v/>
      </c>
      <c r="G167" s="25">
        <f>IF(OR($A167="",'04 Prices'!G167="",'04 Prices'!G168=""),"",LN('04 Prices'!G168/'04 Prices'!G167))</f>
        <v/>
      </c>
      <c r="H167" s="25">
        <f>IF(OR($A167="",'04 Prices'!H167="",'04 Prices'!H168=""),"",LN('04 Prices'!H168/'04 Prices'!H167))</f>
        <v/>
      </c>
    </row>
    <row r="168">
      <c r="A168" s="23">
        <f>IF('04 Prices'!A169="","",'04 Prices'!A169)</f>
        <v/>
      </c>
      <c r="B168" s="25">
        <f>IF(OR($A168="",'04 Prices'!B168="",'04 Prices'!B169=""),"",LN('04 Prices'!B169/'04 Prices'!B168))</f>
        <v/>
      </c>
      <c r="C168" s="25">
        <f>IF(OR($A168="",'04 Prices'!C168="",'04 Prices'!C169=""),"",LN('04 Prices'!C169/'04 Prices'!C168))</f>
        <v/>
      </c>
      <c r="D168" s="25">
        <f>IF(OR($A168="",'04 Prices'!D168="",'04 Prices'!D169=""),"",LN('04 Prices'!D169/'04 Prices'!D168))</f>
        <v/>
      </c>
      <c r="E168" s="25">
        <f>IF(OR($A168="",'04 Prices'!E168="",'04 Prices'!E169=""),"",LN('04 Prices'!E169/'04 Prices'!E168))</f>
        <v/>
      </c>
      <c r="F168" s="25">
        <f>IF(OR($A168="",'04 Prices'!F168="",'04 Prices'!F169=""),"",LN('04 Prices'!F169/'04 Prices'!F168))</f>
        <v/>
      </c>
      <c r="G168" s="25">
        <f>IF(OR($A168="",'04 Prices'!G168="",'04 Prices'!G169=""),"",LN('04 Prices'!G169/'04 Prices'!G168))</f>
        <v/>
      </c>
      <c r="H168" s="25">
        <f>IF(OR($A168="",'04 Prices'!H168="",'04 Prices'!H169=""),"",LN('04 Prices'!H169/'04 Prices'!H168))</f>
        <v/>
      </c>
    </row>
    <row r="169">
      <c r="A169" s="23">
        <f>IF('04 Prices'!A170="","",'04 Prices'!A170)</f>
        <v/>
      </c>
      <c r="B169" s="25">
        <f>IF(OR($A169="",'04 Prices'!B169="",'04 Prices'!B170=""),"",LN('04 Prices'!B170/'04 Prices'!B169))</f>
        <v/>
      </c>
      <c r="C169" s="25">
        <f>IF(OR($A169="",'04 Prices'!C169="",'04 Prices'!C170=""),"",LN('04 Prices'!C170/'04 Prices'!C169))</f>
        <v/>
      </c>
      <c r="D169" s="25">
        <f>IF(OR($A169="",'04 Prices'!D169="",'04 Prices'!D170=""),"",LN('04 Prices'!D170/'04 Prices'!D169))</f>
        <v/>
      </c>
      <c r="E169" s="25">
        <f>IF(OR($A169="",'04 Prices'!E169="",'04 Prices'!E170=""),"",LN('04 Prices'!E170/'04 Prices'!E169))</f>
        <v/>
      </c>
      <c r="F169" s="25">
        <f>IF(OR($A169="",'04 Prices'!F169="",'04 Prices'!F170=""),"",LN('04 Prices'!F170/'04 Prices'!F169))</f>
        <v/>
      </c>
      <c r="G169" s="25">
        <f>IF(OR($A169="",'04 Prices'!G169="",'04 Prices'!G170=""),"",LN('04 Prices'!G170/'04 Prices'!G169))</f>
        <v/>
      </c>
      <c r="H169" s="25">
        <f>IF(OR($A169="",'04 Prices'!H169="",'04 Prices'!H170=""),"",LN('04 Prices'!H170/'04 Prices'!H169))</f>
        <v/>
      </c>
    </row>
    <row r="170">
      <c r="A170" s="23">
        <f>IF('04 Prices'!A171="","",'04 Prices'!A171)</f>
        <v/>
      </c>
      <c r="B170" s="25">
        <f>IF(OR($A170="",'04 Prices'!B170="",'04 Prices'!B171=""),"",LN('04 Prices'!B171/'04 Prices'!B170))</f>
        <v/>
      </c>
      <c r="C170" s="25">
        <f>IF(OR($A170="",'04 Prices'!C170="",'04 Prices'!C171=""),"",LN('04 Prices'!C171/'04 Prices'!C170))</f>
        <v/>
      </c>
      <c r="D170" s="25">
        <f>IF(OR($A170="",'04 Prices'!D170="",'04 Prices'!D171=""),"",LN('04 Prices'!D171/'04 Prices'!D170))</f>
        <v/>
      </c>
      <c r="E170" s="25">
        <f>IF(OR($A170="",'04 Prices'!E170="",'04 Prices'!E171=""),"",LN('04 Prices'!E171/'04 Prices'!E170))</f>
        <v/>
      </c>
      <c r="F170" s="25">
        <f>IF(OR($A170="",'04 Prices'!F170="",'04 Prices'!F171=""),"",LN('04 Prices'!F171/'04 Prices'!F170))</f>
        <v/>
      </c>
      <c r="G170" s="25">
        <f>IF(OR($A170="",'04 Prices'!G170="",'04 Prices'!G171=""),"",LN('04 Prices'!G171/'04 Prices'!G170))</f>
        <v/>
      </c>
      <c r="H170" s="25">
        <f>IF(OR($A170="",'04 Prices'!H170="",'04 Prices'!H171=""),"",LN('04 Prices'!H171/'04 Prices'!H170))</f>
        <v/>
      </c>
    </row>
    <row r="171">
      <c r="A171" s="23">
        <f>IF('04 Prices'!A172="","",'04 Prices'!A172)</f>
        <v/>
      </c>
      <c r="B171" s="25">
        <f>IF(OR($A171="",'04 Prices'!B171="",'04 Prices'!B172=""),"",LN('04 Prices'!B172/'04 Prices'!B171))</f>
        <v/>
      </c>
      <c r="C171" s="25">
        <f>IF(OR($A171="",'04 Prices'!C171="",'04 Prices'!C172=""),"",LN('04 Prices'!C172/'04 Prices'!C171))</f>
        <v/>
      </c>
      <c r="D171" s="25">
        <f>IF(OR($A171="",'04 Prices'!D171="",'04 Prices'!D172=""),"",LN('04 Prices'!D172/'04 Prices'!D171))</f>
        <v/>
      </c>
      <c r="E171" s="25">
        <f>IF(OR($A171="",'04 Prices'!E171="",'04 Prices'!E172=""),"",LN('04 Prices'!E172/'04 Prices'!E171))</f>
        <v/>
      </c>
      <c r="F171" s="25">
        <f>IF(OR($A171="",'04 Prices'!F171="",'04 Prices'!F172=""),"",LN('04 Prices'!F172/'04 Prices'!F171))</f>
        <v/>
      </c>
      <c r="G171" s="25">
        <f>IF(OR($A171="",'04 Prices'!G171="",'04 Prices'!G172=""),"",LN('04 Prices'!G172/'04 Prices'!G171))</f>
        <v/>
      </c>
      <c r="H171" s="25">
        <f>IF(OR($A171="",'04 Prices'!H171="",'04 Prices'!H172=""),"",LN('04 Prices'!H172/'04 Prices'!H171))</f>
        <v/>
      </c>
    </row>
    <row r="172">
      <c r="A172" s="23">
        <f>IF('04 Prices'!A173="","",'04 Prices'!A173)</f>
        <v/>
      </c>
      <c r="B172" s="25">
        <f>IF(OR($A172="",'04 Prices'!B172="",'04 Prices'!B173=""),"",LN('04 Prices'!B173/'04 Prices'!B172))</f>
        <v/>
      </c>
      <c r="C172" s="25">
        <f>IF(OR($A172="",'04 Prices'!C172="",'04 Prices'!C173=""),"",LN('04 Prices'!C173/'04 Prices'!C172))</f>
        <v/>
      </c>
      <c r="D172" s="25">
        <f>IF(OR($A172="",'04 Prices'!D172="",'04 Prices'!D173=""),"",LN('04 Prices'!D173/'04 Prices'!D172))</f>
        <v/>
      </c>
      <c r="E172" s="25">
        <f>IF(OR($A172="",'04 Prices'!E172="",'04 Prices'!E173=""),"",LN('04 Prices'!E173/'04 Prices'!E172))</f>
        <v/>
      </c>
      <c r="F172" s="25">
        <f>IF(OR($A172="",'04 Prices'!F172="",'04 Prices'!F173=""),"",LN('04 Prices'!F173/'04 Prices'!F172))</f>
        <v/>
      </c>
      <c r="G172" s="25">
        <f>IF(OR($A172="",'04 Prices'!G172="",'04 Prices'!G173=""),"",LN('04 Prices'!G173/'04 Prices'!G172))</f>
        <v/>
      </c>
      <c r="H172" s="25">
        <f>IF(OR($A172="",'04 Prices'!H172="",'04 Prices'!H173=""),"",LN('04 Prices'!H173/'04 Prices'!H172))</f>
        <v/>
      </c>
    </row>
    <row r="173">
      <c r="A173" s="23">
        <f>IF('04 Prices'!A174="","",'04 Prices'!A174)</f>
        <v/>
      </c>
      <c r="B173" s="25">
        <f>IF(OR($A173="",'04 Prices'!B173="",'04 Prices'!B174=""),"",LN('04 Prices'!B174/'04 Prices'!B173))</f>
        <v/>
      </c>
      <c r="C173" s="25">
        <f>IF(OR($A173="",'04 Prices'!C173="",'04 Prices'!C174=""),"",LN('04 Prices'!C174/'04 Prices'!C173))</f>
        <v/>
      </c>
      <c r="D173" s="25">
        <f>IF(OR($A173="",'04 Prices'!D173="",'04 Prices'!D174=""),"",LN('04 Prices'!D174/'04 Prices'!D173))</f>
        <v/>
      </c>
      <c r="E173" s="25">
        <f>IF(OR($A173="",'04 Prices'!E173="",'04 Prices'!E174=""),"",LN('04 Prices'!E174/'04 Prices'!E173))</f>
        <v/>
      </c>
      <c r="F173" s="25">
        <f>IF(OR($A173="",'04 Prices'!F173="",'04 Prices'!F174=""),"",LN('04 Prices'!F174/'04 Prices'!F173))</f>
        <v/>
      </c>
      <c r="G173" s="25">
        <f>IF(OR($A173="",'04 Prices'!G173="",'04 Prices'!G174=""),"",LN('04 Prices'!G174/'04 Prices'!G173))</f>
        <v/>
      </c>
      <c r="H173" s="25">
        <f>IF(OR($A173="",'04 Prices'!H173="",'04 Prices'!H174=""),"",LN('04 Prices'!H174/'04 Prices'!H173))</f>
        <v/>
      </c>
    </row>
    <row r="174">
      <c r="A174" s="23">
        <f>IF('04 Prices'!A175="","",'04 Prices'!A175)</f>
        <v/>
      </c>
      <c r="B174" s="25">
        <f>IF(OR($A174="",'04 Prices'!B174="",'04 Prices'!B175=""),"",LN('04 Prices'!B175/'04 Prices'!B174))</f>
        <v/>
      </c>
      <c r="C174" s="25">
        <f>IF(OR($A174="",'04 Prices'!C174="",'04 Prices'!C175=""),"",LN('04 Prices'!C175/'04 Prices'!C174))</f>
        <v/>
      </c>
      <c r="D174" s="25">
        <f>IF(OR($A174="",'04 Prices'!D174="",'04 Prices'!D175=""),"",LN('04 Prices'!D175/'04 Prices'!D174))</f>
        <v/>
      </c>
      <c r="E174" s="25">
        <f>IF(OR($A174="",'04 Prices'!E174="",'04 Prices'!E175=""),"",LN('04 Prices'!E175/'04 Prices'!E174))</f>
        <v/>
      </c>
      <c r="F174" s="25">
        <f>IF(OR($A174="",'04 Prices'!F174="",'04 Prices'!F175=""),"",LN('04 Prices'!F175/'04 Prices'!F174))</f>
        <v/>
      </c>
      <c r="G174" s="25">
        <f>IF(OR($A174="",'04 Prices'!G174="",'04 Prices'!G175=""),"",LN('04 Prices'!G175/'04 Prices'!G174))</f>
        <v/>
      </c>
      <c r="H174" s="25">
        <f>IF(OR($A174="",'04 Prices'!H174="",'04 Prices'!H175=""),"",LN('04 Prices'!H175/'04 Prices'!H174))</f>
        <v/>
      </c>
    </row>
    <row r="175">
      <c r="A175" s="23">
        <f>IF('04 Prices'!A176="","",'04 Prices'!A176)</f>
        <v/>
      </c>
      <c r="B175" s="25">
        <f>IF(OR($A175="",'04 Prices'!B175="",'04 Prices'!B176=""),"",LN('04 Prices'!B176/'04 Prices'!B175))</f>
        <v/>
      </c>
      <c r="C175" s="25">
        <f>IF(OR($A175="",'04 Prices'!C175="",'04 Prices'!C176=""),"",LN('04 Prices'!C176/'04 Prices'!C175))</f>
        <v/>
      </c>
      <c r="D175" s="25">
        <f>IF(OR($A175="",'04 Prices'!D175="",'04 Prices'!D176=""),"",LN('04 Prices'!D176/'04 Prices'!D175))</f>
        <v/>
      </c>
      <c r="E175" s="25">
        <f>IF(OR($A175="",'04 Prices'!E175="",'04 Prices'!E176=""),"",LN('04 Prices'!E176/'04 Prices'!E175))</f>
        <v/>
      </c>
      <c r="F175" s="25">
        <f>IF(OR($A175="",'04 Prices'!F175="",'04 Prices'!F176=""),"",LN('04 Prices'!F176/'04 Prices'!F175))</f>
        <v/>
      </c>
      <c r="G175" s="25">
        <f>IF(OR($A175="",'04 Prices'!G175="",'04 Prices'!G176=""),"",LN('04 Prices'!G176/'04 Prices'!G175))</f>
        <v/>
      </c>
      <c r="H175" s="25">
        <f>IF(OR($A175="",'04 Prices'!H175="",'04 Prices'!H176=""),"",LN('04 Prices'!H176/'04 Prices'!H175))</f>
        <v/>
      </c>
    </row>
    <row r="176">
      <c r="A176" s="23">
        <f>IF('04 Prices'!A177="","",'04 Prices'!A177)</f>
        <v/>
      </c>
      <c r="B176" s="25">
        <f>IF(OR($A176="",'04 Prices'!B176="",'04 Prices'!B177=""),"",LN('04 Prices'!B177/'04 Prices'!B176))</f>
        <v/>
      </c>
      <c r="C176" s="25">
        <f>IF(OR($A176="",'04 Prices'!C176="",'04 Prices'!C177=""),"",LN('04 Prices'!C177/'04 Prices'!C176))</f>
        <v/>
      </c>
      <c r="D176" s="25">
        <f>IF(OR($A176="",'04 Prices'!D176="",'04 Prices'!D177=""),"",LN('04 Prices'!D177/'04 Prices'!D176))</f>
        <v/>
      </c>
      <c r="E176" s="25">
        <f>IF(OR($A176="",'04 Prices'!E176="",'04 Prices'!E177=""),"",LN('04 Prices'!E177/'04 Prices'!E176))</f>
        <v/>
      </c>
      <c r="F176" s="25">
        <f>IF(OR($A176="",'04 Prices'!F176="",'04 Prices'!F177=""),"",LN('04 Prices'!F177/'04 Prices'!F176))</f>
        <v/>
      </c>
      <c r="G176" s="25">
        <f>IF(OR($A176="",'04 Prices'!G176="",'04 Prices'!G177=""),"",LN('04 Prices'!G177/'04 Prices'!G176))</f>
        <v/>
      </c>
      <c r="H176" s="25">
        <f>IF(OR($A176="",'04 Prices'!H176="",'04 Prices'!H177=""),"",LN('04 Prices'!H177/'04 Prices'!H176))</f>
        <v/>
      </c>
    </row>
    <row r="177">
      <c r="A177" s="23">
        <f>IF('04 Prices'!A178="","",'04 Prices'!A178)</f>
        <v/>
      </c>
      <c r="B177" s="25">
        <f>IF(OR($A177="",'04 Prices'!B177="",'04 Prices'!B178=""),"",LN('04 Prices'!B178/'04 Prices'!B177))</f>
        <v/>
      </c>
      <c r="C177" s="25">
        <f>IF(OR($A177="",'04 Prices'!C177="",'04 Prices'!C178=""),"",LN('04 Prices'!C178/'04 Prices'!C177))</f>
        <v/>
      </c>
      <c r="D177" s="25">
        <f>IF(OR($A177="",'04 Prices'!D177="",'04 Prices'!D178=""),"",LN('04 Prices'!D178/'04 Prices'!D177))</f>
        <v/>
      </c>
      <c r="E177" s="25">
        <f>IF(OR($A177="",'04 Prices'!E177="",'04 Prices'!E178=""),"",LN('04 Prices'!E178/'04 Prices'!E177))</f>
        <v/>
      </c>
      <c r="F177" s="25">
        <f>IF(OR($A177="",'04 Prices'!F177="",'04 Prices'!F178=""),"",LN('04 Prices'!F178/'04 Prices'!F177))</f>
        <v/>
      </c>
      <c r="G177" s="25">
        <f>IF(OR($A177="",'04 Prices'!G177="",'04 Prices'!G178=""),"",LN('04 Prices'!G178/'04 Prices'!G177))</f>
        <v/>
      </c>
      <c r="H177" s="25">
        <f>IF(OR($A177="",'04 Prices'!H177="",'04 Prices'!H178=""),"",LN('04 Prices'!H178/'04 Prices'!H177))</f>
        <v/>
      </c>
    </row>
    <row r="178">
      <c r="A178" s="23">
        <f>IF('04 Prices'!A179="","",'04 Prices'!A179)</f>
        <v/>
      </c>
      <c r="B178" s="25">
        <f>IF(OR($A178="",'04 Prices'!B178="",'04 Prices'!B179=""),"",LN('04 Prices'!B179/'04 Prices'!B178))</f>
        <v/>
      </c>
      <c r="C178" s="25">
        <f>IF(OR($A178="",'04 Prices'!C178="",'04 Prices'!C179=""),"",LN('04 Prices'!C179/'04 Prices'!C178))</f>
        <v/>
      </c>
      <c r="D178" s="25">
        <f>IF(OR($A178="",'04 Prices'!D178="",'04 Prices'!D179=""),"",LN('04 Prices'!D179/'04 Prices'!D178))</f>
        <v/>
      </c>
      <c r="E178" s="25">
        <f>IF(OR($A178="",'04 Prices'!E178="",'04 Prices'!E179=""),"",LN('04 Prices'!E179/'04 Prices'!E178))</f>
        <v/>
      </c>
      <c r="F178" s="25">
        <f>IF(OR($A178="",'04 Prices'!F178="",'04 Prices'!F179=""),"",LN('04 Prices'!F179/'04 Prices'!F178))</f>
        <v/>
      </c>
      <c r="G178" s="25">
        <f>IF(OR($A178="",'04 Prices'!G178="",'04 Prices'!G179=""),"",LN('04 Prices'!G179/'04 Prices'!G178))</f>
        <v/>
      </c>
      <c r="H178" s="25">
        <f>IF(OR($A178="",'04 Prices'!H178="",'04 Prices'!H179=""),"",LN('04 Prices'!H179/'04 Prices'!H178))</f>
        <v/>
      </c>
    </row>
    <row r="179">
      <c r="A179" s="23">
        <f>IF('04 Prices'!A180="","",'04 Prices'!A180)</f>
        <v/>
      </c>
      <c r="B179" s="25">
        <f>IF(OR($A179="",'04 Prices'!B179="",'04 Prices'!B180=""),"",LN('04 Prices'!B180/'04 Prices'!B179))</f>
        <v/>
      </c>
      <c r="C179" s="25">
        <f>IF(OR($A179="",'04 Prices'!C179="",'04 Prices'!C180=""),"",LN('04 Prices'!C180/'04 Prices'!C179))</f>
        <v/>
      </c>
      <c r="D179" s="25">
        <f>IF(OR($A179="",'04 Prices'!D179="",'04 Prices'!D180=""),"",LN('04 Prices'!D180/'04 Prices'!D179))</f>
        <v/>
      </c>
      <c r="E179" s="25">
        <f>IF(OR($A179="",'04 Prices'!E179="",'04 Prices'!E180=""),"",LN('04 Prices'!E180/'04 Prices'!E179))</f>
        <v/>
      </c>
      <c r="F179" s="25">
        <f>IF(OR($A179="",'04 Prices'!F179="",'04 Prices'!F180=""),"",LN('04 Prices'!F180/'04 Prices'!F179))</f>
        <v/>
      </c>
      <c r="G179" s="25">
        <f>IF(OR($A179="",'04 Prices'!G179="",'04 Prices'!G180=""),"",LN('04 Prices'!G180/'04 Prices'!G179))</f>
        <v/>
      </c>
      <c r="H179" s="25">
        <f>IF(OR($A179="",'04 Prices'!H179="",'04 Prices'!H180=""),"",LN('04 Prices'!H180/'04 Prices'!H179))</f>
        <v/>
      </c>
    </row>
    <row r="180">
      <c r="A180" s="23">
        <f>IF('04 Prices'!A181="","",'04 Prices'!A181)</f>
        <v/>
      </c>
      <c r="B180" s="25">
        <f>IF(OR($A180="",'04 Prices'!B180="",'04 Prices'!B181=""),"",LN('04 Prices'!B181/'04 Prices'!B180))</f>
        <v/>
      </c>
      <c r="C180" s="25">
        <f>IF(OR($A180="",'04 Prices'!C180="",'04 Prices'!C181=""),"",LN('04 Prices'!C181/'04 Prices'!C180))</f>
        <v/>
      </c>
      <c r="D180" s="25">
        <f>IF(OR($A180="",'04 Prices'!D180="",'04 Prices'!D181=""),"",LN('04 Prices'!D181/'04 Prices'!D180))</f>
        <v/>
      </c>
      <c r="E180" s="25">
        <f>IF(OR($A180="",'04 Prices'!E180="",'04 Prices'!E181=""),"",LN('04 Prices'!E181/'04 Prices'!E180))</f>
        <v/>
      </c>
      <c r="F180" s="25">
        <f>IF(OR($A180="",'04 Prices'!F180="",'04 Prices'!F181=""),"",LN('04 Prices'!F181/'04 Prices'!F180))</f>
        <v/>
      </c>
      <c r="G180" s="25">
        <f>IF(OR($A180="",'04 Prices'!G180="",'04 Prices'!G181=""),"",LN('04 Prices'!G181/'04 Prices'!G180))</f>
        <v/>
      </c>
      <c r="H180" s="25">
        <f>IF(OR($A180="",'04 Prices'!H180="",'04 Prices'!H181=""),"",LN('04 Prices'!H181/'04 Prices'!H180))</f>
        <v/>
      </c>
    </row>
    <row r="181">
      <c r="A181" s="23">
        <f>IF('04 Prices'!A182="","",'04 Prices'!A182)</f>
        <v/>
      </c>
      <c r="B181" s="25">
        <f>IF(OR($A181="",'04 Prices'!B181="",'04 Prices'!B182=""),"",LN('04 Prices'!B182/'04 Prices'!B181))</f>
        <v/>
      </c>
      <c r="C181" s="25">
        <f>IF(OR($A181="",'04 Prices'!C181="",'04 Prices'!C182=""),"",LN('04 Prices'!C182/'04 Prices'!C181))</f>
        <v/>
      </c>
      <c r="D181" s="25">
        <f>IF(OR($A181="",'04 Prices'!D181="",'04 Prices'!D182=""),"",LN('04 Prices'!D182/'04 Prices'!D181))</f>
        <v/>
      </c>
      <c r="E181" s="25">
        <f>IF(OR($A181="",'04 Prices'!E181="",'04 Prices'!E182=""),"",LN('04 Prices'!E182/'04 Prices'!E181))</f>
        <v/>
      </c>
      <c r="F181" s="25">
        <f>IF(OR($A181="",'04 Prices'!F181="",'04 Prices'!F182=""),"",LN('04 Prices'!F182/'04 Prices'!F181))</f>
        <v/>
      </c>
      <c r="G181" s="25">
        <f>IF(OR($A181="",'04 Prices'!G181="",'04 Prices'!G182=""),"",LN('04 Prices'!G182/'04 Prices'!G181))</f>
        <v/>
      </c>
      <c r="H181" s="25">
        <f>IF(OR($A181="",'04 Prices'!H181="",'04 Prices'!H182=""),"",LN('04 Prices'!H182/'04 Prices'!H181))</f>
        <v/>
      </c>
    </row>
    <row r="182">
      <c r="A182" s="23">
        <f>IF('04 Prices'!A183="","",'04 Prices'!A183)</f>
        <v/>
      </c>
      <c r="B182" s="25">
        <f>IF(OR($A182="",'04 Prices'!B182="",'04 Prices'!B183=""),"",LN('04 Prices'!B183/'04 Prices'!B182))</f>
        <v/>
      </c>
      <c r="C182" s="25">
        <f>IF(OR($A182="",'04 Prices'!C182="",'04 Prices'!C183=""),"",LN('04 Prices'!C183/'04 Prices'!C182))</f>
        <v/>
      </c>
      <c r="D182" s="25">
        <f>IF(OR($A182="",'04 Prices'!D182="",'04 Prices'!D183=""),"",LN('04 Prices'!D183/'04 Prices'!D182))</f>
        <v/>
      </c>
      <c r="E182" s="25">
        <f>IF(OR($A182="",'04 Prices'!E182="",'04 Prices'!E183=""),"",LN('04 Prices'!E183/'04 Prices'!E182))</f>
        <v/>
      </c>
      <c r="F182" s="25">
        <f>IF(OR($A182="",'04 Prices'!F182="",'04 Prices'!F183=""),"",LN('04 Prices'!F183/'04 Prices'!F182))</f>
        <v/>
      </c>
      <c r="G182" s="25">
        <f>IF(OR($A182="",'04 Prices'!G182="",'04 Prices'!G183=""),"",LN('04 Prices'!G183/'04 Prices'!G182))</f>
        <v/>
      </c>
      <c r="H182" s="25">
        <f>IF(OR($A182="",'04 Prices'!H182="",'04 Prices'!H183=""),"",LN('04 Prices'!H183/'04 Prices'!H182))</f>
        <v/>
      </c>
    </row>
    <row r="183">
      <c r="A183" s="23">
        <f>IF('04 Prices'!A184="","",'04 Prices'!A184)</f>
        <v/>
      </c>
      <c r="B183" s="25">
        <f>IF(OR($A183="",'04 Prices'!B183="",'04 Prices'!B184=""),"",LN('04 Prices'!B184/'04 Prices'!B183))</f>
        <v/>
      </c>
      <c r="C183" s="25">
        <f>IF(OR($A183="",'04 Prices'!C183="",'04 Prices'!C184=""),"",LN('04 Prices'!C184/'04 Prices'!C183))</f>
        <v/>
      </c>
      <c r="D183" s="25">
        <f>IF(OR($A183="",'04 Prices'!D183="",'04 Prices'!D184=""),"",LN('04 Prices'!D184/'04 Prices'!D183))</f>
        <v/>
      </c>
      <c r="E183" s="25">
        <f>IF(OR($A183="",'04 Prices'!E183="",'04 Prices'!E184=""),"",LN('04 Prices'!E184/'04 Prices'!E183))</f>
        <v/>
      </c>
      <c r="F183" s="25">
        <f>IF(OR($A183="",'04 Prices'!F183="",'04 Prices'!F184=""),"",LN('04 Prices'!F184/'04 Prices'!F183))</f>
        <v/>
      </c>
      <c r="G183" s="25">
        <f>IF(OR($A183="",'04 Prices'!G183="",'04 Prices'!G184=""),"",LN('04 Prices'!G184/'04 Prices'!G183))</f>
        <v/>
      </c>
      <c r="H183" s="25">
        <f>IF(OR($A183="",'04 Prices'!H183="",'04 Prices'!H184=""),"",LN('04 Prices'!H184/'04 Prices'!H183))</f>
        <v/>
      </c>
    </row>
    <row r="184">
      <c r="A184" s="23">
        <f>IF('04 Prices'!A185="","",'04 Prices'!A185)</f>
        <v/>
      </c>
      <c r="B184" s="25">
        <f>IF(OR($A184="",'04 Prices'!B184="",'04 Prices'!B185=""),"",LN('04 Prices'!B185/'04 Prices'!B184))</f>
        <v/>
      </c>
      <c r="C184" s="25">
        <f>IF(OR($A184="",'04 Prices'!C184="",'04 Prices'!C185=""),"",LN('04 Prices'!C185/'04 Prices'!C184))</f>
        <v/>
      </c>
      <c r="D184" s="25">
        <f>IF(OR($A184="",'04 Prices'!D184="",'04 Prices'!D185=""),"",LN('04 Prices'!D185/'04 Prices'!D184))</f>
        <v/>
      </c>
      <c r="E184" s="25">
        <f>IF(OR($A184="",'04 Prices'!E184="",'04 Prices'!E185=""),"",LN('04 Prices'!E185/'04 Prices'!E184))</f>
        <v/>
      </c>
      <c r="F184" s="25">
        <f>IF(OR($A184="",'04 Prices'!F184="",'04 Prices'!F185=""),"",LN('04 Prices'!F185/'04 Prices'!F184))</f>
        <v/>
      </c>
      <c r="G184" s="25">
        <f>IF(OR($A184="",'04 Prices'!G184="",'04 Prices'!G185=""),"",LN('04 Prices'!G185/'04 Prices'!G184))</f>
        <v/>
      </c>
      <c r="H184" s="25">
        <f>IF(OR($A184="",'04 Prices'!H184="",'04 Prices'!H185=""),"",LN('04 Prices'!H185/'04 Prices'!H184))</f>
        <v/>
      </c>
    </row>
    <row r="185">
      <c r="A185" s="23">
        <f>IF('04 Prices'!A186="","",'04 Prices'!A186)</f>
        <v/>
      </c>
      <c r="B185" s="25">
        <f>IF(OR($A185="",'04 Prices'!B185="",'04 Prices'!B186=""),"",LN('04 Prices'!B186/'04 Prices'!B185))</f>
        <v/>
      </c>
      <c r="C185" s="25">
        <f>IF(OR($A185="",'04 Prices'!C185="",'04 Prices'!C186=""),"",LN('04 Prices'!C186/'04 Prices'!C185))</f>
        <v/>
      </c>
      <c r="D185" s="25">
        <f>IF(OR($A185="",'04 Prices'!D185="",'04 Prices'!D186=""),"",LN('04 Prices'!D186/'04 Prices'!D185))</f>
        <v/>
      </c>
      <c r="E185" s="25">
        <f>IF(OR($A185="",'04 Prices'!E185="",'04 Prices'!E186=""),"",LN('04 Prices'!E186/'04 Prices'!E185))</f>
        <v/>
      </c>
      <c r="F185" s="25">
        <f>IF(OR($A185="",'04 Prices'!F185="",'04 Prices'!F186=""),"",LN('04 Prices'!F186/'04 Prices'!F185))</f>
        <v/>
      </c>
      <c r="G185" s="25">
        <f>IF(OR($A185="",'04 Prices'!G185="",'04 Prices'!G186=""),"",LN('04 Prices'!G186/'04 Prices'!G185))</f>
        <v/>
      </c>
      <c r="H185" s="25">
        <f>IF(OR($A185="",'04 Prices'!H185="",'04 Prices'!H186=""),"",LN('04 Prices'!H186/'04 Prices'!H185))</f>
        <v/>
      </c>
    </row>
    <row r="186">
      <c r="A186" s="23">
        <f>IF('04 Prices'!A187="","",'04 Prices'!A187)</f>
        <v/>
      </c>
      <c r="B186" s="25">
        <f>IF(OR($A186="",'04 Prices'!B186="",'04 Prices'!B187=""),"",LN('04 Prices'!B187/'04 Prices'!B186))</f>
        <v/>
      </c>
      <c r="C186" s="25">
        <f>IF(OR($A186="",'04 Prices'!C186="",'04 Prices'!C187=""),"",LN('04 Prices'!C187/'04 Prices'!C186))</f>
        <v/>
      </c>
      <c r="D186" s="25">
        <f>IF(OR($A186="",'04 Prices'!D186="",'04 Prices'!D187=""),"",LN('04 Prices'!D187/'04 Prices'!D186))</f>
        <v/>
      </c>
      <c r="E186" s="25">
        <f>IF(OR($A186="",'04 Prices'!E186="",'04 Prices'!E187=""),"",LN('04 Prices'!E187/'04 Prices'!E186))</f>
        <v/>
      </c>
      <c r="F186" s="25">
        <f>IF(OR($A186="",'04 Prices'!F186="",'04 Prices'!F187=""),"",LN('04 Prices'!F187/'04 Prices'!F186))</f>
        <v/>
      </c>
      <c r="G186" s="25">
        <f>IF(OR($A186="",'04 Prices'!G186="",'04 Prices'!G187=""),"",LN('04 Prices'!G187/'04 Prices'!G186))</f>
        <v/>
      </c>
      <c r="H186" s="25">
        <f>IF(OR($A186="",'04 Prices'!H186="",'04 Prices'!H187=""),"",LN('04 Prices'!H187/'04 Prices'!H186))</f>
        <v/>
      </c>
    </row>
    <row r="187">
      <c r="A187" s="23">
        <f>IF('04 Prices'!A188="","",'04 Prices'!A188)</f>
        <v/>
      </c>
      <c r="B187" s="25">
        <f>IF(OR($A187="",'04 Prices'!B187="",'04 Prices'!B188=""),"",LN('04 Prices'!B188/'04 Prices'!B187))</f>
        <v/>
      </c>
      <c r="C187" s="25">
        <f>IF(OR($A187="",'04 Prices'!C187="",'04 Prices'!C188=""),"",LN('04 Prices'!C188/'04 Prices'!C187))</f>
        <v/>
      </c>
      <c r="D187" s="25">
        <f>IF(OR($A187="",'04 Prices'!D187="",'04 Prices'!D188=""),"",LN('04 Prices'!D188/'04 Prices'!D187))</f>
        <v/>
      </c>
      <c r="E187" s="25">
        <f>IF(OR($A187="",'04 Prices'!E187="",'04 Prices'!E188=""),"",LN('04 Prices'!E188/'04 Prices'!E187))</f>
        <v/>
      </c>
      <c r="F187" s="25">
        <f>IF(OR($A187="",'04 Prices'!F187="",'04 Prices'!F188=""),"",LN('04 Prices'!F188/'04 Prices'!F187))</f>
        <v/>
      </c>
      <c r="G187" s="25">
        <f>IF(OR($A187="",'04 Prices'!G187="",'04 Prices'!G188=""),"",LN('04 Prices'!G188/'04 Prices'!G187))</f>
        <v/>
      </c>
      <c r="H187" s="25">
        <f>IF(OR($A187="",'04 Prices'!H187="",'04 Prices'!H188=""),"",LN('04 Prices'!H188/'04 Prices'!H187))</f>
        <v/>
      </c>
    </row>
    <row r="188">
      <c r="A188" s="23">
        <f>IF('04 Prices'!A189="","",'04 Prices'!A189)</f>
        <v/>
      </c>
      <c r="B188" s="25">
        <f>IF(OR($A188="",'04 Prices'!B188="",'04 Prices'!B189=""),"",LN('04 Prices'!B189/'04 Prices'!B188))</f>
        <v/>
      </c>
      <c r="C188" s="25">
        <f>IF(OR($A188="",'04 Prices'!C188="",'04 Prices'!C189=""),"",LN('04 Prices'!C189/'04 Prices'!C188))</f>
        <v/>
      </c>
      <c r="D188" s="25">
        <f>IF(OR($A188="",'04 Prices'!D188="",'04 Prices'!D189=""),"",LN('04 Prices'!D189/'04 Prices'!D188))</f>
        <v/>
      </c>
      <c r="E188" s="25">
        <f>IF(OR($A188="",'04 Prices'!E188="",'04 Prices'!E189=""),"",LN('04 Prices'!E189/'04 Prices'!E188))</f>
        <v/>
      </c>
      <c r="F188" s="25">
        <f>IF(OR($A188="",'04 Prices'!F188="",'04 Prices'!F189=""),"",LN('04 Prices'!F189/'04 Prices'!F188))</f>
        <v/>
      </c>
      <c r="G188" s="25">
        <f>IF(OR($A188="",'04 Prices'!G188="",'04 Prices'!G189=""),"",LN('04 Prices'!G189/'04 Prices'!G188))</f>
        <v/>
      </c>
      <c r="H188" s="25">
        <f>IF(OR($A188="",'04 Prices'!H188="",'04 Prices'!H189=""),"",LN('04 Prices'!H189/'04 Prices'!H188))</f>
        <v/>
      </c>
    </row>
    <row r="189">
      <c r="A189" s="23">
        <f>IF('04 Prices'!A190="","",'04 Prices'!A190)</f>
        <v/>
      </c>
      <c r="B189" s="25">
        <f>IF(OR($A189="",'04 Prices'!B189="",'04 Prices'!B190=""),"",LN('04 Prices'!B190/'04 Prices'!B189))</f>
        <v/>
      </c>
      <c r="C189" s="25">
        <f>IF(OR($A189="",'04 Prices'!C189="",'04 Prices'!C190=""),"",LN('04 Prices'!C190/'04 Prices'!C189))</f>
        <v/>
      </c>
      <c r="D189" s="25">
        <f>IF(OR($A189="",'04 Prices'!D189="",'04 Prices'!D190=""),"",LN('04 Prices'!D190/'04 Prices'!D189))</f>
        <v/>
      </c>
      <c r="E189" s="25">
        <f>IF(OR($A189="",'04 Prices'!E189="",'04 Prices'!E190=""),"",LN('04 Prices'!E190/'04 Prices'!E189))</f>
        <v/>
      </c>
      <c r="F189" s="25">
        <f>IF(OR($A189="",'04 Prices'!F189="",'04 Prices'!F190=""),"",LN('04 Prices'!F190/'04 Prices'!F189))</f>
        <v/>
      </c>
      <c r="G189" s="25">
        <f>IF(OR($A189="",'04 Prices'!G189="",'04 Prices'!G190=""),"",LN('04 Prices'!G190/'04 Prices'!G189))</f>
        <v/>
      </c>
      <c r="H189" s="25">
        <f>IF(OR($A189="",'04 Prices'!H189="",'04 Prices'!H190=""),"",LN('04 Prices'!H190/'04 Prices'!H189))</f>
        <v/>
      </c>
    </row>
    <row r="190">
      <c r="A190" s="23">
        <f>IF('04 Prices'!A191="","",'04 Prices'!A191)</f>
        <v/>
      </c>
      <c r="B190" s="25">
        <f>IF(OR($A190="",'04 Prices'!B190="",'04 Prices'!B191=""),"",LN('04 Prices'!B191/'04 Prices'!B190))</f>
        <v/>
      </c>
      <c r="C190" s="25">
        <f>IF(OR($A190="",'04 Prices'!C190="",'04 Prices'!C191=""),"",LN('04 Prices'!C191/'04 Prices'!C190))</f>
        <v/>
      </c>
      <c r="D190" s="25">
        <f>IF(OR($A190="",'04 Prices'!D190="",'04 Prices'!D191=""),"",LN('04 Prices'!D191/'04 Prices'!D190))</f>
        <v/>
      </c>
      <c r="E190" s="25">
        <f>IF(OR($A190="",'04 Prices'!E190="",'04 Prices'!E191=""),"",LN('04 Prices'!E191/'04 Prices'!E190))</f>
        <v/>
      </c>
      <c r="F190" s="25">
        <f>IF(OR($A190="",'04 Prices'!F190="",'04 Prices'!F191=""),"",LN('04 Prices'!F191/'04 Prices'!F190))</f>
        <v/>
      </c>
      <c r="G190" s="25">
        <f>IF(OR($A190="",'04 Prices'!G190="",'04 Prices'!G191=""),"",LN('04 Prices'!G191/'04 Prices'!G190))</f>
        <v/>
      </c>
      <c r="H190" s="25">
        <f>IF(OR($A190="",'04 Prices'!H190="",'04 Prices'!H191=""),"",LN('04 Prices'!H191/'04 Prices'!H190))</f>
        <v/>
      </c>
    </row>
    <row r="191">
      <c r="A191" s="23">
        <f>IF('04 Prices'!A192="","",'04 Prices'!A192)</f>
        <v/>
      </c>
      <c r="B191" s="25">
        <f>IF(OR($A191="",'04 Prices'!B191="",'04 Prices'!B192=""),"",LN('04 Prices'!B192/'04 Prices'!B191))</f>
        <v/>
      </c>
      <c r="C191" s="25">
        <f>IF(OR($A191="",'04 Prices'!C191="",'04 Prices'!C192=""),"",LN('04 Prices'!C192/'04 Prices'!C191))</f>
        <v/>
      </c>
      <c r="D191" s="25">
        <f>IF(OR($A191="",'04 Prices'!D191="",'04 Prices'!D192=""),"",LN('04 Prices'!D192/'04 Prices'!D191))</f>
        <v/>
      </c>
      <c r="E191" s="25">
        <f>IF(OR($A191="",'04 Prices'!E191="",'04 Prices'!E192=""),"",LN('04 Prices'!E192/'04 Prices'!E191))</f>
        <v/>
      </c>
      <c r="F191" s="25">
        <f>IF(OR($A191="",'04 Prices'!F191="",'04 Prices'!F192=""),"",LN('04 Prices'!F192/'04 Prices'!F191))</f>
        <v/>
      </c>
      <c r="G191" s="25">
        <f>IF(OR($A191="",'04 Prices'!G191="",'04 Prices'!G192=""),"",LN('04 Prices'!G192/'04 Prices'!G191))</f>
        <v/>
      </c>
      <c r="H191" s="25">
        <f>IF(OR($A191="",'04 Prices'!H191="",'04 Prices'!H192=""),"",LN('04 Prices'!H192/'04 Prices'!H191))</f>
        <v/>
      </c>
    </row>
    <row r="192">
      <c r="A192" s="23">
        <f>IF('04 Prices'!A193="","",'04 Prices'!A193)</f>
        <v/>
      </c>
      <c r="B192" s="25">
        <f>IF(OR($A192="",'04 Prices'!B192="",'04 Prices'!B193=""),"",LN('04 Prices'!B193/'04 Prices'!B192))</f>
        <v/>
      </c>
      <c r="C192" s="25">
        <f>IF(OR($A192="",'04 Prices'!C192="",'04 Prices'!C193=""),"",LN('04 Prices'!C193/'04 Prices'!C192))</f>
        <v/>
      </c>
      <c r="D192" s="25">
        <f>IF(OR($A192="",'04 Prices'!D192="",'04 Prices'!D193=""),"",LN('04 Prices'!D193/'04 Prices'!D192))</f>
        <v/>
      </c>
      <c r="E192" s="25">
        <f>IF(OR($A192="",'04 Prices'!E192="",'04 Prices'!E193=""),"",LN('04 Prices'!E193/'04 Prices'!E192))</f>
        <v/>
      </c>
      <c r="F192" s="25">
        <f>IF(OR($A192="",'04 Prices'!F192="",'04 Prices'!F193=""),"",LN('04 Prices'!F193/'04 Prices'!F192))</f>
        <v/>
      </c>
      <c r="G192" s="25">
        <f>IF(OR($A192="",'04 Prices'!G192="",'04 Prices'!G193=""),"",LN('04 Prices'!G193/'04 Prices'!G192))</f>
        <v/>
      </c>
      <c r="H192" s="25">
        <f>IF(OR($A192="",'04 Prices'!H192="",'04 Prices'!H193=""),"",LN('04 Prices'!H193/'04 Prices'!H192))</f>
        <v/>
      </c>
    </row>
    <row r="193">
      <c r="A193" s="23">
        <f>IF('04 Prices'!A194="","",'04 Prices'!A194)</f>
        <v/>
      </c>
      <c r="B193" s="25">
        <f>IF(OR($A193="",'04 Prices'!B193="",'04 Prices'!B194=""),"",LN('04 Prices'!B194/'04 Prices'!B193))</f>
        <v/>
      </c>
      <c r="C193" s="25">
        <f>IF(OR($A193="",'04 Prices'!C193="",'04 Prices'!C194=""),"",LN('04 Prices'!C194/'04 Prices'!C193))</f>
        <v/>
      </c>
      <c r="D193" s="25">
        <f>IF(OR($A193="",'04 Prices'!D193="",'04 Prices'!D194=""),"",LN('04 Prices'!D194/'04 Prices'!D193))</f>
        <v/>
      </c>
      <c r="E193" s="25">
        <f>IF(OR($A193="",'04 Prices'!E193="",'04 Prices'!E194=""),"",LN('04 Prices'!E194/'04 Prices'!E193))</f>
        <v/>
      </c>
      <c r="F193" s="25">
        <f>IF(OR($A193="",'04 Prices'!F193="",'04 Prices'!F194=""),"",LN('04 Prices'!F194/'04 Prices'!F193))</f>
        <v/>
      </c>
      <c r="G193" s="25">
        <f>IF(OR($A193="",'04 Prices'!G193="",'04 Prices'!G194=""),"",LN('04 Prices'!G194/'04 Prices'!G193))</f>
        <v/>
      </c>
      <c r="H193" s="25">
        <f>IF(OR($A193="",'04 Prices'!H193="",'04 Prices'!H194=""),"",LN('04 Prices'!H194/'04 Prices'!H193))</f>
        <v/>
      </c>
    </row>
    <row r="194">
      <c r="A194" s="23">
        <f>IF('04 Prices'!A195="","",'04 Prices'!A195)</f>
        <v/>
      </c>
      <c r="B194" s="25">
        <f>IF(OR($A194="",'04 Prices'!B194="",'04 Prices'!B195=""),"",LN('04 Prices'!B195/'04 Prices'!B194))</f>
        <v/>
      </c>
      <c r="C194" s="25">
        <f>IF(OR($A194="",'04 Prices'!C194="",'04 Prices'!C195=""),"",LN('04 Prices'!C195/'04 Prices'!C194))</f>
        <v/>
      </c>
      <c r="D194" s="25">
        <f>IF(OR($A194="",'04 Prices'!D194="",'04 Prices'!D195=""),"",LN('04 Prices'!D195/'04 Prices'!D194))</f>
        <v/>
      </c>
      <c r="E194" s="25">
        <f>IF(OR($A194="",'04 Prices'!E194="",'04 Prices'!E195=""),"",LN('04 Prices'!E195/'04 Prices'!E194))</f>
        <v/>
      </c>
      <c r="F194" s="25">
        <f>IF(OR($A194="",'04 Prices'!F194="",'04 Prices'!F195=""),"",LN('04 Prices'!F195/'04 Prices'!F194))</f>
        <v/>
      </c>
      <c r="G194" s="25">
        <f>IF(OR($A194="",'04 Prices'!G194="",'04 Prices'!G195=""),"",LN('04 Prices'!G195/'04 Prices'!G194))</f>
        <v/>
      </c>
      <c r="H194" s="25">
        <f>IF(OR($A194="",'04 Prices'!H194="",'04 Prices'!H195=""),"",LN('04 Prices'!H195/'04 Prices'!H194))</f>
        <v/>
      </c>
    </row>
    <row r="195">
      <c r="A195" s="23">
        <f>IF('04 Prices'!A196="","",'04 Prices'!A196)</f>
        <v/>
      </c>
      <c r="B195" s="25">
        <f>IF(OR($A195="",'04 Prices'!B195="",'04 Prices'!B196=""),"",LN('04 Prices'!B196/'04 Prices'!B195))</f>
        <v/>
      </c>
      <c r="C195" s="25">
        <f>IF(OR($A195="",'04 Prices'!C195="",'04 Prices'!C196=""),"",LN('04 Prices'!C196/'04 Prices'!C195))</f>
        <v/>
      </c>
      <c r="D195" s="25">
        <f>IF(OR($A195="",'04 Prices'!D195="",'04 Prices'!D196=""),"",LN('04 Prices'!D196/'04 Prices'!D195))</f>
        <v/>
      </c>
      <c r="E195" s="25">
        <f>IF(OR($A195="",'04 Prices'!E195="",'04 Prices'!E196=""),"",LN('04 Prices'!E196/'04 Prices'!E195))</f>
        <v/>
      </c>
      <c r="F195" s="25">
        <f>IF(OR($A195="",'04 Prices'!F195="",'04 Prices'!F196=""),"",LN('04 Prices'!F196/'04 Prices'!F195))</f>
        <v/>
      </c>
      <c r="G195" s="25">
        <f>IF(OR($A195="",'04 Prices'!G195="",'04 Prices'!G196=""),"",LN('04 Prices'!G196/'04 Prices'!G195))</f>
        <v/>
      </c>
      <c r="H195" s="25">
        <f>IF(OR($A195="",'04 Prices'!H195="",'04 Prices'!H196=""),"",LN('04 Prices'!H196/'04 Prices'!H195))</f>
        <v/>
      </c>
    </row>
    <row r="196">
      <c r="A196" s="23">
        <f>IF('04 Prices'!A197="","",'04 Prices'!A197)</f>
        <v/>
      </c>
      <c r="B196" s="25">
        <f>IF(OR($A196="",'04 Prices'!B196="",'04 Prices'!B197=""),"",LN('04 Prices'!B197/'04 Prices'!B196))</f>
        <v/>
      </c>
      <c r="C196" s="25">
        <f>IF(OR($A196="",'04 Prices'!C196="",'04 Prices'!C197=""),"",LN('04 Prices'!C197/'04 Prices'!C196))</f>
        <v/>
      </c>
      <c r="D196" s="25">
        <f>IF(OR($A196="",'04 Prices'!D196="",'04 Prices'!D197=""),"",LN('04 Prices'!D197/'04 Prices'!D196))</f>
        <v/>
      </c>
      <c r="E196" s="25">
        <f>IF(OR($A196="",'04 Prices'!E196="",'04 Prices'!E197=""),"",LN('04 Prices'!E197/'04 Prices'!E196))</f>
        <v/>
      </c>
      <c r="F196" s="25">
        <f>IF(OR($A196="",'04 Prices'!F196="",'04 Prices'!F197=""),"",LN('04 Prices'!F197/'04 Prices'!F196))</f>
        <v/>
      </c>
      <c r="G196" s="25">
        <f>IF(OR($A196="",'04 Prices'!G196="",'04 Prices'!G197=""),"",LN('04 Prices'!G197/'04 Prices'!G196))</f>
        <v/>
      </c>
      <c r="H196" s="25">
        <f>IF(OR($A196="",'04 Prices'!H196="",'04 Prices'!H197=""),"",LN('04 Prices'!H197/'04 Prices'!H196))</f>
        <v/>
      </c>
    </row>
    <row r="197">
      <c r="A197" s="23">
        <f>IF('04 Prices'!A198="","",'04 Prices'!A198)</f>
        <v/>
      </c>
      <c r="B197" s="25">
        <f>IF(OR($A197="",'04 Prices'!B197="",'04 Prices'!B198=""),"",LN('04 Prices'!B198/'04 Prices'!B197))</f>
        <v/>
      </c>
      <c r="C197" s="25">
        <f>IF(OR($A197="",'04 Prices'!C197="",'04 Prices'!C198=""),"",LN('04 Prices'!C198/'04 Prices'!C197))</f>
        <v/>
      </c>
      <c r="D197" s="25">
        <f>IF(OR($A197="",'04 Prices'!D197="",'04 Prices'!D198=""),"",LN('04 Prices'!D198/'04 Prices'!D197))</f>
        <v/>
      </c>
      <c r="E197" s="25">
        <f>IF(OR($A197="",'04 Prices'!E197="",'04 Prices'!E198=""),"",LN('04 Prices'!E198/'04 Prices'!E197))</f>
        <v/>
      </c>
      <c r="F197" s="25">
        <f>IF(OR($A197="",'04 Prices'!F197="",'04 Prices'!F198=""),"",LN('04 Prices'!F198/'04 Prices'!F197))</f>
        <v/>
      </c>
      <c r="G197" s="25">
        <f>IF(OR($A197="",'04 Prices'!G197="",'04 Prices'!G198=""),"",LN('04 Prices'!G198/'04 Prices'!G197))</f>
        <v/>
      </c>
      <c r="H197" s="25">
        <f>IF(OR($A197="",'04 Prices'!H197="",'04 Prices'!H198=""),"",LN('04 Prices'!H198/'04 Prices'!H197))</f>
        <v/>
      </c>
    </row>
    <row r="198">
      <c r="A198" s="23">
        <f>IF('04 Prices'!A199="","",'04 Prices'!A199)</f>
        <v/>
      </c>
      <c r="B198" s="25">
        <f>IF(OR($A198="",'04 Prices'!B198="",'04 Prices'!B199=""),"",LN('04 Prices'!B199/'04 Prices'!B198))</f>
        <v/>
      </c>
      <c r="C198" s="25">
        <f>IF(OR($A198="",'04 Prices'!C198="",'04 Prices'!C199=""),"",LN('04 Prices'!C199/'04 Prices'!C198))</f>
        <v/>
      </c>
      <c r="D198" s="25">
        <f>IF(OR($A198="",'04 Prices'!D198="",'04 Prices'!D199=""),"",LN('04 Prices'!D199/'04 Prices'!D198))</f>
        <v/>
      </c>
      <c r="E198" s="25">
        <f>IF(OR($A198="",'04 Prices'!E198="",'04 Prices'!E199=""),"",LN('04 Prices'!E199/'04 Prices'!E198))</f>
        <v/>
      </c>
      <c r="F198" s="25">
        <f>IF(OR($A198="",'04 Prices'!F198="",'04 Prices'!F199=""),"",LN('04 Prices'!F199/'04 Prices'!F198))</f>
        <v/>
      </c>
      <c r="G198" s="25">
        <f>IF(OR($A198="",'04 Prices'!G198="",'04 Prices'!G199=""),"",LN('04 Prices'!G199/'04 Prices'!G198))</f>
        <v/>
      </c>
      <c r="H198" s="25">
        <f>IF(OR($A198="",'04 Prices'!H198="",'04 Prices'!H199=""),"",LN('04 Prices'!H199/'04 Prices'!H198))</f>
        <v/>
      </c>
    </row>
    <row r="199">
      <c r="A199" s="23">
        <f>IF('04 Prices'!A200="","",'04 Prices'!A200)</f>
        <v/>
      </c>
      <c r="B199" s="25">
        <f>IF(OR($A199="",'04 Prices'!B199="",'04 Prices'!B200=""),"",LN('04 Prices'!B200/'04 Prices'!B199))</f>
        <v/>
      </c>
      <c r="C199" s="25">
        <f>IF(OR($A199="",'04 Prices'!C199="",'04 Prices'!C200=""),"",LN('04 Prices'!C200/'04 Prices'!C199))</f>
        <v/>
      </c>
      <c r="D199" s="25">
        <f>IF(OR($A199="",'04 Prices'!D199="",'04 Prices'!D200=""),"",LN('04 Prices'!D200/'04 Prices'!D199))</f>
        <v/>
      </c>
      <c r="E199" s="25">
        <f>IF(OR($A199="",'04 Prices'!E199="",'04 Prices'!E200=""),"",LN('04 Prices'!E200/'04 Prices'!E199))</f>
        <v/>
      </c>
      <c r="F199" s="25">
        <f>IF(OR($A199="",'04 Prices'!F199="",'04 Prices'!F200=""),"",LN('04 Prices'!F200/'04 Prices'!F199))</f>
        <v/>
      </c>
      <c r="G199" s="25">
        <f>IF(OR($A199="",'04 Prices'!G199="",'04 Prices'!G200=""),"",LN('04 Prices'!G200/'04 Prices'!G199))</f>
        <v/>
      </c>
      <c r="H199" s="25">
        <f>IF(OR($A199="",'04 Prices'!H199="",'04 Prices'!H200=""),"",LN('04 Prices'!H200/'04 Prices'!H199))</f>
        <v/>
      </c>
    </row>
    <row r="200">
      <c r="A200" s="23">
        <f>IF('04 Prices'!A201="","",'04 Prices'!A201)</f>
        <v/>
      </c>
      <c r="B200" s="25">
        <f>IF(OR($A200="",'04 Prices'!B200="",'04 Prices'!B201=""),"",LN('04 Prices'!B201/'04 Prices'!B200))</f>
        <v/>
      </c>
      <c r="C200" s="25">
        <f>IF(OR($A200="",'04 Prices'!C200="",'04 Prices'!C201=""),"",LN('04 Prices'!C201/'04 Prices'!C200))</f>
        <v/>
      </c>
      <c r="D200" s="25">
        <f>IF(OR($A200="",'04 Prices'!D200="",'04 Prices'!D201=""),"",LN('04 Prices'!D201/'04 Prices'!D200))</f>
        <v/>
      </c>
      <c r="E200" s="25">
        <f>IF(OR($A200="",'04 Prices'!E200="",'04 Prices'!E201=""),"",LN('04 Prices'!E201/'04 Prices'!E200))</f>
        <v/>
      </c>
      <c r="F200" s="25">
        <f>IF(OR($A200="",'04 Prices'!F200="",'04 Prices'!F201=""),"",LN('04 Prices'!F201/'04 Prices'!F200))</f>
        <v/>
      </c>
      <c r="G200" s="25">
        <f>IF(OR($A200="",'04 Prices'!G200="",'04 Prices'!G201=""),"",LN('04 Prices'!G201/'04 Prices'!G200))</f>
        <v/>
      </c>
      <c r="H200" s="25">
        <f>IF(OR($A200="",'04 Prices'!H200="",'04 Prices'!H201=""),"",LN('04 Prices'!H201/'04 Prices'!H200))</f>
        <v/>
      </c>
    </row>
    <row r="201">
      <c r="A201" s="23">
        <f>IF('04 Prices'!A202="","",'04 Prices'!A202)</f>
        <v/>
      </c>
      <c r="B201" s="25">
        <f>IF(OR($A201="",'04 Prices'!B201="",'04 Prices'!B202=""),"",LN('04 Prices'!B202/'04 Prices'!B201))</f>
        <v/>
      </c>
      <c r="C201" s="25">
        <f>IF(OR($A201="",'04 Prices'!C201="",'04 Prices'!C202=""),"",LN('04 Prices'!C202/'04 Prices'!C201))</f>
        <v/>
      </c>
      <c r="D201" s="25">
        <f>IF(OR($A201="",'04 Prices'!D201="",'04 Prices'!D202=""),"",LN('04 Prices'!D202/'04 Prices'!D201))</f>
        <v/>
      </c>
      <c r="E201" s="25">
        <f>IF(OR($A201="",'04 Prices'!E201="",'04 Prices'!E202=""),"",LN('04 Prices'!E202/'04 Prices'!E201))</f>
        <v/>
      </c>
      <c r="F201" s="25">
        <f>IF(OR($A201="",'04 Prices'!F201="",'04 Prices'!F202=""),"",LN('04 Prices'!F202/'04 Prices'!F201))</f>
        <v/>
      </c>
      <c r="G201" s="25">
        <f>IF(OR($A201="",'04 Prices'!G201="",'04 Prices'!G202=""),"",LN('04 Prices'!G202/'04 Prices'!G201))</f>
        <v/>
      </c>
      <c r="H201" s="25">
        <f>IF(OR($A201="",'04 Prices'!H201="",'04 Prices'!H202=""),"",LN('04 Prices'!H202/'04 Prices'!H201))</f>
        <v/>
      </c>
    </row>
    <row r="202">
      <c r="A202" s="23">
        <f>IF('04 Prices'!A203="","",'04 Prices'!A203)</f>
        <v/>
      </c>
      <c r="B202" s="25">
        <f>IF(OR($A202="",'04 Prices'!B202="",'04 Prices'!B203=""),"",LN('04 Prices'!B203/'04 Prices'!B202))</f>
        <v/>
      </c>
      <c r="C202" s="25">
        <f>IF(OR($A202="",'04 Prices'!C202="",'04 Prices'!C203=""),"",LN('04 Prices'!C203/'04 Prices'!C202))</f>
        <v/>
      </c>
      <c r="D202" s="25">
        <f>IF(OR($A202="",'04 Prices'!D202="",'04 Prices'!D203=""),"",LN('04 Prices'!D203/'04 Prices'!D202))</f>
        <v/>
      </c>
      <c r="E202" s="25">
        <f>IF(OR($A202="",'04 Prices'!E202="",'04 Prices'!E203=""),"",LN('04 Prices'!E203/'04 Prices'!E202))</f>
        <v/>
      </c>
      <c r="F202" s="25">
        <f>IF(OR($A202="",'04 Prices'!F202="",'04 Prices'!F203=""),"",LN('04 Prices'!F203/'04 Prices'!F202))</f>
        <v/>
      </c>
      <c r="G202" s="25">
        <f>IF(OR($A202="",'04 Prices'!G202="",'04 Prices'!G203=""),"",LN('04 Prices'!G203/'04 Prices'!G202))</f>
        <v/>
      </c>
      <c r="H202" s="25">
        <f>IF(OR($A202="",'04 Prices'!H202="",'04 Prices'!H203=""),"",LN('04 Prices'!H203/'04 Prices'!H202))</f>
        <v/>
      </c>
    </row>
    <row r="203">
      <c r="A203" s="23">
        <f>IF('04 Prices'!A204="","",'04 Prices'!A204)</f>
        <v/>
      </c>
      <c r="B203" s="25">
        <f>IF(OR($A203="",'04 Prices'!B203="",'04 Prices'!B204=""),"",LN('04 Prices'!B204/'04 Prices'!B203))</f>
        <v/>
      </c>
      <c r="C203" s="25">
        <f>IF(OR($A203="",'04 Prices'!C203="",'04 Prices'!C204=""),"",LN('04 Prices'!C204/'04 Prices'!C203))</f>
        <v/>
      </c>
      <c r="D203" s="25">
        <f>IF(OR($A203="",'04 Prices'!D203="",'04 Prices'!D204=""),"",LN('04 Prices'!D204/'04 Prices'!D203))</f>
        <v/>
      </c>
      <c r="E203" s="25">
        <f>IF(OR($A203="",'04 Prices'!E203="",'04 Prices'!E204=""),"",LN('04 Prices'!E204/'04 Prices'!E203))</f>
        <v/>
      </c>
      <c r="F203" s="25">
        <f>IF(OR($A203="",'04 Prices'!F203="",'04 Prices'!F204=""),"",LN('04 Prices'!F204/'04 Prices'!F203))</f>
        <v/>
      </c>
      <c r="G203" s="25">
        <f>IF(OR($A203="",'04 Prices'!G203="",'04 Prices'!G204=""),"",LN('04 Prices'!G204/'04 Prices'!G203))</f>
        <v/>
      </c>
      <c r="H203" s="25">
        <f>IF(OR($A203="",'04 Prices'!H203="",'04 Prices'!H204=""),"",LN('04 Prices'!H204/'04 Prices'!H203))</f>
        <v/>
      </c>
    </row>
    <row r="204">
      <c r="A204" s="23">
        <f>IF('04 Prices'!A205="","",'04 Prices'!A205)</f>
        <v/>
      </c>
      <c r="B204" s="25">
        <f>IF(OR($A204="",'04 Prices'!B204="",'04 Prices'!B205=""),"",LN('04 Prices'!B205/'04 Prices'!B204))</f>
        <v/>
      </c>
      <c r="C204" s="25">
        <f>IF(OR($A204="",'04 Prices'!C204="",'04 Prices'!C205=""),"",LN('04 Prices'!C205/'04 Prices'!C204))</f>
        <v/>
      </c>
      <c r="D204" s="25">
        <f>IF(OR($A204="",'04 Prices'!D204="",'04 Prices'!D205=""),"",LN('04 Prices'!D205/'04 Prices'!D204))</f>
        <v/>
      </c>
      <c r="E204" s="25">
        <f>IF(OR($A204="",'04 Prices'!E204="",'04 Prices'!E205=""),"",LN('04 Prices'!E205/'04 Prices'!E204))</f>
        <v/>
      </c>
      <c r="F204" s="25">
        <f>IF(OR($A204="",'04 Prices'!F204="",'04 Prices'!F205=""),"",LN('04 Prices'!F205/'04 Prices'!F204))</f>
        <v/>
      </c>
      <c r="G204" s="25">
        <f>IF(OR($A204="",'04 Prices'!G204="",'04 Prices'!G205=""),"",LN('04 Prices'!G205/'04 Prices'!G204))</f>
        <v/>
      </c>
      <c r="H204" s="25">
        <f>IF(OR($A204="",'04 Prices'!H204="",'04 Prices'!H205=""),"",LN('04 Prices'!H205/'04 Prices'!H204))</f>
        <v/>
      </c>
    </row>
    <row r="205">
      <c r="A205" s="23">
        <f>IF('04 Prices'!A206="","",'04 Prices'!A206)</f>
        <v/>
      </c>
      <c r="B205" s="25">
        <f>IF(OR($A205="",'04 Prices'!B205="",'04 Prices'!B206=""),"",LN('04 Prices'!B206/'04 Prices'!B205))</f>
        <v/>
      </c>
      <c r="C205" s="25">
        <f>IF(OR($A205="",'04 Prices'!C205="",'04 Prices'!C206=""),"",LN('04 Prices'!C206/'04 Prices'!C205))</f>
        <v/>
      </c>
      <c r="D205" s="25">
        <f>IF(OR($A205="",'04 Prices'!D205="",'04 Prices'!D206=""),"",LN('04 Prices'!D206/'04 Prices'!D205))</f>
        <v/>
      </c>
      <c r="E205" s="25">
        <f>IF(OR($A205="",'04 Prices'!E205="",'04 Prices'!E206=""),"",LN('04 Prices'!E206/'04 Prices'!E205))</f>
        <v/>
      </c>
      <c r="F205" s="25">
        <f>IF(OR($A205="",'04 Prices'!F205="",'04 Prices'!F206=""),"",LN('04 Prices'!F206/'04 Prices'!F205))</f>
        <v/>
      </c>
      <c r="G205" s="25">
        <f>IF(OR($A205="",'04 Prices'!G205="",'04 Prices'!G206=""),"",LN('04 Prices'!G206/'04 Prices'!G205))</f>
        <v/>
      </c>
      <c r="H205" s="25">
        <f>IF(OR($A205="",'04 Prices'!H205="",'04 Prices'!H206=""),"",LN('04 Prices'!H206/'04 Prices'!H205))</f>
        <v/>
      </c>
    </row>
    <row r="206">
      <c r="A206" s="23">
        <f>IF('04 Prices'!A207="","",'04 Prices'!A207)</f>
        <v/>
      </c>
      <c r="B206" s="25">
        <f>IF(OR($A206="",'04 Prices'!B206="",'04 Prices'!B207=""),"",LN('04 Prices'!B207/'04 Prices'!B206))</f>
        <v/>
      </c>
      <c r="C206" s="25">
        <f>IF(OR($A206="",'04 Prices'!C206="",'04 Prices'!C207=""),"",LN('04 Prices'!C207/'04 Prices'!C206))</f>
        <v/>
      </c>
      <c r="D206" s="25">
        <f>IF(OR($A206="",'04 Prices'!D206="",'04 Prices'!D207=""),"",LN('04 Prices'!D207/'04 Prices'!D206))</f>
        <v/>
      </c>
      <c r="E206" s="25">
        <f>IF(OR($A206="",'04 Prices'!E206="",'04 Prices'!E207=""),"",LN('04 Prices'!E207/'04 Prices'!E206))</f>
        <v/>
      </c>
      <c r="F206" s="25">
        <f>IF(OR($A206="",'04 Prices'!F206="",'04 Prices'!F207=""),"",LN('04 Prices'!F207/'04 Prices'!F206))</f>
        <v/>
      </c>
      <c r="G206" s="25">
        <f>IF(OR($A206="",'04 Prices'!G206="",'04 Prices'!G207=""),"",LN('04 Prices'!G207/'04 Prices'!G206))</f>
        <v/>
      </c>
      <c r="H206" s="25">
        <f>IF(OR($A206="",'04 Prices'!H206="",'04 Prices'!H207=""),"",LN('04 Prices'!H207/'04 Prices'!H206))</f>
        <v/>
      </c>
    </row>
    <row r="207">
      <c r="A207" s="23">
        <f>IF('04 Prices'!A208="","",'04 Prices'!A208)</f>
        <v/>
      </c>
      <c r="B207" s="25">
        <f>IF(OR($A207="",'04 Prices'!B207="",'04 Prices'!B208=""),"",LN('04 Prices'!B208/'04 Prices'!B207))</f>
        <v/>
      </c>
      <c r="C207" s="25">
        <f>IF(OR($A207="",'04 Prices'!C207="",'04 Prices'!C208=""),"",LN('04 Prices'!C208/'04 Prices'!C207))</f>
        <v/>
      </c>
      <c r="D207" s="25">
        <f>IF(OR($A207="",'04 Prices'!D207="",'04 Prices'!D208=""),"",LN('04 Prices'!D208/'04 Prices'!D207))</f>
        <v/>
      </c>
      <c r="E207" s="25">
        <f>IF(OR($A207="",'04 Prices'!E207="",'04 Prices'!E208=""),"",LN('04 Prices'!E208/'04 Prices'!E207))</f>
        <v/>
      </c>
      <c r="F207" s="25">
        <f>IF(OR($A207="",'04 Prices'!F207="",'04 Prices'!F208=""),"",LN('04 Prices'!F208/'04 Prices'!F207))</f>
        <v/>
      </c>
      <c r="G207" s="25">
        <f>IF(OR($A207="",'04 Prices'!G207="",'04 Prices'!G208=""),"",LN('04 Prices'!G208/'04 Prices'!G207))</f>
        <v/>
      </c>
      <c r="H207" s="25">
        <f>IF(OR($A207="",'04 Prices'!H207="",'04 Prices'!H208=""),"",LN('04 Prices'!H208/'04 Prices'!H207))</f>
        <v/>
      </c>
    </row>
    <row r="208">
      <c r="A208" s="23">
        <f>IF('04 Prices'!A209="","",'04 Prices'!A209)</f>
        <v/>
      </c>
      <c r="B208" s="25">
        <f>IF(OR($A208="",'04 Prices'!B208="",'04 Prices'!B209=""),"",LN('04 Prices'!B209/'04 Prices'!B208))</f>
        <v/>
      </c>
      <c r="C208" s="25">
        <f>IF(OR($A208="",'04 Prices'!C208="",'04 Prices'!C209=""),"",LN('04 Prices'!C209/'04 Prices'!C208))</f>
        <v/>
      </c>
      <c r="D208" s="25">
        <f>IF(OR($A208="",'04 Prices'!D208="",'04 Prices'!D209=""),"",LN('04 Prices'!D209/'04 Prices'!D208))</f>
        <v/>
      </c>
      <c r="E208" s="25">
        <f>IF(OR($A208="",'04 Prices'!E208="",'04 Prices'!E209=""),"",LN('04 Prices'!E209/'04 Prices'!E208))</f>
        <v/>
      </c>
      <c r="F208" s="25">
        <f>IF(OR($A208="",'04 Prices'!F208="",'04 Prices'!F209=""),"",LN('04 Prices'!F209/'04 Prices'!F208))</f>
        <v/>
      </c>
      <c r="G208" s="25">
        <f>IF(OR($A208="",'04 Prices'!G208="",'04 Prices'!G209=""),"",LN('04 Prices'!G209/'04 Prices'!G208))</f>
        <v/>
      </c>
      <c r="H208" s="25">
        <f>IF(OR($A208="",'04 Prices'!H208="",'04 Prices'!H209=""),"",LN('04 Prices'!H209/'04 Prices'!H208))</f>
        <v/>
      </c>
    </row>
    <row r="209">
      <c r="A209" s="23">
        <f>IF('04 Prices'!A210="","",'04 Prices'!A210)</f>
        <v/>
      </c>
      <c r="B209" s="25">
        <f>IF(OR($A209="",'04 Prices'!B209="",'04 Prices'!B210=""),"",LN('04 Prices'!B210/'04 Prices'!B209))</f>
        <v/>
      </c>
      <c r="C209" s="25">
        <f>IF(OR($A209="",'04 Prices'!C209="",'04 Prices'!C210=""),"",LN('04 Prices'!C210/'04 Prices'!C209))</f>
        <v/>
      </c>
      <c r="D209" s="25">
        <f>IF(OR($A209="",'04 Prices'!D209="",'04 Prices'!D210=""),"",LN('04 Prices'!D210/'04 Prices'!D209))</f>
        <v/>
      </c>
      <c r="E209" s="25">
        <f>IF(OR($A209="",'04 Prices'!E209="",'04 Prices'!E210=""),"",LN('04 Prices'!E210/'04 Prices'!E209))</f>
        <v/>
      </c>
      <c r="F209" s="25">
        <f>IF(OR($A209="",'04 Prices'!F209="",'04 Prices'!F210=""),"",LN('04 Prices'!F210/'04 Prices'!F209))</f>
        <v/>
      </c>
      <c r="G209" s="25">
        <f>IF(OR($A209="",'04 Prices'!G209="",'04 Prices'!G210=""),"",LN('04 Prices'!G210/'04 Prices'!G209))</f>
        <v/>
      </c>
      <c r="H209" s="25">
        <f>IF(OR($A209="",'04 Prices'!H209="",'04 Prices'!H210=""),"",LN('04 Prices'!H210/'04 Prices'!H209))</f>
        <v/>
      </c>
    </row>
    <row r="210">
      <c r="A210" s="23">
        <f>IF('04 Prices'!A211="","",'04 Prices'!A211)</f>
        <v/>
      </c>
      <c r="B210" s="25">
        <f>IF(OR($A210="",'04 Prices'!B210="",'04 Prices'!B211=""),"",LN('04 Prices'!B211/'04 Prices'!B210))</f>
        <v/>
      </c>
      <c r="C210" s="25">
        <f>IF(OR($A210="",'04 Prices'!C210="",'04 Prices'!C211=""),"",LN('04 Prices'!C211/'04 Prices'!C210))</f>
        <v/>
      </c>
      <c r="D210" s="25">
        <f>IF(OR($A210="",'04 Prices'!D210="",'04 Prices'!D211=""),"",LN('04 Prices'!D211/'04 Prices'!D210))</f>
        <v/>
      </c>
      <c r="E210" s="25">
        <f>IF(OR($A210="",'04 Prices'!E210="",'04 Prices'!E211=""),"",LN('04 Prices'!E211/'04 Prices'!E210))</f>
        <v/>
      </c>
      <c r="F210" s="25">
        <f>IF(OR($A210="",'04 Prices'!F210="",'04 Prices'!F211=""),"",LN('04 Prices'!F211/'04 Prices'!F210))</f>
        <v/>
      </c>
      <c r="G210" s="25">
        <f>IF(OR($A210="",'04 Prices'!G210="",'04 Prices'!G211=""),"",LN('04 Prices'!G211/'04 Prices'!G210))</f>
        <v/>
      </c>
      <c r="H210" s="25">
        <f>IF(OR($A210="",'04 Prices'!H210="",'04 Prices'!H211=""),"",LN('04 Prices'!H211/'04 Prices'!H210))</f>
        <v/>
      </c>
    </row>
    <row r="211">
      <c r="A211" s="23">
        <f>IF('04 Prices'!A212="","",'04 Prices'!A212)</f>
        <v/>
      </c>
      <c r="B211" s="25">
        <f>IF(OR($A211="",'04 Prices'!B211="",'04 Prices'!B212=""),"",LN('04 Prices'!B212/'04 Prices'!B211))</f>
        <v/>
      </c>
      <c r="C211" s="25">
        <f>IF(OR($A211="",'04 Prices'!C211="",'04 Prices'!C212=""),"",LN('04 Prices'!C212/'04 Prices'!C211))</f>
        <v/>
      </c>
      <c r="D211" s="25">
        <f>IF(OR($A211="",'04 Prices'!D211="",'04 Prices'!D212=""),"",LN('04 Prices'!D212/'04 Prices'!D211))</f>
        <v/>
      </c>
      <c r="E211" s="25">
        <f>IF(OR($A211="",'04 Prices'!E211="",'04 Prices'!E212=""),"",LN('04 Prices'!E212/'04 Prices'!E211))</f>
        <v/>
      </c>
      <c r="F211" s="25">
        <f>IF(OR($A211="",'04 Prices'!F211="",'04 Prices'!F212=""),"",LN('04 Prices'!F212/'04 Prices'!F211))</f>
        <v/>
      </c>
      <c r="G211" s="25">
        <f>IF(OR($A211="",'04 Prices'!G211="",'04 Prices'!G212=""),"",LN('04 Prices'!G212/'04 Prices'!G211))</f>
        <v/>
      </c>
      <c r="H211" s="25">
        <f>IF(OR($A211="",'04 Prices'!H211="",'04 Prices'!H212=""),"",LN('04 Prices'!H212/'04 Prices'!H211))</f>
        <v/>
      </c>
    </row>
    <row r="212">
      <c r="A212" s="23">
        <f>IF('04 Prices'!A213="","",'04 Prices'!A213)</f>
        <v/>
      </c>
      <c r="B212" s="25">
        <f>IF(OR($A212="",'04 Prices'!B212="",'04 Prices'!B213=""),"",LN('04 Prices'!B213/'04 Prices'!B212))</f>
        <v/>
      </c>
      <c r="C212" s="25">
        <f>IF(OR($A212="",'04 Prices'!C212="",'04 Prices'!C213=""),"",LN('04 Prices'!C213/'04 Prices'!C212))</f>
        <v/>
      </c>
      <c r="D212" s="25">
        <f>IF(OR($A212="",'04 Prices'!D212="",'04 Prices'!D213=""),"",LN('04 Prices'!D213/'04 Prices'!D212))</f>
        <v/>
      </c>
      <c r="E212" s="25">
        <f>IF(OR($A212="",'04 Prices'!E212="",'04 Prices'!E213=""),"",LN('04 Prices'!E213/'04 Prices'!E212))</f>
        <v/>
      </c>
      <c r="F212" s="25">
        <f>IF(OR($A212="",'04 Prices'!F212="",'04 Prices'!F213=""),"",LN('04 Prices'!F213/'04 Prices'!F212))</f>
        <v/>
      </c>
      <c r="G212" s="25">
        <f>IF(OR($A212="",'04 Prices'!G212="",'04 Prices'!G213=""),"",LN('04 Prices'!G213/'04 Prices'!G212))</f>
        <v/>
      </c>
      <c r="H212" s="25">
        <f>IF(OR($A212="",'04 Prices'!H212="",'04 Prices'!H213=""),"",LN('04 Prices'!H213/'04 Prices'!H212))</f>
        <v/>
      </c>
    </row>
    <row r="213">
      <c r="A213" s="23">
        <f>IF('04 Prices'!A214="","",'04 Prices'!A214)</f>
        <v/>
      </c>
      <c r="B213" s="25">
        <f>IF(OR($A213="",'04 Prices'!B213="",'04 Prices'!B214=""),"",LN('04 Prices'!B214/'04 Prices'!B213))</f>
        <v/>
      </c>
      <c r="C213" s="25">
        <f>IF(OR($A213="",'04 Prices'!C213="",'04 Prices'!C214=""),"",LN('04 Prices'!C214/'04 Prices'!C213))</f>
        <v/>
      </c>
      <c r="D213" s="25">
        <f>IF(OR($A213="",'04 Prices'!D213="",'04 Prices'!D214=""),"",LN('04 Prices'!D214/'04 Prices'!D213))</f>
        <v/>
      </c>
      <c r="E213" s="25">
        <f>IF(OR($A213="",'04 Prices'!E213="",'04 Prices'!E214=""),"",LN('04 Prices'!E214/'04 Prices'!E213))</f>
        <v/>
      </c>
      <c r="F213" s="25">
        <f>IF(OR($A213="",'04 Prices'!F213="",'04 Prices'!F214=""),"",LN('04 Prices'!F214/'04 Prices'!F213))</f>
        <v/>
      </c>
      <c r="G213" s="25">
        <f>IF(OR($A213="",'04 Prices'!G213="",'04 Prices'!G214=""),"",LN('04 Prices'!G214/'04 Prices'!G213))</f>
        <v/>
      </c>
      <c r="H213" s="25">
        <f>IF(OR($A213="",'04 Prices'!H213="",'04 Prices'!H214=""),"",LN('04 Prices'!H214/'04 Prices'!H213))</f>
        <v/>
      </c>
    </row>
    <row r="214">
      <c r="A214" s="23">
        <f>IF('04 Prices'!A215="","",'04 Prices'!A215)</f>
        <v/>
      </c>
      <c r="B214" s="25">
        <f>IF(OR($A214="",'04 Prices'!B214="",'04 Prices'!B215=""),"",LN('04 Prices'!B215/'04 Prices'!B214))</f>
        <v/>
      </c>
      <c r="C214" s="25">
        <f>IF(OR($A214="",'04 Prices'!C214="",'04 Prices'!C215=""),"",LN('04 Prices'!C215/'04 Prices'!C214))</f>
        <v/>
      </c>
      <c r="D214" s="25">
        <f>IF(OR($A214="",'04 Prices'!D214="",'04 Prices'!D215=""),"",LN('04 Prices'!D215/'04 Prices'!D214))</f>
        <v/>
      </c>
      <c r="E214" s="25">
        <f>IF(OR($A214="",'04 Prices'!E214="",'04 Prices'!E215=""),"",LN('04 Prices'!E215/'04 Prices'!E214))</f>
        <v/>
      </c>
      <c r="F214" s="25">
        <f>IF(OR($A214="",'04 Prices'!F214="",'04 Prices'!F215=""),"",LN('04 Prices'!F215/'04 Prices'!F214))</f>
        <v/>
      </c>
      <c r="G214" s="25">
        <f>IF(OR($A214="",'04 Prices'!G214="",'04 Prices'!G215=""),"",LN('04 Prices'!G215/'04 Prices'!G214))</f>
        <v/>
      </c>
      <c r="H214" s="25">
        <f>IF(OR($A214="",'04 Prices'!H214="",'04 Prices'!H215=""),"",LN('04 Prices'!H215/'04 Prices'!H214))</f>
        <v/>
      </c>
    </row>
    <row r="215">
      <c r="A215" s="23">
        <f>IF('04 Prices'!A216="","",'04 Prices'!A216)</f>
        <v/>
      </c>
      <c r="B215" s="25">
        <f>IF(OR($A215="",'04 Prices'!B215="",'04 Prices'!B216=""),"",LN('04 Prices'!B216/'04 Prices'!B215))</f>
        <v/>
      </c>
      <c r="C215" s="25">
        <f>IF(OR($A215="",'04 Prices'!C215="",'04 Prices'!C216=""),"",LN('04 Prices'!C216/'04 Prices'!C215))</f>
        <v/>
      </c>
      <c r="D215" s="25">
        <f>IF(OR($A215="",'04 Prices'!D215="",'04 Prices'!D216=""),"",LN('04 Prices'!D216/'04 Prices'!D215))</f>
        <v/>
      </c>
      <c r="E215" s="25">
        <f>IF(OR($A215="",'04 Prices'!E215="",'04 Prices'!E216=""),"",LN('04 Prices'!E216/'04 Prices'!E215))</f>
        <v/>
      </c>
      <c r="F215" s="25">
        <f>IF(OR($A215="",'04 Prices'!F215="",'04 Prices'!F216=""),"",LN('04 Prices'!F216/'04 Prices'!F215))</f>
        <v/>
      </c>
      <c r="G215" s="25">
        <f>IF(OR($A215="",'04 Prices'!G215="",'04 Prices'!G216=""),"",LN('04 Prices'!G216/'04 Prices'!G215))</f>
        <v/>
      </c>
      <c r="H215" s="25">
        <f>IF(OR($A215="",'04 Prices'!H215="",'04 Prices'!H216=""),"",LN('04 Prices'!H216/'04 Prices'!H215))</f>
        <v/>
      </c>
    </row>
    <row r="216">
      <c r="A216" s="23">
        <f>IF('04 Prices'!A217="","",'04 Prices'!A217)</f>
        <v/>
      </c>
      <c r="B216" s="25">
        <f>IF(OR($A216="",'04 Prices'!B216="",'04 Prices'!B217=""),"",LN('04 Prices'!B217/'04 Prices'!B216))</f>
        <v/>
      </c>
      <c r="C216" s="25">
        <f>IF(OR($A216="",'04 Prices'!C216="",'04 Prices'!C217=""),"",LN('04 Prices'!C217/'04 Prices'!C216))</f>
        <v/>
      </c>
      <c r="D216" s="25">
        <f>IF(OR($A216="",'04 Prices'!D216="",'04 Prices'!D217=""),"",LN('04 Prices'!D217/'04 Prices'!D216))</f>
        <v/>
      </c>
      <c r="E216" s="25">
        <f>IF(OR($A216="",'04 Prices'!E216="",'04 Prices'!E217=""),"",LN('04 Prices'!E217/'04 Prices'!E216))</f>
        <v/>
      </c>
      <c r="F216" s="25">
        <f>IF(OR($A216="",'04 Prices'!F216="",'04 Prices'!F217=""),"",LN('04 Prices'!F217/'04 Prices'!F216))</f>
        <v/>
      </c>
      <c r="G216" s="25">
        <f>IF(OR($A216="",'04 Prices'!G216="",'04 Prices'!G217=""),"",LN('04 Prices'!G217/'04 Prices'!G216))</f>
        <v/>
      </c>
      <c r="H216" s="25">
        <f>IF(OR($A216="",'04 Prices'!H216="",'04 Prices'!H217=""),"",LN('04 Prices'!H217/'04 Prices'!H216))</f>
        <v/>
      </c>
    </row>
    <row r="217">
      <c r="A217" s="23">
        <f>IF('04 Prices'!A218="","",'04 Prices'!A218)</f>
        <v/>
      </c>
      <c r="B217" s="25">
        <f>IF(OR($A217="",'04 Prices'!B217="",'04 Prices'!B218=""),"",LN('04 Prices'!B218/'04 Prices'!B217))</f>
        <v/>
      </c>
      <c r="C217" s="25">
        <f>IF(OR($A217="",'04 Prices'!C217="",'04 Prices'!C218=""),"",LN('04 Prices'!C218/'04 Prices'!C217))</f>
        <v/>
      </c>
      <c r="D217" s="25">
        <f>IF(OR($A217="",'04 Prices'!D217="",'04 Prices'!D218=""),"",LN('04 Prices'!D218/'04 Prices'!D217))</f>
        <v/>
      </c>
      <c r="E217" s="25">
        <f>IF(OR($A217="",'04 Prices'!E217="",'04 Prices'!E218=""),"",LN('04 Prices'!E218/'04 Prices'!E217))</f>
        <v/>
      </c>
      <c r="F217" s="25">
        <f>IF(OR($A217="",'04 Prices'!F217="",'04 Prices'!F218=""),"",LN('04 Prices'!F218/'04 Prices'!F217))</f>
        <v/>
      </c>
      <c r="G217" s="25">
        <f>IF(OR($A217="",'04 Prices'!G217="",'04 Prices'!G218=""),"",LN('04 Prices'!G218/'04 Prices'!G217))</f>
        <v/>
      </c>
      <c r="H217" s="25">
        <f>IF(OR($A217="",'04 Prices'!H217="",'04 Prices'!H218=""),"",LN('04 Prices'!H218/'04 Prices'!H217))</f>
        <v/>
      </c>
    </row>
    <row r="218">
      <c r="A218" s="23">
        <f>IF('04 Prices'!A219="","",'04 Prices'!A219)</f>
        <v/>
      </c>
      <c r="B218" s="25">
        <f>IF(OR($A218="",'04 Prices'!B218="",'04 Prices'!B219=""),"",LN('04 Prices'!B219/'04 Prices'!B218))</f>
        <v/>
      </c>
      <c r="C218" s="25">
        <f>IF(OR($A218="",'04 Prices'!C218="",'04 Prices'!C219=""),"",LN('04 Prices'!C219/'04 Prices'!C218))</f>
        <v/>
      </c>
      <c r="D218" s="25">
        <f>IF(OR($A218="",'04 Prices'!D218="",'04 Prices'!D219=""),"",LN('04 Prices'!D219/'04 Prices'!D218))</f>
        <v/>
      </c>
      <c r="E218" s="25">
        <f>IF(OR($A218="",'04 Prices'!E218="",'04 Prices'!E219=""),"",LN('04 Prices'!E219/'04 Prices'!E218))</f>
        <v/>
      </c>
      <c r="F218" s="25">
        <f>IF(OR($A218="",'04 Prices'!F218="",'04 Prices'!F219=""),"",LN('04 Prices'!F219/'04 Prices'!F218))</f>
        <v/>
      </c>
      <c r="G218" s="25">
        <f>IF(OR($A218="",'04 Prices'!G218="",'04 Prices'!G219=""),"",LN('04 Prices'!G219/'04 Prices'!G218))</f>
        <v/>
      </c>
      <c r="H218" s="25">
        <f>IF(OR($A218="",'04 Prices'!H218="",'04 Prices'!H219=""),"",LN('04 Prices'!H219/'04 Prices'!H218))</f>
        <v/>
      </c>
    </row>
    <row r="219">
      <c r="A219" s="23">
        <f>IF('04 Prices'!A220="","",'04 Prices'!A220)</f>
        <v/>
      </c>
      <c r="B219" s="25">
        <f>IF(OR($A219="",'04 Prices'!B219="",'04 Prices'!B220=""),"",LN('04 Prices'!B220/'04 Prices'!B219))</f>
        <v/>
      </c>
      <c r="C219" s="25">
        <f>IF(OR($A219="",'04 Prices'!C219="",'04 Prices'!C220=""),"",LN('04 Prices'!C220/'04 Prices'!C219))</f>
        <v/>
      </c>
      <c r="D219" s="25">
        <f>IF(OR($A219="",'04 Prices'!D219="",'04 Prices'!D220=""),"",LN('04 Prices'!D220/'04 Prices'!D219))</f>
        <v/>
      </c>
      <c r="E219" s="25">
        <f>IF(OR($A219="",'04 Prices'!E219="",'04 Prices'!E220=""),"",LN('04 Prices'!E220/'04 Prices'!E219))</f>
        <v/>
      </c>
      <c r="F219" s="25">
        <f>IF(OR($A219="",'04 Prices'!F219="",'04 Prices'!F220=""),"",LN('04 Prices'!F220/'04 Prices'!F219))</f>
        <v/>
      </c>
      <c r="G219" s="25">
        <f>IF(OR($A219="",'04 Prices'!G219="",'04 Prices'!G220=""),"",LN('04 Prices'!G220/'04 Prices'!G219))</f>
        <v/>
      </c>
      <c r="H219" s="25">
        <f>IF(OR($A219="",'04 Prices'!H219="",'04 Prices'!H220=""),"",LN('04 Prices'!H220/'04 Prices'!H219))</f>
        <v/>
      </c>
    </row>
    <row r="220">
      <c r="A220" s="23">
        <f>IF('04 Prices'!A221="","",'04 Prices'!A221)</f>
        <v/>
      </c>
      <c r="B220" s="25">
        <f>IF(OR($A220="",'04 Prices'!B220="",'04 Prices'!B221=""),"",LN('04 Prices'!B221/'04 Prices'!B220))</f>
        <v/>
      </c>
      <c r="C220" s="25">
        <f>IF(OR($A220="",'04 Prices'!C220="",'04 Prices'!C221=""),"",LN('04 Prices'!C221/'04 Prices'!C220))</f>
        <v/>
      </c>
      <c r="D220" s="25">
        <f>IF(OR($A220="",'04 Prices'!D220="",'04 Prices'!D221=""),"",LN('04 Prices'!D221/'04 Prices'!D220))</f>
        <v/>
      </c>
      <c r="E220" s="25">
        <f>IF(OR($A220="",'04 Prices'!E220="",'04 Prices'!E221=""),"",LN('04 Prices'!E221/'04 Prices'!E220))</f>
        <v/>
      </c>
      <c r="F220" s="25">
        <f>IF(OR($A220="",'04 Prices'!F220="",'04 Prices'!F221=""),"",LN('04 Prices'!F221/'04 Prices'!F220))</f>
        <v/>
      </c>
      <c r="G220" s="25">
        <f>IF(OR($A220="",'04 Prices'!G220="",'04 Prices'!G221=""),"",LN('04 Prices'!G221/'04 Prices'!G220))</f>
        <v/>
      </c>
      <c r="H220" s="25">
        <f>IF(OR($A220="",'04 Prices'!H220="",'04 Prices'!H221=""),"",LN('04 Prices'!H221/'04 Prices'!H220))</f>
        <v/>
      </c>
    </row>
    <row r="221">
      <c r="A221" s="23">
        <f>IF('04 Prices'!A222="","",'04 Prices'!A222)</f>
        <v/>
      </c>
      <c r="B221" s="25">
        <f>IF(OR($A221="",'04 Prices'!B221="",'04 Prices'!B222=""),"",LN('04 Prices'!B222/'04 Prices'!B221))</f>
        <v/>
      </c>
      <c r="C221" s="25">
        <f>IF(OR($A221="",'04 Prices'!C221="",'04 Prices'!C222=""),"",LN('04 Prices'!C222/'04 Prices'!C221))</f>
        <v/>
      </c>
      <c r="D221" s="25">
        <f>IF(OR($A221="",'04 Prices'!D221="",'04 Prices'!D222=""),"",LN('04 Prices'!D222/'04 Prices'!D221))</f>
        <v/>
      </c>
      <c r="E221" s="25">
        <f>IF(OR($A221="",'04 Prices'!E221="",'04 Prices'!E222=""),"",LN('04 Prices'!E222/'04 Prices'!E221))</f>
        <v/>
      </c>
      <c r="F221" s="25">
        <f>IF(OR($A221="",'04 Prices'!F221="",'04 Prices'!F222=""),"",LN('04 Prices'!F222/'04 Prices'!F221))</f>
        <v/>
      </c>
      <c r="G221" s="25">
        <f>IF(OR($A221="",'04 Prices'!G221="",'04 Prices'!G222=""),"",LN('04 Prices'!G222/'04 Prices'!G221))</f>
        <v/>
      </c>
      <c r="H221" s="25">
        <f>IF(OR($A221="",'04 Prices'!H221="",'04 Prices'!H222=""),"",LN('04 Prices'!H222/'04 Prices'!H221))</f>
        <v/>
      </c>
    </row>
    <row r="222">
      <c r="A222" s="23">
        <f>IF('04 Prices'!A223="","",'04 Prices'!A223)</f>
        <v/>
      </c>
      <c r="B222" s="25">
        <f>IF(OR($A222="",'04 Prices'!B222="",'04 Prices'!B223=""),"",LN('04 Prices'!B223/'04 Prices'!B222))</f>
        <v/>
      </c>
      <c r="C222" s="25">
        <f>IF(OR($A222="",'04 Prices'!C222="",'04 Prices'!C223=""),"",LN('04 Prices'!C223/'04 Prices'!C222))</f>
        <v/>
      </c>
      <c r="D222" s="25">
        <f>IF(OR($A222="",'04 Prices'!D222="",'04 Prices'!D223=""),"",LN('04 Prices'!D223/'04 Prices'!D222))</f>
        <v/>
      </c>
      <c r="E222" s="25">
        <f>IF(OR($A222="",'04 Prices'!E222="",'04 Prices'!E223=""),"",LN('04 Prices'!E223/'04 Prices'!E222))</f>
        <v/>
      </c>
      <c r="F222" s="25">
        <f>IF(OR($A222="",'04 Prices'!F222="",'04 Prices'!F223=""),"",LN('04 Prices'!F223/'04 Prices'!F222))</f>
        <v/>
      </c>
      <c r="G222" s="25">
        <f>IF(OR($A222="",'04 Prices'!G222="",'04 Prices'!G223=""),"",LN('04 Prices'!G223/'04 Prices'!G222))</f>
        <v/>
      </c>
      <c r="H222" s="25">
        <f>IF(OR($A222="",'04 Prices'!H222="",'04 Prices'!H223=""),"",LN('04 Prices'!H223/'04 Prices'!H222))</f>
        <v/>
      </c>
    </row>
    <row r="223">
      <c r="A223" s="23">
        <f>IF('04 Prices'!A224="","",'04 Prices'!A224)</f>
        <v/>
      </c>
      <c r="B223" s="25">
        <f>IF(OR($A223="",'04 Prices'!B223="",'04 Prices'!B224=""),"",LN('04 Prices'!B224/'04 Prices'!B223))</f>
        <v/>
      </c>
      <c r="C223" s="25">
        <f>IF(OR($A223="",'04 Prices'!C223="",'04 Prices'!C224=""),"",LN('04 Prices'!C224/'04 Prices'!C223))</f>
        <v/>
      </c>
      <c r="D223" s="25">
        <f>IF(OR($A223="",'04 Prices'!D223="",'04 Prices'!D224=""),"",LN('04 Prices'!D224/'04 Prices'!D223))</f>
        <v/>
      </c>
      <c r="E223" s="25">
        <f>IF(OR($A223="",'04 Prices'!E223="",'04 Prices'!E224=""),"",LN('04 Prices'!E224/'04 Prices'!E223))</f>
        <v/>
      </c>
      <c r="F223" s="25">
        <f>IF(OR($A223="",'04 Prices'!F223="",'04 Prices'!F224=""),"",LN('04 Prices'!F224/'04 Prices'!F223))</f>
        <v/>
      </c>
      <c r="G223" s="25">
        <f>IF(OR($A223="",'04 Prices'!G223="",'04 Prices'!G224=""),"",LN('04 Prices'!G224/'04 Prices'!G223))</f>
        <v/>
      </c>
      <c r="H223" s="25">
        <f>IF(OR($A223="",'04 Prices'!H223="",'04 Prices'!H224=""),"",LN('04 Prices'!H224/'04 Prices'!H223))</f>
        <v/>
      </c>
    </row>
    <row r="224">
      <c r="A224" s="23">
        <f>IF('04 Prices'!A225="","",'04 Prices'!A225)</f>
        <v/>
      </c>
      <c r="B224" s="25">
        <f>IF(OR($A224="",'04 Prices'!B224="",'04 Prices'!B225=""),"",LN('04 Prices'!B225/'04 Prices'!B224))</f>
        <v/>
      </c>
      <c r="C224" s="25">
        <f>IF(OR($A224="",'04 Prices'!C224="",'04 Prices'!C225=""),"",LN('04 Prices'!C225/'04 Prices'!C224))</f>
        <v/>
      </c>
      <c r="D224" s="25">
        <f>IF(OR($A224="",'04 Prices'!D224="",'04 Prices'!D225=""),"",LN('04 Prices'!D225/'04 Prices'!D224))</f>
        <v/>
      </c>
      <c r="E224" s="25">
        <f>IF(OR($A224="",'04 Prices'!E224="",'04 Prices'!E225=""),"",LN('04 Prices'!E225/'04 Prices'!E224))</f>
        <v/>
      </c>
      <c r="F224" s="25">
        <f>IF(OR($A224="",'04 Prices'!F224="",'04 Prices'!F225=""),"",LN('04 Prices'!F225/'04 Prices'!F224))</f>
        <v/>
      </c>
      <c r="G224" s="25">
        <f>IF(OR($A224="",'04 Prices'!G224="",'04 Prices'!G225=""),"",LN('04 Prices'!G225/'04 Prices'!G224))</f>
        <v/>
      </c>
      <c r="H224" s="25">
        <f>IF(OR($A224="",'04 Prices'!H224="",'04 Prices'!H225=""),"",LN('04 Prices'!H225/'04 Prices'!H224))</f>
        <v/>
      </c>
    </row>
    <row r="225">
      <c r="A225" s="23">
        <f>IF('04 Prices'!A226="","",'04 Prices'!A226)</f>
        <v/>
      </c>
      <c r="B225" s="25">
        <f>IF(OR($A225="",'04 Prices'!B225="",'04 Prices'!B226=""),"",LN('04 Prices'!B226/'04 Prices'!B225))</f>
        <v/>
      </c>
      <c r="C225" s="25">
        <f>IF(OR($A225="",'04 Prices'!C225="",'04 Prices'!C226=""),"",LN('04 Prices'!C226/'04 Prices'!C225))</f>
        <v/>
      </c>
      <c r="D225" s="25">
        <f>IF(OR($A225="",'04 Prices'!D225="",'04 Prices'!D226=""),"",LN('04 Prices'!D226/'04 Prices'!D225))</f>
        <v/>
      </c>
      <c r="E225" s="25">
        <f>IF(OR($A225="",'04 Prices'!E225="",'04 Prices'!E226=""),"",LN('04 Prices'!E226/'04 Prices'!E225))</f>
        <v/>
      </c>
      <c r="F225" s="25">
        <f>IF(OR($A225="",'04 Prices'!F225="",'04 Prices'!F226=""),"",LN('04 Prices'!F226/'04 Prices'!F225))</f>
        <v/>
      </c>
      <c r="G225" s="25">
        <f>IF(OR($A225="",'04 Prices'!G225="",'04 Prices'!G226=""),"",LN('04 Prices'!G226/'04 Prices'!G225))</f>
        <v/>
      </c>
      <c r="H225" s="25">
        <f>IF(OR($A225="",'04 Prices'!H225="",'04 Prices'!H226=""),"",LN('04 Prices'!H226/'04 Prices'!H225))</f>
        <v/>
      </c>
    </row>
    <row r="226">
      <c r="A226" s="23">
        <f>IF('04 Prices'!A227="","",'04 Prices'!A227)</f>
        <v/>
      </c>
      <c r="B226" s="25">
        <f>IF(OR($A226="",'04 Prices'!B226="",'04 Prices'!B227=""),"",LN('04 Prices'!B227/'04 Prices'!B226))</f>
        <v/>
      </c>
      <c r="C226" s="25">
        <f>IF(OR($A226="",'04 Prices'!C226="",'04 Prices'!C227=""),"",LN('04 Prices'!C227/'04 Prices'!C226))</f>
        <v/>
      </c>
      <c r="D226" s="25">
        <f>IF(OR($A226="",'04 Prices'!D226="",'04 Prices'!D227=""),"",LN('04 Prices'!D227/'04 Prices'!D226))</f>
        <v/>
      </c>
      <c r="E226" s="25">
        <f>IF(OR($A226="",'04 Prices'!E226="",'04 Prices'!E227=""),"",LN('04 Prices'!E227/'04 Prices'!E226))</f>
        <v/>
      </c>
      <c r="F226" s="25">
        <f>IF(OR($A226="",'04 Prices'!F226="",'04 Prices'!F227=""),"",LN('04 Prices'!F227/'04 Prices'!F226))</f>
        <v/>
      </c>
      <c r="G226" s="25">
        <f>IF(OR($A226="",'04 Prices'!G226="",'04 Prices'!G227=""),"",LN('04 Prices'!G227/'04 Prices'!G226))</f>
        <v/>
      </c>
      <c r="H226" s="25">
        <f>IF(OR($A226="",'04 Prices'!H226="",'04 Prices'!H227=""),"",LN('04 Prices'!H227/'04 Prices'!H226))</f>
        <v/>
      </c>
    </row>
    <row r="227">
      <c r="A227" s="23">
        <f>IF('04 Prices'!A228="","",'04 Prices'!A228)</f>
        <v/>
      </c>
      <c r="B227" s="25">
        <f>IF(OR($A227="",'04 Prices'!B227="",'04 Prices'!B228=""),"",LN('04 Prices'!B228/'04 Prices'!B227))</f>
        <v/>
      </c>
      <c r="C227" s="25">
        <f>IF(OR($A227="",'04 Prices'!C227="",'04 Prices'!C228=""),"",LN('04 Prices'!C228/'04 Prices'!C227))</f>
        <v/>
      </c>
      <c r="D227" s="25">
        <f>IF(OR($A227="",'04 Prices'!D227="",'04 Prices'!D228=""),"",LN('04 Prices'!D228/'04 Prices'!D227))</f>
        <v/>
      </c>
      <c r="E227" s="25">
        <f>IF(OR($A227="",'04 Prices'!E227="",'04 Prices'!E228=""),"",LN('04 Prices'!E228/'04 Prices'!E227))</f>
        <v/>
      </c>
      <c r="F227" s="25">
        <f>IF(OR($A227="",'04 Prices'!F227="",'04 Prices'!F228=""),"",LN('04 Prices'!F228/'04 Prices'!F227))</f>
        <v/>
      </c>
      <c r="G227" s="25">
        <f>IF(OR($A227="",'04 Prices'!G227="",'04 Prices'!G228=""),"",LN('04 Prices'!G228/'04 Prices'!G227))</f>
        <v/>
      </c>
      <c r="H227" s="25">
        <f>IF(OR($A227="",'04 Prices'!H227="",'04 Prices'!H228=""),"",LN('04 Prices'!H228/'04 Prices'!H227))</f>
        <v/>
      </c>
    </row>
    <row r="228">
      <c r="A228" s="23">
        <f>IF('04 Prices'!A229="","",'04 Prices'!A229)</f>
        <v/>
      </c>
      <c r="B228" s="25">
        <f>IF(OR($A228="",'04 Prices'!B228="",'04 Prices'!B229=""),"",LN('04 Prices'!B229/'04 Prices'!B228))</f>
        <v/>
      </c>
      <c r="C228" s="25">
        <f>IF(OR($A228="",'04 Prices'!C228="",'04 Prices'!C229=""),"",LN('04 Prices'!C229/'04 Prices'!C228))</f>
        <v/>
      </c>
      <c r="D228" s="25">
        <f>IF(OR($A228="",'04 Prices'!D228="",'04 Prices'!D229=""),"",LN('04 Prices'!D229/'04 Prices'!D228))</f>
        <v/>
      </c>
      <c r="E228" s="25">
        <f>IF(OR($A228="",'04 Prices'!E228="",'04 Prices'!E229=""),"",LN('04 Prices'!E229/'04 Prices'!E228))</f>
        <v/>
      </c>
      <c r="F228" s="25">
        <f>IF(OR($A228="",'04 Prices'!F228="",'04 Prices'!F229=""),"",LN('04 Prices'!F229/'04 Prices'!F228))</f>
        <v/>
      </c>
      <c r="G228" s="25">
        <f>IF(OR($A228="",'04 Prices'!G228="",'04 Prices'!G229=""),"",LN('04 Prices'!G229/'04 Prices'!G228))</f>
        <v/>
      </c>
      <c r="H228" s="25">
        <f>IF(OR($A228="",'04 Prices'!H228="",'04 Prices'!H229=""),"",LN('04 Prices'!H229/'04 Prices'!H228))</f>
        <v/>
      </c>
    </row>
    <row r="229">
      <c r="A229" s="23">
        <f>IF('04 Prices'!A230="","",'04 Prices'!A230)</f>
        <v/>
      </c>
      <c r="B229" s="25">
        <f>IF(OR($A229="",'04 Prices'!B229="",'04 Prices'!B230=""),"",LN('04 Prices'!B230/'04 Prices'!B229))</f>
        <v/>
      </c>
      <c r="C229" s="25">
        <f>IF(OR($A229="",'04 Prices'!C229="",'04 Prices'!C230=""),"",LN('04 Prices'!C230/'04 Prices'!C229))</f>
        <v/>
      </c>
      <c r="D229" s="25">
        <f>IF(OR($A229="",'04 Prices'!D229="",'04 Prices'!D230=""),"",LN('04 Prices'!D230/'04 Prices'!D229))</f>
        <v/>
      </c>
      <c r="E229" s="25">
        <f>IF(OR($A229="",'04 Prices'!E229="",'04 Prices'!E230=""),"",LN('04 Prices'!E230/'04 Prices'!E229))</f>
        <v/>
      </c>
      <c r="F229" s="25">
        <f>IF(OR($A229="",'04 Prices'!F229="",'04 Prices'!F230=""),"",LN('04 Prices'!F230/'04 Prices'!F229))</f>
        <v/>
      </c>
      <c r="G229" s="25">
        <f>IF(OR($A229="",'04 Prices'!G229="",'04 Prices'!G230=""),"",LN('04 Prices'!G230/'04 Prices'!G229))</f>
        <v/>
      </c>
      <c r="H229" s="25">
        <f>IF(OR($A229="",'04 Prices'!H229="",'04 Prices'!H230=""),"",LN('04 Prices'!H230/'04 Prices'!H229))</f>
        <v/>
      </c>
    </row>
    <row r="230">
      <c r="A230" s="23">
        <f>IF('04 Prices'!A231="","",'04 Prices'!A231)</f>
        <v/>
      </c>
      <c r="B230" s="25">
        <f>IF(OR($A230="",'04 Prices'!B230="",'04 Prices'!B231=""),"",LN('04 Prices'!B231/'04 Prices'!B230))</f>
        <v/>
      </c>
      <c r="C230" s="25">
        <f>IF(OR($A230="",'04 Prices'!C230="",'04 Prices'!C231=""),"",LN('04 Prices'!C231/'04 Prices'!C230))</f>
        <v/>
      </c>
      <c r="D230" s="25">
        <f>IF(OR($A230="",'04 Prices'!D230="",'04 Prices'!D231=""),"",LN('04 Prices'!D231/'04 Prices'!D230))</f>
        <v/>
      </c>
      <c r="E230" s="25">
        <f>IF(OR($A230="",'04 Prices'!E230="",'04 Prices'!E231=""),"",LN('04 Prices'!E231/'04 Prices'!E230))</f>
        <v/>
      </c>
      <c r="F230" s="25">
        <f>IF(OR($A230="",'04 Prices'!F230="",'04 Prices'!F231=""),"",LN('04 Prices'!F231/'04 Prices'!F230))</f>
        <v/>
      </c>
      <c r="G230" s="25">
        <f>IF(OR($A230="",'04 Prices'!G230="",'04 Prices'!G231=""),"",LN('04 Prices'!G231/'04 Prices'!G230))</f>
        <v/>
      </c>
      <c r="H230" s="25">
        <f>IF(OR($A230="",'04 Prices'!H230="",'04 Prices'!H231=""),"",LN('04 Prices'!H231/'04 Prices'!H230))</f>
        <v/>
      </c>
    </row>
    <row r="231">
      <c r="A231" s="23">
        <f>IF('04 Prices'!A232="","",'04 Prices'!A232)</f>
        <v/>
      </c>
      <c r="B231" s="25">
        <f>IF(OR($A231="",'04 Prices'!B231="",'04 Prices'!B232=""),"",LN('04 Prices'!B232/'04 Prices'!B231))</f>
        <v/>
      </c>
      <c r="C231" s="25">
        <f>IF(OR($A231="",'04 Prices'!C231="",'04 Prices'!C232=""),"",LN('04 Prices'!C232/'04 Prices'!C231))</f>
        <v/>
      </c>
      <c r="D231" s="25">
        <f>IF(OR($A231="",'04 Prices'!D231="",'04 Prices'!D232=""),"",LN('04 Prices'!D232/'04 Prices'!D231))</f>
        <v/>
      </c>
      <c r="E231" s="25">
        <f>IF(OR($A231="",'04 Prices'!E231="",'04 Prices'!E232=""),"",LN('04 Prices'!E232/'04 Prices'!E231))</f>
        <v/>
      </c>
      <c r="F231" s="25">
        <f>IF(OR($A231="",'04 Prices'!F231="",'04 Prices'!F232=""),"",LN('04 Prices'!F232/'04 Prices'!F231))</f>
        <v/>
      </c>
      <c r="G231" s="25">
        <f>IF(OR($A231="",'04 Prices'!G231="",'04 Prices'!G232=""),"",LN('04 Prices'!G232/'04 Prices'!G231))</f>
        <v/>
      </c>
      <c r="H231" s="25">
        <f>IF(OR($A231="",'04 Prices'!H231="",'04 Prices'!H232=""),"",LN('04 Prices'!H232/'04 Prices'!H231))</f>
        <v/>
      </c>
    </row>
    <row r="232">
      <c r="A232" s="23">
        <f>IF('04 Prices'!A233="","",'04 Prices'!A233)</f>
        <v/>
      </c>
      <c r="B232" s="25">
        <f>IF(OR($A232="",'04 Prices'!B232="",'04 Prices'!B233=""),"",LN('04 Prices'!B233/'04 Prices'!B232))</f>
        <v/>
      </c>
      <c r="C232" s="25">
        <f>IF(OR($A232="",'04 Prices'!C232="",'04 Prices'!C233=""),"",LN('04 Prices'!C233/'04 Prices'!C232))</f>
        <v/>
      </c>
      <c r="D232" s="25">
        <f>IF(OR($A232="",'04 Prices'!D232="",'04 Prices'!D233=""),"",LN('04 Prices'!D233/'04 Prices'!D232))</f>
        <v/>
      </c>
      <c r="E232" s="25">
        <f>IF(OR($A232="",'04 Prices'!E232="",'04 Prices'!E233=""),"",LN('04 Prices'!E233/'04 Prices'!E232))</f>
        <v/>
      </c>
      <c r="F232" s="25">
        <f>IF(OR($A232="",'04 Prices'!F232="",'04 Prices'!F233=""),"",LN('04 Prices'!F233/'04 Prices'!F232))</f>
        <v/>
      </c>
      <c r="G232" s="25">
        <f>IF(OR($A232="",'04 Prices'!G232="",'04 Prices'!G233=""),"",LN('04 Prices'!G233/'04 Prices'!G232))</f>
        <v/>
      </c>
      <c r="H232" s="25">
        <f>IF(OR($A232="",'04 Prices'!H232="",'04 Prices'!H233=""),"",LN('04 Prices'!H233/'04 Prices'!H232))</f>
        <v/>
      </c>
    </row>
    <row r="233">
      <c r="A233" s="23">
        <f>IF('04 Prices'!A234="","",'04 Prices'!A234)</f>
        <v/>
      </c>
      <c r="B233" s="25">
        <f>IF(OR($A233="",'04 Prices'!B233="",'04 Prices'!B234=""),"",LN('04 Prices'!B234/'04 Prices'!B233))</f>
        <v/>
      </c>
      <c r="C233" s="25">
        <f>IF(OR($A233="",'04 Prices'!C233="",'04 Prices'!C234=""),"",LN('04 Prices'!C234/'04 Prices'!C233))</f>
        <v/>
      </c>
      <c r="D233" s="25">
        <f>IF(OR($A233="",'04 Prices'!D233="",'04 Prices'!D234=""),"",LN('04 Prices'!D234/'04 Prices'!D233))</f>
        <v/>
      </c>
      <c r="E233" s="25">
        <f>IF(OR($A233="",'04 Prices'!E233="",'04 Prices'!E234=""),"",LN('04 Prices'!E234/'04 Prices'!E233))</f>
        <v/>
      </c>
      <c r="F233" s="25">
        <f>IF(OR($A233="",'04 Prices'!F233="",'04 Prices'!F234=""),"",LN('04 Prices'!F234/'04 Prices'!F233))</f>
        <v/>
      </c>
      <c r="G233" s="25">
        <f>IF(OR($A233="",'04 Prices'!G233="",'04 Prices'!G234=""),"",LN('04 Prices'!G234/'04 Prices'!G233))</f>
        <v/>
      </c>
      <c r="H233" s="25">
        <f>IF(OR($A233="",'04 Prices'!H233="",'04 Prices'!H234=""),"",LN('04 Prices'!H234/'04 Prices'!H233))</f>
        <v/>
      </c>
    </row>
    <row r="234">
      <c r="A234" s="23">
        <f>IF('04 Prices'!A235="","",'04 Prices'!A235)</f>
        <v/>
      </c>
      <c r="B234" s="25">
        <f>IF(OR($A234="",'04 Prices'!B234="",'04 Prices'!B235=""),"",LN('04 Prices'!B235/'04 Prices'!B234))</f>
        <v/>
      </c>
      <c r="C234" s="25">
        <f>IF(OR($A234="",'04 Prices'!C234="",'04 Prices'!C235=""),"",LN('04 Prices'!C235/'04 Prices'!C234))</f>
        <v/>
      </c>
      <c r="D234" s="25">
        <f>IF(OR($A234="",'04 Prices'!D234="",'04 Prices'!D235=""),"",LN('04 Prices'!D235/'04 Prices'!D234))</f>
        <v/>
      </c>
      <c r="E234" s="25">
        <f>IF(OR($A234="",'04 Prices'!E234="",'04 Prices'!E235=""),"",LN('04 Prices'!E235/'04 Prices'!E234))</f>
        <v/>
      </c>
      <c r="F234" s="25">
        <f>IF(OR($A234="",'04 Prices'!F234="",'04 Prices'!F235=""),"",LN('04 Prices'!F235/'04 Prices'!F234))</f>
        <v/>
      </c>
      <c r="G234" s="25">
        <f>IF(OR($A234="",'04 Prices'!G234="",'04 Prices'!G235=""),"",LN('04 Prices'!G235/'04 Prices'!G234))</f>
        <v/>
      </c>
      <c r="H234" s="25">
        <f>IF(OR($A234="",'04 Prices'!H234="",'04 Prices'!H235=""),"",LN('04 Prices'!H235/'04 Prices'!H234))</f>
        <v/>
      </c>
    </row>
    <row r="235">
      <c r="A235" s="23">
        <f>IF('04 Prices'!A236="","",'04 Prices'!A236)</f>
        <v/>
      </c>
      <c r="B235" s="25">
        <f>IF(OR($A235="",'04 Prices'!B235="",'04 Prices'!B236=""),"",LN('04 Prices'!B236/'04 Prices'!B235))</f>
        <v/>
      </c>
      <c r="C235" s="25">
        <f>IF(OR($A235="",'04 Prices'!C235="",'04 Prices'!C236=""),"",LN('04 Prices'!C236/'04 Prices'!C235))</f>
        <v/>
      </c>
      <c r="D235" s="25">
        <f>IF(OR($A235="",'04 Prices'!D235="",'04 Prices'!D236=""),"",LN('04 Prices'!D236/'04 Prices'!D235))</f>
        <v/>
      </c>
      <c r="E235" s="25">
        <f>IF(OR($A235="",'04 Prices'!E235="",'04 Prices'!E236=""),"",LN('04 Prices'!E236/'04 Prices'!E235))</f>
        <v/>
      </c>
      <c r="F235" s="25">
        <f>IF(OR($A235="",'04 Prices'!F235="",'04 Prices'!F236=""),"",LN('04 Prices'!F236/'04 Prices'!F235))</f>
        <v/>
      </c>
      <c r="G235" s="25">
        <f>IF(OR($A235="",'04 Prices'!G235="",'04 Prices'!G236=""),"",LN('04 Prices'!G236/'04 Prices'!G235))</f>
        <v/>
      </c>
      <c r="H235" s="25">
        <f>IF(OR($A235="",'04 Prices'!H235="",'04 Prices'!H236=""),"",LN('04 Prices'!H236/'04 Prices'!H235))</f>
        <v/>
      </c>
    </row>
    <row r="236">
      <c r="A236" s="23">
        <f>IF('04 Prices'!A237="","",'04 Prices'!A237)</f>
        <v/>
      </c>
      <c r="B236" s="25">
        <f>IF(OR($A236="",'04 Prices'!B236="",'04 Prices'!B237=""),"",LN('04 Prices'!B237/'04 Prices'!B236))</f>
        <v/>
      </c>
      <c r="C236" s="25">
        <f>IF(OR($A236="",'04 Prices'!C236="",'04 Prices'!C237=""),"",LN('04 Prices'!C237/'04 Prices'!C236))</f>
        <v/>
      </c>
      <c r="D236" s="25">
        <f>IF(OR($A236="",'04 Prices'!D236="",'04 Prices'!D237=""),"",LN('04 Prices'!D237/'04 Prices'!D236))</f>
        <v/>
      </c>
      <c r="E236" s="25">
        <f>IF(OR($A236="",'04 Prices'!E236="",'04 Prices'!E237=""),"",LN('04 Prices'!E237/'04 Prices'!E236))</f>
        <v/>
      </c>
      <c r="F236" s="25">
        <f>IF(OR($A236="",'04 Prices'!F236="",'04 Prices'!F237=""),"",LN('04 Prices'!F237/'04 Prices'!F236))</f>
        <v/>
      </c>
      <c r="G236" s="25">
        <f>IF(OR($A236="",'04 Prices'!G236="",'04 Prices'!G237=""),"",LN('04 Prices'!G237/'04 Prices'!G236))</f>
        <v/>
      </c>
      <c r="H236" s="25">
        <f>IF(OR($A236="",'04 Prices'!H236="",'04 Prices'!H237=""),"",LN('04 Prices'!H237/'04 Prices'!H236))</f>
        <v/>
      </c>
    </row>
    <row r="237">
      <c r="A237" s="23">
        <f>IF('04 Prices'!A238="","",'04 Prices'!A238)</f>
        <v/>
      </c>
      <c r="B237" s="25">
        <f>IF(OR($A237="",'04 Prices'!B237="",'04 Prices'!B238=""),"",LN('04 Prices'!B238/'04 Prices'!B237))</f>
        <v/>
      </c>
      <c r="C237" s="25">
        <f>IF(OR($A237="",'04 Prices'!C237="",'04 Prices'!C238=""),"",LN('04 Prices'!C238/'04 Prices'!C237))</f>
        <v/>
      </c>
      <c r="D237" s="25">
        <f>IF(OR($A237="",'04 Prices'!D237="",'04 Prices'!D238=""),"",LN('04 Prices'!D238/'04 Prices'!D237))</f>
        <v/>
      </c>
      <c r="E237" s="25">
        <f>IF(OR($A237="",'04 Prices'!E237="",'04 Prices'!E238=""),"",LN('04 Prices'!E238/'04 Prices'!E237))</f>
        <v/>
      </c>
      <c r="F237" s="25">
        <f>IF(OR($A237="",'04 Prices'!F237="",'04 Prices'!F238=""),"",LN('04 Prices'!F238/'04 Prices'!F237))</f>
        <v/>
      </c>
      <c r="G237" s="25">
        <f>IF(OR($A237="",'04 Prices'!G237="",'04 Prices'!G238=""),"",LN('04 Prices'!G238/'04 Prices'!G237))</f>
        <v/>
      </c>
      <c r="H237" s="25">
        <f>IF(OR($A237="",'04 Prices'!H237="",'04 Prices'!H238=""),"",LN('04 Prices'!H238/'04 Prices'!H237))</f>
        <v/>
      </c>
    </row>
    <row r="238">
      <c r="A238" s="23">
        <f>IF('04 Prices'!A239="","",'04 Prices'!A239)</f>
        <v/>
      </c>
      <c r="B238" s="25">
        <f>IF(OR($A238="",'04 Prices'!B238="",'04 Prices'!B239=""),"",LN('04 Prices'!B239/'04 Prices'!B238))</f>
        <v/>
      </c>
      <c r="C238" s="25">
        <f>IF(OR($A238="",'04 Prices'!C238="",'04 Prices'!C239=""),"",LN('04 Prices'!C239/'04 Prices'!C238))</f>
        <v/>
      </c>
      <c r="D238" s="25">
        <f>IF(OR($A238="",'04 Prices'!D238="",'04 Prices'!D239=""),"",LN('04 Prices'!D239/'04 Prices'!D238))</f>
        <v/>
      </c>
      <c r="E238" s="25">
        <f>IF(OR($A238="",'04 Prices'!E238="",'04 Prices'!E239=""),"",LN('04 Prices'!E239/'04 Prices'!E238))</f>
        <v/>
      </c>
      <c r="F238" s="25">
        <f>IF(OR($A238="",'04 Prices'!F238="",'04 Prices'!F239=""),"",LN('04 Prices'!F239/'04 Prices'!F238))</f>
        <v/>
      </c>
      <c r="G238" s="25">
        <f>IF(OR($A238="",'04 Prices'!G238="",'04 Prices'!G239=""),"",LN('04 Prices'!G239/'04 Prices'!G238))</f>
        <v/>
      </c>
      <c r="H238" s="25">
        <f>IF(OR($A238="",'04 Prices'!H238="",'04 Prices'!H239=""),"",LN('04 Prices'!H239/'04 Prices'!H238))</f>
        <v/>
      </c>
    </row>
    <row r="239">
      <c r="A239" s="23">
        <f>IF('04 Prices'!A240="","",'04 Prices'!A240)</f>
        <v/>
      </c>
      <c r="B239" s="25">
        <f>IF(OR($A239="",'04 Prices'!B239="",'04 Prices'!B240=""),"",LN('04 Prices'!B240/'04 Prices'!B239))</f>
        <v/>
      </c>
      <c r="C239" s="25">
        <f>IF(OR($A239="",'04 Prices'!C239="",'04 Prices'!C240=""),"",LN('04 Prices'!C240/'04 Prices'!C239))</f>
        <v/>
      </c>
      <c r="D239" s="25">
        <f>IF(OR($A239="",'04 Prices'!D239="",'04 Prices'!D240=""),"",LN('04 Prices'!D240/'04 Prices'!D239))</f>
        <v/>
      </c>
      <c r="E239" s="25">
        <f>IF(OR($A239="",'04 Prices'!E239="",'04 Prices'!E240=""),"",LN('04 Prices'!E240/'04 Prices'!E239))</f>
        <v/>
      </c>
      <c r="F239" s="25">
        <f>IF(OR($A239="",'04 Prices'!F239="",'04 Prices'!F240=""),"",LN('04 Prices'!F240/'04 Prices'!F239))</f>
        <v/>
      </c>
      <c r="G239" s="25">
        <f>IF(OR($A239="",'04 Prices'!G239="",'04 Prices'!G240=""),"",LN('04 Prices'!G240/'04 Prices'!G239))</f>
        <v/>
      </c>
      <c r="H239" s="25">
        <f>IF(OR($A239="",'04 Prices'!H239="",'04 Prices'!H240=""),"",LN('04 Prices'!H240/'04 Prices'!H239))</f>
        <v/>
      </c>
    </row>
    <row r="240">
      <c r="A240" s="23">
        <f>IF('04 Prices'!A241="","",'04 Prices'!A241)</f>
        <v/>
      </c>
      <c r="B240" s="25">
        <f>IF(OR($A240="",'04 Prices'!B240="",'04 Prices'!B241=""),"",LN('04 Prices'!B241/'04 Prices'!B240))</f>
        <v/>
      </c>
      <c r="C240" s="25">
        <f>IF(OR($A240="",'04 Prices'!C240="",'04 Prices'!C241=""),"",LN('04 Prices'!C241/'04 Prices'!C240))</f>
        <v/>
      </c>
      <c r="D240" s="25">
        <f>IF(OR($A240="",'04 Prices'!D240="",'04 Prices'!D241=""),"",LN('04 Prices'!D241/'04 Prices'!D240))</f>
        <v/>
      </c>
      <c r="E240" s="25">
        <f>IF(OR($A240="",'04 Prices'!E240="",'04 Prices'!E241=""),"",LN('04 Prices'!E241/'04 Prices'!E240))</f>
        <v/>
      </c>
      <c r="F240" s="25">
        <f>IF(OR($A240="",'04 Prices'!F240="",'04 Prices'!F241=""),"",LN('04 Prices'!F241/'04 Prices'!F240))</f>
        <v/>
      </c>
      <c r="G240" s="25">
        <f>IF(OR($A240="",'04 Prices'!G240="",'04 Prices'!G241=""),"",LN('04 Prices'!G241/'04 Prices'!G240))</f>
        <v/>
      </c>
      <c r="H240" s="25">
        <f>IF(OR($A240="",'04 Prices'!H240="",'04 Prices'!H241=""),"",LN('04 Prices'!H241/'04 Prices'!H240))</f>
        <v/>
      </c>
    </row>
    <row r="241">
      <c r="A241" s="23">
        <f>IF('04 Prices'!A242="","",'04 Prices'!A242)</f>
        <v/>
      </c>
      <c r="B241" s="25">
        <f>IF(OR($A241="",'04 Prices'!B241="",'04 Prices'!B242=""),"",LN('04 Prices'!B242/'04 Prices'!B241))</f>
        <v/>
      </c>
      <c r="C241" s="25">
        <f>IF(OR($A241="",'04 Prices'!C241="",'04 Prices'!C242=""),"",LN('04 Prices'!C242/'04 Prices'!C241))</f>
        <v/>
      </c>
      <c r="D241" s="25">
        <f>IF(OR($A241="",'04 Prices'!D241="",'04 Prices'!D242=""),"",LN('04 Prices'!D242/'04 Prices'!D241))</f>
        <v/>
      </c>
      <c r="E241" s="25">
        <f>IF(OR($A241="",'04 Prices'!E241="",'04 Prices'!E242=""),"",LN('04 Prices'!E242/'04 Prices'!E241))</f>
        <v/>
      </c>
      <c r="F241" s="25">
        <f>IF(OR($A241="",'04 Prices'!F241="",'04 Prices'!F242=""),"",LN('04 Prices'!F242/'04 Prices'!F241))</f>
        <v/>
      </c>
      <c r="G241" s="25">
        <f>IF(OR($A241="",'04 Prices'!G241="",'04 Prices'!G242=""),"",LN('04 Prices'!G242/'04 Prices'!G241))</f>
        <v/>
      </c>
      <c r="H241" s="25">
        <f>IF(OR($A241="",'04 Prices'!H241="",'04 Prices'!H242=""),"",LN('04 Prices'!H242/'04 Prices'!H241))</f>
        <v/>
      </c>
    </row>
    <row r="242">
      <c r="A242" s="23">
        <f>IF('04 Prices'!A243="","",'04 Prices'!A243)</f>
        <v/>
      </c>
      <c r="B242" s="25">
        <f>IF(OR($A242="",'04 Prices'!B242="",'04 Prices'!B243=""),"",LN('04 Prices'!B243/'04 Prices'!B242))</f>
        <v/>
      </c>
      <c r="C242" s="25">
        <f>IF(OR($A242="",'04 Prices'!C242="",'04 Prices'!C243=""),"",LN('04 Prices'!C243/'04 Prices'!C242))</f>
        <v/>
      </c>
      <c r="D242" s="25">
        <f>IF(OR($A242="",'04 Prices'!D242="",'04 Prices'!D243=""),"",LN('04 Prices'!D243/'04 Prices'!D242))</f>
        <v/>
      </c>
      <c r="E242" s="25">
        <f>IF(OR($A242="",'04 Prices'!E242="",'04 Prices'!E243=""),"",LN('04 Prices'!E243/'04 Prices'!E242))</f>
        <v/>
      </c>
      <c r="F242" s="25">
        <f>IF(OR($A242="",'04 Prices'!F242="",'04 Prices'!F243=""),"",LN('04 Prices'!F243/'04 Prices'!F242))</f>
        <v/>
      </c>
      <c r="G242" s="25">
        <f>IF(OR($A242="",'04 Prices'!G242="",'04 Prices'!G243=""),"",LN('04 Prices'!G243/'04 Prices'!G242))</f>
        <v/>
      </c>
      <c r="H242" s="25">
        <f>IF(OR($A242="",'04 Prices'!H242="",'04 Prices'!H243=""),"",LN('04 Prices'!H243/'04 Prices'!H242))</f>
        <v/>
      </c>
    </row>
    <row r="243">
      <c r="A243" s="23">
        <f>IF('04 Prices'!A244="","",'04 Prices'!A244)</f>
        <v/>
      </c>
      <c r="B243" s="25">
        <f>IF(OR($A243="",'04 Prices'!B243="",'04 Prices'!B244=""),"",LN('04 Prices'!B244/'04 Prices'!B243))</f>
        <v/>
      </c>
      <c r="C243" s="25">
        <f>IF(OR($A243="",'04 Prices'!C243="",'04 Prices'!C244=""),"",LN('04 Prices'!C244/'04 Prices'!C243))</f>
        <v/>
      </c>
      <c r="D243" s="25">
        <f>IF(OR($A243="",'04 Prices'!D243="",'04 Prices'!D244=""),"",LN('04 Prices'!D244/'04 Prices'!D243))</f>
        <v/>
      </c>
      <c r="E243" s="25">
        <f>IF(OR($A243="",'04 Prices'!E243="",'04 Prices'!E244=""),"",LN('04 Prices'!E244/'04 Prices'!E243))</f>
        <v/>
      </c>
      <c r="F243" s="25">
        <f>IF(OR($A243="",'04 Prices'!F243="",'04 Prices'!F244=""),"",LN('04 Prices'!F244/'04 Prices'!F243))</f>
        <v/>
      </c>
      <c r="G243" s="25">
        <f>IF(OR($A243="",'04 Prices'!G243="",'04 Prices'!G244=""),"",LN('04 Prices'!G244/'04 Prices'!G243))</f>
        <v/>
      </c>
      <c r="H243" s="25">
        <f>IF(OR($A243="",'04 Prices'!H243="",'04 Prices'!H244=""),"",LN('04 Prices'!H244/'04 Prices'!H243))</f>
        <v/>
      </c>
    </row>
    <row r="244">
      <c r="A244" s="23">
        <f>IF('04 Prices'!A245="","",'04 Prices'!A245)</f>
        <v/>
      </c>
      <c r="B244" s="25">
        <f>IF(OR($A244="",'04 Prices'!B244="",'04 Prices'!B245=""),"",LN('04 Prices'!B245/'04 Prices'!B244))</f>
        <v/>
      </c>
      <c r="C244" s="25">
        <f>IF(OR($A244="",'04 Prices'!C244="",'04 Prices'!C245=""),"",LN('04 Prices'!C245/'04 Prices'!C244))</f>
        <v/>
      </c>
      <c r="D244" s="25">
        <f>IF(OR($A244="",'04 Prices'!D244="",'04 Prices'!D245=""),"",LN('04 Prices'!D245/'04 Prices'!D244))</f>
        <v/>
      </c>
      <c r="E244" s="25">
        <f>IF(OR($A244="",'04 Prices'!E244="",'04 Prices'!E245=""),"",LN('04 Prices'!E245/'04 Prices'!E244))</f>
        <v/>
      </c>
      <c r="F244" s="25">
        <f>IF(OR($A244="",'04 Prices'!F244="",'04 Prices'!F245=""),"",LN('04 Prices'!F245/'04 Prices'!F244))</f>
        <v/>
      </c>
      <c r="G244" s="25">
        <f>IF(OR($A244="",'04 Prices'!G244="",'04 Prices'!G245=""),"",LN('04 Prices'!G245/'04 Prices'!G244))</f>
        <v/>
      </c>
      <c r="H244" s="25">
        <f>IF(OR($A244="",'04 Prices'!H244="",'04 Prices'!H245=""),"",LN('04 Prices'!H245/'04 Prices'!H244))</f>
        <v/>
      </c>
    </row>
    <row r="245">
      <c r="A245" s="23">
        <f>IF('04 Prices'!A246="","",'04 Prices'!A246)</f>
        <v/>
      </c>
      <c r="B245" s="25">
        <f>IF(OR($A245="",'04 Prices'!B245="",'04 Prices'!B246=""),"",LN('04 Prices'!B246/'04 Prices'!B245))</f>
        <v/>
      </c>
      <c r="C245" s="25">
        <f>IF(OR($A245="",'04 Prices'!C245="",'04 Prices'!C246=""),"",LN('04 Prices'!C246/'04 Prices'!C245))</f>
        <v/>
      </c>
      <c r="D245" s="25">
        <f>IF(OR($A245="",'04 Prices'!D245="",'04 Prices'!D246=""),"",LN('04 Prices'!D246/'04 Prices'!D245))</f>
        <v/>
      </c>
      <c r="E245" s="25">
        <f>IF(OR($A245="",'04 Prices'!E245="",'04 Prices'!E246=""),"",LN('04 Prices'!E246/'04 Prices'!E245))</f>
        <v/>
      </c>
      <c r="F245" s="25">
        <f>IF(OR($A245="",'04 Prices'!F245="",'04 Prices'!F246=""),"",LN('04 Prices'!F246/'04 Prices'!F245))</f>
        <v/>
      </c>
      <c r="G245" s="25">
        <f>IF(OR($A245="",'04 Prices'!G245="",'04 Prices'!G246=""),"",LN('04 Prices'!G246/'04 Prices'!G245))</f>
        <v/>
      </c>
      <c r="H245" s="25">
        <f>IF(OR($A245="",'04 Prices'!H245="",'04 Prices'!H246=""),"",LN('04 Prices'!H246/'04 Prices'!H245))</f>
        <v/>
      </c>
    </row>
    <row r="246">
      <c r="A246" s="23">
        <f>IF('04 Prices'!A247="","",'04 Prices'!A247)</f>
        <v/>
      </c>
      <c r="B246" s="25">
        <f>IF(OR($A246="",'04 Prices'!B246="",'04 Prices'!B247=""),"",LN('04 Prices'!B247/'04 Prices'!B246))</f>
        <v/>
      </c>
      <c r="C246" s="25">
        <f>IF(OR($A246="",'04 Prices'!C246="",'04 Prices'!C247=""),"",LN('04 Prices'!C247/'04 Prices'!C246))</f>
        <v/>
      </c>
      <c r="D246" s="25">
        <f>IF(OR($A246="",'04 Prices'!D246="",'04 Prices'!D247=""),"",LN('04 Prices'!D247/'04 Prices'!D246))</f>
        <v/>
      </c>
      <c r="E246" s="25">
        <f>IF(OR($A246="",'04 Prices'!E246="",'04 Prices'!E247=""),"",LN('04 Prices'!E247/'04 Prices'!E246))</f>
        <v/>
      </c>
      <c r="F246" s="25">
        <f>IF(OR($A246="",'04 Prices'!F246="",'04 Prices'!F247=""),"",LN('04 Prices'!F247/'04 Prices'!F246))</f>
        <v/>
      </c>
      <c r="G246" s="25">
        <f>IF(OR($A246="",'04 Prices'!G246="",'04 Prices'!G247=""),"",LN('04 Prices'!G247/'04 Prices'!G246))</f>
        <v/>
      </c>
      <c r="H246" s="25">
        <f>IF(OR($A246="",'04 Prices'!H246="",'04 Prices'!H247=""),"",LN('04 Prices'!H247/'04 Prices'!H246))</f>
        <v/>
      </c>
    </row>
    <row r="247">
      <c r="A247" s="23">
        <f>IF('04 Prices'!A248="","",'04 Prices'!A248)</f>
        <v/>
      </c>
      <c r="B247" s="25">
        <f>IF(OR($A247="",'04 Prices'!B247="",'04 Prices'!B248=""),"",LN('04 Prices'!B248/'04 Prices'!B247))</f>
        <v/>
      </c>
      <c r="C247" s="25">
        <f>IF(OR($A247="",'04 Prices'!C247="",'04 Prices'!C248=""),"",LN('04 Prices'!C248/'04 Prices'!C247))</f>
        <v/>
      </c>
      <c r="D247" s="25">
        <f>IF(OR($A247="",'04 Prices'!D247="",'04 Prices'!D248=""),"",LN('04 Prices'!D248/'04 Prices'!D247))</f>
        <v/>
      </c>
      <c r="E247" s="25">
        <f>IF(OR($A247="",'04 Prices'!E247="",'04 Prices'!E248=""),"",LN('04 Prices'!E248/'04 Prices'!E247))</f>
        <v/>
      </c>
      <c r="F247" s="25">
        <f>IF(OR($A247="",'04 Prices'!F247="",'04 Prices'!F248=""),"",LN('04 Prices'!F248/'04 Prices'!F247))</f>
        <v/>
      </c>
      <c r="G247" s="25">
        <f>IF(OR($A247="",'04 Prices'!G247="",'04 Prices'!G248=""),"",LN('04 Prices'!G248/'04 Prices'!G247))</f>
        <v/>
      </c>
      <c r="H247" s="25">
        <f>IF(OR($A247="",'04 Prices'!H247="",'04 Prices'!H248=""),"",LN('04 Prices'!H248/'04 Prices'!H247))</f>
        <v/>
      </c>
    </row>
    <row r="248">
      <c r="A248" s="23">
        <f>IF('04 Prices'!A249="","",'04 Prices'!A249)</f>
        <v/>
      </c>
      <c r="B248" s="25">
        <f>IF(OR($A248="",'04 Prices'!B248="",'04 Prices'!B249=""),"",LN('04 Prices'!B249/'04 Prices'!B248))</f>
        <v/>
      </c>
      <c r="C248" s="25">
        <f>IF(OR($A248="",'04 Prices'!C248="",'04 Prices'!C249=""),"",LN('04 Prices'!C249/'04 Prices'!C248))</f>
        <v/>
      </c>
      <c r="D248" s="25">
        <f>IF(OR($A248="",'04 Prices'!D248="",'04 Prices'!D249=""),"",LN('04 Prices'!D249/'04 Prices'!D248))</f>
        <v/>
      </c>
      <c r="E248" s="25">
        <f>IF(OR($A248="",'04 Prices'!E248="",'04 Prices'!E249=""),"",LN('04 Prices'!E249/'04 Prices'!E248))</f>
        <v/>
      </c>
      <c r="F248" s="25">
        <f>IF(OR($A248="",'04 Prices'!F248="",'04 Prices'!F249=""),"",LN('04 Prices'!F249/'04 Prices'!F248))</f>
        <v/>
      </c>
      <c r="G248" s="25">
        <f>IF(OR($A248="",'04 Prices'!G248="",'04 Prices'!G249=""),"",LN('04 Prices'!G249/'04 Prices'!G248))</f>
        <v/>
      </c>
      <c r="H248" s="25">
        <f>IF(OR($A248="",'04 Prices'!H248="",'04 Prices'!H249=""),"",LN('04 Prices'!H249/'04 Prices'!H248))</f>
        <v/>
      </c>
    </row>
    <row r="249">
      <c r="A249" s="23">
        <f>IF('04 Prices'!A250="","",'04 Prices'!A250)</f>
        <v/>
      </c>
      <c r="B249" s="25">
        <f>IF(OR($A249="",'04 Prices'!B249="",'04 Prices'!B250=""),"",LN('04 Prices'!B250/'04 Prices'!B249))</f>
        <v/>
      </c>
      <c r="C249" s="25">
        <f>IF(OR($A249="",'04 Prices'!C249="",'04 Prices'!C250=""),"",LN('04 Prices'!C250/'04 Prices'!C249))</f>
        <v/>
      </c>
      <c r="D249" s="25">
        <f>IF(OR($A249="",'04 Prices'!D249="",'04 Prices'!D250=""),"",LN('04 Prices'!D250/'04 Prices'!D249))</f>
        <v/>
      </c>
      <c r="E249" s="25">
        <f>IF(OR($A249="",'04 Prices'!E249="",'04 Prices'!E250=""),"",LN('04 Prices'!E250/'04 Prices'!E249))</f>
        <v/>
      </c>
      <c r="F249" s="25">
        <f>IF(OR($A249="",'04 Prices'!F249="",'04 Prices'!F250=""),"",LN('04 Prices'!F250/'04 Prices'!F249))</f>
        <v/>
      </c>
      <c r="G249" s="25">
        <f>IF(OR($A249="",'04 Prices'!G249="",'04 Prices'!G250=""),"",LN('04 Prices'!G250/'04 Prices'!G249))</f>
        <v/>
      </c>
      <c r="H249" s="25">
        <f>IF(OR($A249="",'04 Prices'!H249="",'04 Prices'!H250=""),"",LN('04 Prices'!H250/'04 Prices'!H249))</f>
        <v/>
      </c>
    </row>
    <row r="250">
      <c r="A250" s="23">
        <f>IF('04 Prices'!A251="","",'04 Prices'!A251)</f>
        <v/>
      </c>
      <c r="B250" s="25">
        <f>IF(OR($A250="",'04 Prices'!B250="",'04 Prices'!B251=""),"",LN('04 Prices'!B251/'04 Prices'!B250))</f>
        <v/>
      </c>
      <c r="C250" s="25">
        <f>IF(OR($A250="",'04 Prices'!C250="",'04 Prices'!C251=""),"",LN('04 Prices'!C251/'04 Prices'!C250))</f>
        <v/>
      </c>
      <c r="D250" s="25">
        <f>IF(OR($A250="",'04 Prices'!D250="",'04 Prices'!D251=""),"",LN('04 Prices'!D251/'04 Prices'!D250))</f>
        <v/>
      </c>
      <c r="E250" s="25">
        <f>IF(OR($A250="",'04 Prices'!E250="",'04 Prices'!E251=""),"",LN('04 Prices'!E251/'04 Prices'!E250))</f>
        <v/>
      </c>
      <c r="F250" s="25">
        <f>IF(OR($A250="",'04 Prices'!F250="",'04 Prices'!F251=""),"",LN('04 Prices'!F251/'04 Prices'!F250))</f>
        <v/>
      </c>
      <c r="G250" s="25">
        <f>IF(OR($A250="",'04 Prices'!G250="",'04 Prices'!G251=""),"",LN('04 Prices'!G251/'04 Prices'!G250))</f>
        <v/>
      </c>
      <c r="H250" s="25">
        <f>IF(OR($A250="",'04 Prices'!H250="",'04 Prices'!H251=""),"",LN('04 Prices'!H251/'04 Prices'!H250))</f>
        <v/>
      </c>
    </row>
    <row r="251">
      <c r="A251" s="23">
        <f>IF('04 Prices'!A252="","",'04 Prices'!A252)</f>
        <v/>
      </c>
      <c r="B251" s="25">
        <f>IF(OR($A251="",'04 Prices'!B251="",'04 Prices'!B252=""),"",LN('04 Prices'!B252/'04 Prices'!B251))</f>
        <v/>
      </c>
      <c r="C251" s="25">
        <f>IF(OR($A251="",'04 Prices'!C251="",'04 Prices'!C252=""),"",LN('04 Prices'!C252/'04 Prices'!C251))</f>
        <v/>
      </c>
      <c r="D251" s="25">
        <f>IF(OR($A251="",'04 Prices'!D251="",'04 Prices'!D252=""),"",LN('04 Prices'!D252/'04 Prices'!D251))</f>
        <v/>
      </c>
      <c r="E251" s="25">
        <f>IF(OR($A251="",'04 Prices'!E251="",'04 Prices'!E252=""),"",LN('04 Prices'!E252/'04 Prices'!E251))</f>
        <v/>
      </c>
      <c r="F251" s="25">
        <f>IF(OR($A251="",'04 Prices'!F251="",'04 Prices'!F252=""),"",LN('04 Prices'!F252/'04 Prices'!F251))</f>
        <v/>
      </c>
      <c r="G251" s="25">
        <f>IF(OR($A251="",'04 Prices'!G251="",'04 Prices'!G252=""),"",LN('04 Prices'!G252/'04 Prices'!G251))</f>
        <v/>
      </c>
      <c r="H251" s="25">
        <f>IF(OR($A251="",'04 Prices'!H251="",'04 Prices'!H252=""),"",LN('04 Prices'!H252/'04 Prices'!H251))</f>
        <v/>
      </c>
    </row>
    <row r="252">
      <c r="A252" s="23">
        <f>IF('04 Prices'!A253="","",'04 Prices'!A253)</f>
        <v/>
      </c>
      <c r="B252" s="25">
        <f>IF(OR($A252="",'04 Prices'!B252="",'04 Prices'!B253=""),"",LN('04 Prices'!B253/'04 Prices'!B252))</f>
        <v/>
      </c>
      <c r="C252" s="25">
        <f>IF(OR($A252="",'04 Prices'!C252="",'04 Prices'!C253=""),"",LN('04 Prices'!C253/'04 Prices'!C252))</f>
        <v/>
      </c>
      <c r="D252" s="25">
        <f>IF(OR($A252="",'04 Prices'!D252="",'04 Prices'!D253=""),"",LN('04 Prices'!D253/'04 Prices'!D252))</f>
        <v/>
      </c>
      <c r="E252" s="25">
        <f>IF(OR($A252="",'04 Prices'!E252="",'04 Prices'!E253=""),"",LN('04 Prices'!E253/'04 Prices'!E252))</f>
        <v/>
      </c>
      <c r="F252" s="25">
        <f>IF(OR($A252="",'04 Prices'!F252="",'04 Prices'!F253=""),"",LN('04 Prices'!F253/'04 Prices'!F252))</f>
        <v/>
      </c>
      <c r="G252" s="25">
        <f>IF(OR($A252="",'04 Prices'!G252="",'04 Prices'!G253=""),"",LN('04 Prices'!G253/'04 Prices'!G252))</f>
        <v/>
      </c>
      <c r="H252" s="25">
        <f>IF(OR($A252="",'04 Prices'!H252="",'04 Prices'!H253=""),"",LN('04 Prices'!H253/'04 Prices'!H252))</f>
        <v/>
      </c>
    </row>
    <row r="253">
      <c r="A253" s="23">
        <f>IF('04 Prices'!A254="","",'04 Prices'!A254)</f>
        <v/>
      </c>
      <c r="B253" s="25">
        <f>IF(OR($A253="",'04 Prices'!B253="",'04 Prices'!B254=""),"",LN('04 Prices'!B254/'04 Prices'!B253))</f>
        <v/>
      </c>
      <c r="C253" s="25">
        <f>IF(OR($A253="",'04 Prices'!C253="",'04 Prices'!C254=""),"",LN('04 Prices'!C254/'04 Prices'!C253))</f>
        <v/>
      </c>
      <c r="D253" s="25">
        <f>IF(OR($A253="",'04 Prices'!D253="",'04 Prices'!D254=""),"",LN('04 Prices'!D254/'04 Prices'!D253))</f>
        <v/>
      </c>
      <c r="E253" s="25">
        <f>IF(OR($A253="",'04 Prices'!E253="",'04 Prices'!E254=""),"",LN('04 Prices'!E254/'04 Prices'!E253))</f>
        <v/>
      </c>
      <c r="F253" s="25">
        <f>IF(OR($A253="",'04 Prices'!F253="",'04 Prices'!F254=""),"",LN('04 Prices'!F254/'04 Prices'!F253))</f>
        <v/>
      </c>
      <c r="G253" s="25">
        <f>IF(OR($A253="",'04 Prices'!G253="",'04 Prices'!G254=""),"",LN('04 Prices'!G254/'04 Prices'!G253))</f>
        <v/>
      </c>
      <c r="H253" s="25">
        <f>IF(OR($A253="",'04 Prices'!H253="",'04 Prices'!H254=""),"",LN('04 Prices'!H254/'04 Prices'!H253))</f>
        <v/>
      </c>
    </row>
    <row r="254">
      <c r="A254" s="23">
        <f>IF('04 Prices'!A255="","",'04 Prices'!A255)</f>
        <v/>
      </c>
      <c r="B254" s="25">
        <f>IF(OR($A254="",'04 Prices'!B254="",'04 Prices'!B255=""),"",LN('04 Prices'!B255/'04 Prices'!B254))</f>
        <v/>
      </c>
      <c r="C254" s="25">
        <f>IF(OR($A254="",'04 Prices'!C254="",'04 Prices'!C255=""),"",LN('04 Prices'!C255/'04 Prices'!C254))</f>
        <v/>
      </c>
      <c r="D254" s="25">
        <f>IF(OR($A254="",'04 Prices'!D254="",'04 Prices'!D255=""),"",LN('04 Prices'!D255/'04 Prices'!D254))</f>
        <v/>
      </c>
      <c r="E254" s="25">
        <f>IF(OR($A254="",'04 Prices'!E254="",'04 Prices'!E255=""),"",LN('04 Prices'!E255/'04 Prices'!E254))</f>
        <v/>
      </c>
      <c r="F254" s="25">
        <f>IF(OR($A254="",'04 Prices'!F254="",'04 Prices'!F255=""),"",LN('04 Prices'!F255/'04 Prices'!F254))</f>
        <v/>
      </c>
      <c r="G254" s="25">
        <f>IF(OR($A254="",'04 Prices'!G254="",'04 Prices'!G255=""),"",LN('04 Prices'!G255/'04 Prices'!G254))</f>
        <v/>
      </c>
      <c r="H254" s="25">
        <f>IF(OR($A254="",'04 Prices'!H254="",'04 Prices'!H255=""),"",LN('04 Prices'!H255/'04 Prices'!H254))</f>
        <v/>
      </c>
    </row>
    <row r="255">
      <c r="A255" s="23">
        <f>IF('04 Prices'!A256="","",'04 Prices'!A256)</f>
        <v/>
      </c>
      <c r="B255" s="25">
        <f>IF(OR($A255="",'04 Prices'!B255="",'04 Prices'!B256=""),"",LN('04 Prices'!B256/'04 Prices'!B255))</f>
        <v/>
      </c>
      <c r="C255" s="25">
        <f>IF(OR($A255="",'04 Prices'!C255="",'04 Prices'!C256=""),"",LN('04 Prices'!C256/'04 Prices'!C255))</f>
        <v/>
      </c>
      <c r="D255" s="25">
        <f>IF(OR($A255="",'04 Prices'!D255="",'04 Prices'!D256=""),"",LN('04 Prices'!D256/'04 Prices'!D255))</f>
        <v/>
      </c>
      <c r="E255" s="25">
        <f>IF(OR($A255="",'04 Prices'!E255="",'04 Prices'!E256=""),"",LN('04 Prices'!E256/'04 Prices'!E255))</f>
        <v/>
      </c>
      <c r="F255" s="25">
        <f>IF(OR($A255="",'04 Prices'!F255="",'04 Prices'!F256=""),"",LN('04 Prices'!F256/'04 Prices'!F255))</f>
        <v/>
      </c>
      <c r="G255" s="25">
        <f>IF(OR($A255="",'04 Prices'!G255="",'04 Prices'!G256=""),"",LN('04 Prices'!G256/'04 Prices'!G255))</f>
        <v/>
      </c>
      <c r="H255" s="25">
        <f>IF(OR($A255="",'04 Prices'!H255="",'04 Prices'!H256=""),"",LN('04 Prices'!H256/'04 Prices'!H255))</f>
        <v/>
      </c>
    </row>
    <row r="256">
      <c r="A256" s="23">
        <f>IF('04 Prices'!A257="","",'04 Prices'!A257)</f>
        <v/>
      </c>
      <c r="B256" s="25">
        <f>IF(OR($A256="",'04 Prices'!B256="",'04 Prices'!B257=""),"",LN('04 Prices'!B257/'04 Prices'!B256))</f>
        <v/>
      </c>
      <c r="C256" s="25">
        <f>IF(OR($A256="",'04 Prices'!C256="",'04 Prices'!C257=""),"",LN('04 Prices'!C257/'04 Prices'!C256))</f>
        <v/>
      </c>
      <c r="D256" s="25">
        <f>IF(OR($A256="",'04 Prices'!D256="",'04 Prices'!D257=""),"",LN('04 Prices'!D257/'04 Prices'!D256))</f>
        <v/>
      </c>
      <c r="E256" s="25">
        <f>IF(OR($A256="",'04 Prices'!E256="",'04 Prices'!E257=""),"",LN('04 Prices'!E257/'04 Prices'!E256))</f>
        <v/>
      </c>
      <c r="F256" s="25">
        <f>IF(OR($A256="",'04 Prices'!F256="",'04 Prices'!F257=""),"",LN('04 Prices'!F257/'04 Prices'!F256))</f>
        <v/>
      </c>
      <c r="G256" s="25">
        <f>IF(OR($A256="",'04 Prices'!G256="",'04 Prices'!G257=""),"",LN('04 Prices'!G257/'04 Prices'!G256))</f>
        <v/>
      </c>
      <c r="H256" s="25">
        <f>IF(OR($A256="",'04 Prices'!H256="",'04 Prices'!H257=""),"",LN('04 Prices'!H257/'04 Prices'!H256))</f>
        <v/>
      </c>
    </row>
    <row r="257">
      <c r="A257" s="23">
        <f>IF('04 Prices'!A258="","",'04 Prices'!A258)</f>
        <v/>
      </c>
      <c r="B257" s="25">
        <f>IF(OR($A257="",'04 Prices'!B257="",'04 Prices'!B258=""),"",LN('04 Prices'!B258/'04 Prices'!B257))</f>
        <v/>
      </c>
      <c r="C257" s="25">
        <f>IF(OR($A257="",'04 Prices'!C257="",'04 Prices'!C258=""),"",LN('04 Prices'!C258/'04 Prices'!C257))</f>
        <v/>
      </c>
      <c r="D257" s="25">
        <f>IF(OR($A257="",'04 Prices'!D257="",'04 Prices'!D258=""),"",LN('04 Prices'!D258/'04 Prices'!D257))</f>
        <v/>
      </c>
      <c r="E257" s="25">
        <f>IF(OR($A257="",'04 Prices'!E257="",'04 Prices'!E258=""),"",LN('04 Prices'!E258/'04 Prices'!E257))</f>
        <v/>
      </c>
      <c r="F257" s="25">
        <f>IF(OR($A257="",'04 Prices'!F257="",'04 Prices'!F258=""),"",LN('04 Prices'!F258/'04 Prices'!F257))</f>
        <v/>
      </c>
      <c r="G257" s="25">
        <f>IF(OR($A257="",'04 Prices'!G257="",'04 Prices'!G258=""),"",LN('04 Prices'!G258/'04 Prices'!G257))</f>
        <v/>
      </c>
      <c r="H257" s="25">
        <f>IF(OR($A257="",'04 Prices'!H257="",'04 Prices'!H258=""),"",LN('04 Prices'!H258/'04 Prices'!H257))</f>
        <v/>
      </c>
    </row>
    <row r="258">
      <c r="A258" s="23">
        <f>IF('04 Prices'!A259="","",'04 Prices'!A259)</f>
        <v/>
      </c>
      <c r="B258" s="25">
        <f>IF(OR($A258="",'04 Prices'!B258="",'04 Prices'!B259=""),"",LN('04 Prices'!B259/'04 Prices'!B258))</f>
        <v/>
      </c>
      <c r="C258" s="25">
        <f>IF(OR($A258="",'04 Prices'!C258="",'04 Prices'!C259=""),"",LN('04 Prices'!C259/'04 Prices'!C258))</f>
        <v/>
      </c>
      <c r="D258" s="25">
        <f>IF(OR($A258="",'04 Prices'!D258="",'04 Prices'!D259=""),"",LN('04 Prices'!D259/'04 Prices'!D258))</f>
        <v/>
      </c>
      <c r="E258" s="25">
        <f>IF(OR($A258="",'04 Prices'!E258="",'04 Prices'!E259=""),"",LN('04 Prices'!E259/'04 Prices'!E258))</f>
        <v/>
      </c>
      <c r="F258" s="25">
        <f>IF(OR($A258="",'04 Prices'!F258="",'04 Prices'!F259=""),"",LN('04 Prices'!F259/'04 Prices'!F258))</f>
        <v/>
      </c>
      <c r="G258" s="25">
        <f>IF(OR($A258="",'04 Prices'!G258="",'04 Prices'!G259=""),"",LN('04 Prices'!G259/'04 Prices'!G258))</f>
        <v/>
      </c>
      <c r="H258" s="25">
        <f>IF(OR($A258="",'04 Prices'!H258="",'04 Prices'!H259=""),"",LN('04 Prices'!H259/'04 Prices'!H258))</f>
        <v/>
      </c>
    </row>
    <row r="259">
      <c r="A259" s="23">
        <f>IF('04 Prices'!A260="","",'04 Prices'!A260)</f>
        <v/>
      </c>
      <c r="B259" s="25">
        <f>IF(OR($A259="",'04 Prices'!B259="",'04 Prices'!B260=""),"",LN('04 Prices'!B260/'04 Prices'!B259))</f>
        <v/>
      </c>
      <c r="C259" s="25">
        <f>IF(OR($A259="",'04 Prices'!C259="",'04 Prices'!C260=""),"",LN('04 Prices'!C260/'04 Prices'!C259))</f>
        <v/>
      </c>
      <c r="D259" s="25">
        <f>IF(OR($A259="",'04 Prices'!D259="",'04 Prices'!D260=""),"",LN('04 Prices'!D260/'04 Prices'!D259))</f>
        <v/>
      </c>
      <c r="E259" s="25">
        <f>IF(OR($A259="",'04 Prices'!E259="",'04 Prices'!E260=""),"",LN('04 Prices'!E260/'04 Prices'!E259))</f>
        <v/>
      </c>
      <c r="F259" s="25">
        <f>IF(OR($A259="",'04 Prices'!F259="",'04 Prices'!F260=""),"",LN('04 Prices'!F260/'04 Prices'!F259))</f>
        <v/>
      </c>
      <c r="G259" s="25">
        <f>IF(OR($A259="",'04 Prices'!G259="",'04 Prices'!G260=""),"",LN('04 Prices'!G260/'04 Prices'!G259))</f>
        <v/>
      </c>
      <c r="H259" s="25">
        <f>IF(OR($A259="",'04 Prices'!H259="",'04 Prices'!H260=""),"",LN('04 Prices'!H260/'04 Prices'!H259))</f>
        <v/>
      </c>
    </row>
    <row r="260">
      <c r="A260" s="23">
        <f>IF('04 Prices'!A261="","",'04 Prices'!A261)</f>
        <v/>
      </c>
      <c r="B260" s="25">
        <f>IF(OR($A260="",'04 Prices'!B260="",'04 Prices'!B261=""),"",LN('04 Prices'!B261/'04 Prices'!B260))</f>
        <v/>
      </c>
      <c r="C260" s="25">
        <f>IF(OR($A260="",'04 Prices'!C260="",'04 Prices'!C261=""),"",LN('04 Prices'!C261/'04 Prices'!C260))</f>
        <v/>
      </c>
      <c r="D260" s="25">
        <f>IF(OR($A260="",'04 Prices'!D260="",'04 Prices'!D261=""),"",LN('04 Prices'!D261/'04 Prices'!D260))</f>
        <v/>
      </c>
      <c r="E260" s="25">
        <f>IF(OR($A260="",'04 Prices'!E260="",'04 Prices'!E261=""),"",LN('04 Prices'!E261/'04 Prices'!E260))</f>
        <v/>
      </c>
      <c r="F260" s="25">
        <f>IF(OR($A260="",'04 Prices'!F260="",'04 Prices'!F261=""),"",LN('04 Prices'!F261/'04 Prices'!F260))</f>
        <v/>
      </c>
      <c r="G260" s="25">
        <f>IF(OR($A260="",'04 Prices'!G260="",'04 Prices'!G261=""),"",LN('04 Prices'!G261/'04 Prices'!G260))</f>
        <v/>
      </c>
      <c r="H260" s="25">
        <f>IF(OR($A260="",'04 Prices'!H260="",'04 Prices'!H261=""),"",LN('04 Prices'!H261/'04 Prices'!H260))</f>
        <v/>
      </c>
    </row>
    <row r="261">
      <c r="A261" s="23">
        <f>IF('04 Prices'!A262="","",'04 Prices'!A262)</f>
        <v/>
      </c>
      <c r="B261" s="25">
        <f>IF(OR($A261="",'04 Prices'!B261="",'04 Prices'!B262=""),"",LN('04 Prices'!B262/'04 Prices'!B261))</f>
        <v/>
      </c>
      <c r="C261" s="25">
        <f>IF(OR($A261="",'04 Prices'!C261="",'04 Prices'!C262=""),"",LN('04 Prices'!C262/'04 Prices'!C261))</f>
        <v/>
      </c>
      <c r="D261" s="25">
        <f>IF(OR($A261="",'04 Prices'!D261="",'04 Prices'!D262=""),"",LN('04 Prices'!D262/'04 Prices'!D261))</f>
        <v/>
      </c>
      <c r="E261" s="25">
        <f>IF(OR($A261="",'04 Prices'!E261="",'04 Prices'!E262=""),"",LN('04 Prices'!E262/'04 Prices'!E261))</f>
        <v/>
      </c>
      <c r="F261" s="25">
        <f>IF(OR($A261="",'04 Prices'!F261="",'04 Prices'!F262=""),"",LN('04 Prices'!F262/'04 Prices'!F261))</f>
        <v/>
      </c>
      <c r="G261" s="25">
        <f>IF(OR($A261="",'04 Prices'!G261="",'04 Prices'!G262=""),"",LN('04 Prices'!G262/'04 Prices'!G261))</f>
        <v/>
      </c>
      <c r="H261" s="25">
        <f>IF(OR($A261="",'04 Prices'!H261="",'04 Prices'!H262=""),"",LN('04 Prices'!H262/'04 Prices'!H261))</f>
        <v/>
      </c>
    </row>
    <row r="262">
      <c r="A262" s="23">
        <f>IF('04 Prices'!A263="","",'04 Prices'!A263)</f>
        <v/>
      </c>
      <c r="B262" s="25">
        <f>IF(OR($A262="",'04 Prices'!B262="",'04 Prices'!B263=""),"",LN('04 Prices'!B263/'04 Prices'!B262))</f>
        <v/>
      </c>
      <c r="C262" s="25">
        <f>IF(OR($A262="",'04 Prices'!C262="",'04 Prices'!C263=""),"",LN('04 Prices'!C263/'04 Prices'!C262))</f>
        <v/>
      </c>
      <c r="D262" s="25">
        <f>IF(OR($A262="",'04 Prices'!D262="",'04 Prices'!D263=""),"",LN('04 Prices'!D263/'04 Prices'!D262))</f>
        <v/>
      </c>
      <c r="E262" s="25">
        <f>IF(OR($A262="",'04 Prices'!E262="",'04 Prices'!E263=""),"",LN('04 Prices'!E263/'04 Prices'!E262))</f>
        <v/>
      </c>
      <c r="F262" s="25">
        <f>IF(OR($A262="",'04 Prices'!F262="",'04 Prices'!F263=""),"",LN('04 Prices'!F263/'04 Prices'!F262))</f>
        <v/>
      </c>
      <c r="G262" s="25">
        <f>IF(OR($A262="",'04 Prices'!G262="",'04 Prices'!G263=""),"",LN('04 Prices'!G263/'04 Prices'!G262))</f>
        <v/>
      </c>
      <c r="H262" s="25">
        <f>IF(OR($A262="",'04 Prices'!H262="",'04 Prices'!H263=""),"",LN('04 Prices'!H263/'04 Prices'!H262))</f>
        <v/>
      </c>
    </row>
    <row r="263">
      <c r="A263" s="23">
        <f>IF('04 Prices'!A264="","",'04 Prices'!A264)</f>
        <v/>
      </c>
      <c r="B263" s="25">
        <f>IF(OR($A263="",'04 Prices'!B263="",'04 Prices'!B264=""),"",LN('04 Prices'!B264/'04 Prices'!B263))</f>
        <v/>
      </c>
      <c r="C263" s="25">
        <f>IF(OR($A263="",'04 Prices'!C263="",'04 Prices'!C264=""),"",LN('04 Prices'!C264/'04 Prices'!C263))</f>
        <v/>
      </c>
      <c r="D263" s="25">
        <f>IF(OR($A263="",'04 Prices'!D263="",'04 Prices'!D264=""),"",LN('04 Prices'!D264/'04 Prices'!D263))</f>
        <v/>
      </c>
      <c r="E263" s="25">
        <f>IF(OR($A263="",'04 Prices'!E263="",'04 Prices'!E264=""),"",LN('04 Prices'!E264/'04 Prices'!E263))</f>
        <v/>
      </c>
      <c r="F263" s="25">
        <f>IF(OR($A263="",'04 Prices'!F263="",'04 Prices'!F264=""),"",LN('04 Prices'!F264/'04 Prices'!F263))</f>
        <v/>
      </c>
      <c r="G263" s="25">
        <f>IF(OR($A263="",'04 Prices'!G263="",'04 Prices'!G264=""),"",LN('04 Prices'!G264/'04 Prices'!G263))</f>
        <v/>
      </c>
      <c r="H263" s="25">
        <f>IF(OR($A263="",'04 Prices'!H263="",'04 Prices'!H264=""),"",LN('04 Prices'!H264/'04 Prices'!H263))</f>
        <v/>
      </c>
    </row>
    <row r="264">
      <c r="A264" s="23">
        <f>IF('04 Prices'!A265="","",'04 Prices'!A265)</f>
        <v/>
      </c>
      <c r="B264" s="25">
        <f>IF(OR($A264="",'04 Prices'!B264="",'04 Prices'!B265=""),"",LN('04 Prices'!B265/'04 Prices'!B264))</f>
        <v/>
      </c>
      <c r="C264" s="25">
        <f>IF(OR($A264="",'04 Prices'!C264="",'04 Prices'!C265=""),"",LN('04 Prices'!C265/'04 Prices'!C264))</f>
        <v/>
      </c>
      <c r="D264" s="25">
        <f>IF(OR($A264="",'04 Prices'!D264="",'04 Prices'!D265=""),"",LN('04 Prices'!D265/'04 Prices'!D264))</f>
        <v/>
      </c>
      <c r="E264" s="25">
        <f>IF(OR($A264="",'04 Prices'!E264="",'04 Prices'!E265=""),"",LN('04 Prices'!E265/'04 Prices'!E264))</f>
        <v/>
      </c>
      <c r="F264" s="25">
        <f>IF(OR($A264="",'04 Prices'!F264="",'04 Prices'!F265=""),"",LN('04 Prices'!F265/'04 Prices'!F264))</f>
        <v/>
      </c>
      <c r="G264" s="25">
        <f>IF(OR($A264="",'04 Prices'!G264="",'04 Prices'!G265=""),"",LN('04 Prices'!G265/'04 Prices'!G264))</f>
        <v/>
      </c>
      <c r="H264" s="25">
        <f>IF(OR($A264="",'04 Prices'!H264="",'04 Prices'!H265=""),"",LN('04 Prices'!H265/'04 Prices'!H264))</f>
        <v/>
      </c>
    </row>
    <row r="265">
      <c r="A265" s="23">
        <f>IF('04 Prices'!A266="","",'04 Prices'!A266)</f>
        <v/>
      </c>
      <c r="B265" s="25">
        <f>IF(OR($A265="",'04 Prices'!B265="",'04 Prices'!B266=""),"",LN('04 Prices'!B266/'04 Prices'!B265))</f>
        <v/>
      </c>
      <c r="C265" s="25">
        <f>IF(OR($A265="",'04 Prices'!C265="",'04 Prices'!C266=""),"",LN('04 Prices'!C266/'04 Prices'!C265))</f>
        <v/>
      </c>
      <c r="D265" s="25">
        <f>IF(OR($A265="",'04 Prices'!D265="",'04 Prices'!D266=""),"",LN('04 Prices'!D266/'04 Prices'!D265))</f>
        <v/>
      </c>
      <c r="E265" s="25">
        <f>IF(OR($A265="",'04 Prices'!E265="",'04 Prices'!E266=""),"",LN('04 Prices'!E266/'04 Prices'!E265))</f>
        <v/>
      </c>
      <c r="F265" s="25">
        <f>IF(OR($A265="",'04 Prices'!F265="",'04 Prices'!F266=""),"",LN('04 Prices'!F266/'04 Prices'!F265))</f>
        <v/>
      </c>
      <c r="G265" s="25">
        <f>IF(OR($A265="",'04 Prices'!G265="",'04 Prices'!G266=""),"",LN('04 Prices'!G266/'04 Prices'!G265))</f>
        <v/>
      </c>
      <c r="H265" s="25">
        <f>IF(OR($A265="",'04 Prices'!H265="",'04 Prices'!H266=""),"",LN('04 Prices'!H266/'04 Prices'!H265))</f>
        <v/>
      </c>
    </row>
    <row r="266">
      <c r="A266" s="23">
        <f>IF('04 Prices'!A267="","",'04 Prices'!A267)</f>
        <v/>
      </c>
      <c r="B266" s="25">
        <f>IF(OR($A266="",'04 Prices'!B266="",'04 Prices'!B267=""),"",LN('04 Prices'!B267/'04 Prices'!B266))</f>
        <v/>
      </c>
      <c r="C266" s="25">
        <f>IF(OR($A266="",'04 Prices'!C266="",'04 Prices'!C267=""),"",LN('04 Prices'!C267/'04 Prices'!C266))</f>
        <v/>
      </c>
      <c r="D266" s="25">
        <f>IF(OR($A266="",'04 Prices'!D266="",'04 Prices'!D267=""),"",LN('04 Prices'!D267/'04 Prices'!D266))</f>
        <v/>
      </c>
      <c r="E266" s="25">
        <f>IF(OR($A266="",'04 Prices'!E266="",'04 Prices'!E267=""),"",LN('04 Prices'!E267/'04 Prices'!E266))</f>
        <v/>
      </c>
      <c r="F266" s="25">
        <f>IF(OR($A266="",'04 Prices'!F266="",'04 Prices'!F267=""),"",LN('04 Prices'!F267/'04 Prices'!F266))</f>
        <v/>
      </c>
      <c r="G266" s="25">
        <f>IF(OR($A266="",'04 Prices'!G266="",'04 Prices'!G267=""),"",LN('04 Prices'!G267/'04 Prices'!G266))</f>
        <v/>
      </c>
      <c r="H266" s="25">
        <f>IF(OR($A266="",'04 Prices'!H266="",'04 Prices'!H267=""),"",LN('04 Prices'!H267/'04 Prices'!H266))</f>
        <v/>
      </c>
    </row>
    <row r="267">
      <c r="A267" s="23">
        <f>IF('04 Prices'!A268="","",'04 Prices'!A268)</f>
        <v/>
      </c>
      <c r="B267" s="25">
        <f>IF(OR($A267="",'04 Prices'!B267="",'04 Prices'!B268=""),"",LN('04 Prices'!B268/'04 Prices'!B267))</f>
        <v/>
      </c>
      <c r="C267" s="25">
        <f>IF(OR($A267="",'04 Prices'!C267="",'04 Prices'!C268=""),"",LN('04 Prices'!C268/'04 Prices'!C267))</f>
        <v/>
      </c>
      <c r="D267" s="25">
        <f>IF(OR($A267="",'04 Prices'!D267="",'04 Prices'!D268=""),"",LN('04 Prices'!D268/'04 Prices'!D267))</f>
        <v/>
      </c>
      <c r="E267" s="25">
        <f>IF(OR($A267="",'04 Prices'!E267="",'04 Prices'!E268=""),"",LN('04 Prices'!E268/'04 Prices'!E267))</f>
        <v/>
      </c>
      <c r="F267" s="25">
        <f>IF(OR($A267="",'04 Prices'!F267="",'04 Prices'!F268=""),"",LN('04 Prices'!F268/'04 Prices'!F267))</f>
        <v/>
      </c>
      <c r="G267" s="25">
        <f>IF(OR($A267="",'04 Prices'!G267="",'04 Prices'!G268=""),"",LN('04 Prices'!G268/'04 Prices'!G267))</f>
        <v/>
      </c>
      <c r="H267" s="25">
        <f>IF(OR($A267="",'04 Prices'!H267="",'04 Prices'!H268=""),"",LN('04 Prices'!H268/'04 Prices'!H267))</f>
        <v/>
      </c>
    </row>
    <row r="268">
      <c r="A268" s="23">
        <f>IF('04 Prices'!A269="","",'04 Prices'!A269)</f>
        <v/>
      </c>
      <c r="B268" s="25">
        <f>IF(OR($A268="",'04 Prices'!B268="",'04 Prices'!B269=""),"",LN('04 Prices'!B269/'04 Prices'!B268))</f>
        <v/>
      </c>
      <c r="C268" s="25">
        <f>IF(OR($A268="",'04 Prices'!C268="",'04 Prices'!C269=""),"",LN('04 Prices'!C269/'04 Prices'!C268))</f>
        <v/>
      </c>
      <c r="D268" s="25">
        <f>IF(OR($A268="",'04 Prices'!D268="",'04 Prices'!D269=""),"",LN('04 Prices'!D269/'04 Prices'!D268))</f>
        <v/>
      </c>
      <c r="E268" s="25">
        <f>IF(OR($A268="",'04 Prices'!E268="",'04 Prices'!E269=""),"",LN('04 Prices'!E269/'04 Prices'!E268))</f>
        <v/>
      </c>
      <c r="F268" s="25">
        <f>IF(OR($A268="",'04 Prices'!F268="",'04 Prices'!F269=""),"",LN('04 Prices'!F269/'04 Prices'!F268))</f>
        <v/>
      </c>
      <c r="G268" s="25">
        <f>IF(OR($A268="",'04 Prices'!G268="",'04 Prices'!G269=""),"",LN('04 Prices'!G269/'04 Prices'!G268))</f>
        <v/>
      </c>
      <c r="H268" s="25">
        <f>IF(OR($A268="",'04 Prices'!H268="",'04 Prices'!H269=""),"",LN('04 Prices'!H269/'04 Prices'!H268))</f>
        <v/>
      </c>
    </row>
    <row r="269">
      <c r="A269" s="23">
        <f>IF('04 Prices'!A270="","",'04 Prices'!A270)</f>
        <v/>
      </c>
      <c r="B269" s="25">
        <f>IF(OR($A269="",'04 Prices'!B269="",'04 Prices'!B270=""),"",LN('04 Prices'!B270/'04 Prices'!B269))</f>
        <v/>
      </c>
      <c r="C269" s="25">
        <f>IF(OR($A269="",'04 Prices'!C269="",'04 Prices'!C270=""),"",LN('04 Prices'!C270/'04 Prices'!C269))</f>
        <v/>
      </c>
      <c r="D269" s="25">
        <f>IF(OR($A269="",'04 Prices'!D269="",'04 Prices'!D270=""),"",LN('04 Prices'!D270/'04 Prices'!D269))</f>
        <v/>
      </c>
      <c r="E269" s="25">
        <f>IF(OR($A269="",'04 Prices'!E269="",'04 Prices'!E270=""),"",LN('04 Prices'!E270/'04 Prices'!E269))</f>
        <v/>
      </c>
      <c r="F269" s="25">
        <f>IF(OR($A269="",'04 Prices'!F269="",'04 Prices'!F270=""),"",LN('04 Prices'!F270/'04 Prices'!F269))</f>
        <v/>
      </c>
      <c r="G269" s="25">
        <f>IF(OR($A269="",'04 Prices'!G269="",'04 Prices'!G270=""),"",LN('04 Prices'!G270/'04 Prices'!G269))</f>
        <v/>
      </c>
      <c r="H269" s="25">
        <f>IF(OR($A269="",'04 Prices'!H269="",'04 Prices'!H270=""),"",LN('04 Prices'!H270/'04 Prices'!H269))</f>
        <v/>
      </c>
    </row>
    <row r="270">
      <c r="A270" s="23">
        <f>IF('04 Prices'!A271="","",'04 Prices'!A271)</f>
        <v/>
      </c>
      <c r="B270" s="25">
        <f>IF(OR($A270="",'04 Prices'!B270="",'04 Prices'!B271=""),"",LN('04 Prices'!B271/'04 Prices'!B270))</f>
        <v/>
      </c>
      <c r="C270" s="25">
        <f>IF(OR($A270="",'04 Prices'!C270="",'04 Prices'!C271=""),"",LN('04 Prices'!C271/'04 Prices'!C270))</f>
        <v/>
      </c>
      <c r="D270" s="25">
        <f>IF(OR($A270="",'04 Prices'!D270="",'04 Prices'!D271=""),"",LN('04 Prices'!D271/'04 Prices'!D270))</f>
        <v/>
      </c>
      <c r="E270" s="25">
        <f>IF(OR($A270="",'04 Prices'!E270="",'04 Prices'!E271=""),"",LN('04 Prices'!E271/'04 Prices'!E270))</f>
        <v/>
      </c>
      <c r="F270" s="25">
        <f>IF(OR($A270="",'04 Prices'!F270="",'04 Prices'!F271=""),"",LN('04 Prices'!F271/'04 Prices'!F270))</f>
        <v/>
      </c>
      <c r="G270" s="25">
        <f>IF(OR($A270="",'04 Prices'!G270="",'04 Prices'!G271=""),"",LN('04 Prices'!G271/'04 Prices'!G270))</f>
        <v/>
      </c>
      <c r="H270" s="25">
        <f>IF(OR($A270="",'04 Prices'!H270="",'04 Prices'!H271=""),"",LN('04 Prices'!H271/'04 Prices'!H270))</f>
        <v/>
      </c>
    </row>
    <row r="271">
      <c r="A271" s="23">
        <f>IF('04 Prices'!A272="","",'04 Prices'!A272)</f>
        <v/>
      </c>
      <c r="B271" s="25">
        <f>IF(OR($A271="",'04 Prices'!B271="",'04 Prices'!B272=""),"",LN('04 Prices'!B272/'04 Prices'!B271))</f>
        <v/>
      </c>
      <c r="C271" s="25">
        <f>IF(OR($A271="",'04 Prices'!C271="",'04 Prices'!C272=""),"",LN('04 Prices'!C272/'04 Prices'!C271))</f>
        <v/>
      </c>
      <c r="D271" s="25">
        <f>IF(OR($A271="",'04 Prices'!D271="",'04 Prices'!D272=""),"",LN('04 Prices'!D272/'04 Prices'!D271))</f>
        <v/>
      </c>
      <c r="E271" s="25">
        <f>IF(OR($A271="",'04 Prices'!E271="",'04 Prices'!E272=""),"",LN('04 Prices'!E272/'04 Prices'!E271))</f>
        <v/>
      </c>
      <c r="F271" s="25">
        <f>IF(OR($A271="",'04 Prices'!F271="",'04 Prices'!F272=""),"",LN('04 Prices'!F272/'04 Prices'!F271))</f>
        <v/>
      </c>
      <c r="G271" s="25">
        <f>IF(OR($A271="",'04 Prices'!G271="",'04 Prices'!G272=""),"",LN('04 Prices'!G272/'04 Prices'!G271))</f>
        <v/>
      </c>
      <c r="H271" s="25">
        <f>IF(OR($A271="",'04 Prices'!H271="",'04 Prices'!H272=""),"",LN('04 Prices'!H272/'04 Prices'!H271))</f>
        <v/>
      </c>
    </row>
    <row r="272">
      <c r="A272" s="23">
        <f>IF('04 Prices'!A273="","",'04 Prices'!A273)</f>
        <v/>
      </c>
      <c r="B272" s="25">
        <f>IF(OR($A272="",'04 Prices'!B272="",'04 Prices'!B273=""),"",LN('04 Prices'!B273/'04 Prices'!B272))</f>
        <v/>
      </c>
      <c r="C272" s="25">
        <f>IF(OR($A272="",'04 Prices'!C272="",'04 Prices'!C273=""),"",LN('04 Prices'!C273/'04 Prices'!C272))</f>
        <v/>
      </c>
      <c r="D272" s="25">
        <f>IF(OR($A272="",'04 Prices'!D272="",'04 Prices'!D273=""),"",LN('04 Prices'!D273/'04 Prices'!D272))</f>
        <v/>
      </c>
      <c r="E272" s="25">
        <f>IF(OR($A272="",'04 Prices'!E272="",'04 Prices'!E273=""),"",LN('04 Prices'!E273/'04 Prices'!E272))</f>
        <v/>
      </c>
      <c r="F272" s="25">
        <f>IF(OR($A272="",'04 Prices'!F272="",'04 Prices'!F273=""),"",LN('04 Prices'!F273/'04 Prices'!F272))</f>
        <v/>
      </c>
      <c r="G272" s="25">
        <f>IF(OR($A272="",'04 Prices'!G272="",'04 Prices'!G273=""),"",LN('04 Prices'!G273/'04 Prices'!G272))</f>
        <v/>
      </c>
      <c r="H272" s="25">
        <f>IF(OR($A272="",'04 Prices'!H272="",'04 Prices'!H273=""),"",LN('04 Prices'!H273/'04 Prices'!H272))</f>
        <v/>
      </c>
    </row>
    <row r="273">
      <c r="A273" s="23">
        <f>IF('04 Prices'!A274="","",'04 Prices'!A274)</f>
        <v/>
      </c>
      <c r="B273" s="25">
        <f>IF(OR($A273="",'04 Prices'!B273="",'04 Prices'!B274=""),"",LN('04 Prices'!B274/'04 Prices'!B273))</f>
        <v/>
      </c>
      <c r="C273" s="25">
        <f>IF(OR($A273="",'04 Prices'!C273="",'04 Prices'!C274=""),"",LN('04 Prices'!C274/'04 Prices'!C273))</f>
        <v/>
      </c>
      <c r="D273" s="25">
        <f>IF(OR($A273="",'04 Prices'!D273="",'04 Prices'!D274=""),"",LN('04 Prices'!D274/'04 Prices'!D273))</f>
        <v/>
      </c>
      <c r="E273" s="25">
        <f>IF(OR($A273="",'04 Prices'!E273="",'04 Prices'!E274=""),"",LN('04 Prices'!E274/'04 Prices'!E273))</f>
        <v/>
      </c>
      <c r="F273" s="25">
        <f>IF(OR($A273="",'04 Prices'!F273="",'04 Prices'!F274=""),"",LN('04 Prices'!F274/'04 Prices'!F273))</f>
        <v/>
      </c>
      <c r="G273" s="25">
        <f>IF(OR($A273="",'04 Prices'!G273="",'04 Prices'!G274=""),"",LN('04 Prices'!G274/'04 Prices'!G273))</f>
        <v/>
      </c>
      <c r="H273" s="25">
        <f>IF(OR($A273="",'04 Prices'!H273="",'04 Prices'!H274=""),"",LN('04 Prices'!H274/'04 Prices'!H273))</f>
        <v/>
      </c>
    </row>
    <row r="274">
      <c r="A274" s="23">
        <f>IF('04 Prices'!A275="","",'04 Prices'!A275)</f>
        <v/>
      </c>
      <c r="B274" s="25">
        <f>IF(OR($A274="",'04 Prices'!B274="",'04 Prices'!B275=""),"",LN('04 Prices'!B275/'04 Prices'!B274))</f>
        <v/>
      </c>
      <c r="C274" s="25">
        <f>IF(OR($A274="",'04 Prices'!C274="",'04 Prices'!C275=""),"",LN('04 Prices'!C275/'04 Prices'!C274))</f>
        <v/>
      </c>
      <c r="D274" s="25">
        <f>IF(OR($A274="",'04 Prices'!D274="",'04 Prices'!D275=""),"",LN('04 Prices'!D275/'04 Prices'!D274))</f>
        <v/>
      </c>
      <c r="E274" s="25">
        <f>IF(OR($A274="",'04 Prices'!E274="",'04 Prices'!E275=""),"",LN('04 Prices'!E275/'04 Prices'!E274))</f>
        <v/>
      </c>
      <c r="F274" s="25">
        <f>IF(OR($A274="",'04 Prices'!F274="",'04 Prices'!F275=""),"",LN('04 Prices'!F275/'04 Prices'!F274))</f>
        <v/>
      </c>
      <c r="G274" s="25">
        <f>IF(OR($A274="",'04 Prices'!G274="",'04 Prices'!G275=""),"",LN('04 Prices'!G275/'04 Prices'!G274))</f>
        <v/>
      </c>
      <c r="H274" s="25">
        <f>IF(OR($A274="",'04 Prices'!H274="",'04 Prices'!H275=""),"",LN('04 Prices'!H275/'04 Prices'!H274))</f>
        <v/>
      </c>
    </row>
    <row r="275">
      <c r="A275" s="23">
        <f>IF('04 Prices'!A276="","",'04 Prices'!A276)</f>
        <v/>
      </c>
      <c r="B275" s="25">
        <f>IF(OR($A275="",'04 Prices'!B275="",'04 Prices'!B276=""),"",LN('04 Prices'!B276/'04 Prices'!B275))</f>
        <v/>
      </c>
      <c r="C275" s="25">
        <f>IF(OR($A275="",'04 Prices'!C275="",'04 Prices'!C276=""),"",LN('04 Prices'!C276/'04 Prices'!C275))</f>
        <v/>
      </c>
      <c r="D275" s="25">
        <f>IF(OR($A275="",'04 Prices'!D275="",'04 Prices'!D276=""),"",LN('04 Prices'!D276/'04 Prices'!D275))</f>
        <v/>
      </c>
      <c r="E275" s="25">
        <f>IF(OR($A275="",'04 Prices'!E275="",'04 Prices'!E276=""),"",LN('04 Prices'!E276/'04 Prices'!E275))</f>
        <v/>
      </c>
      <c r="F275" s="25">
        <f>IF(OR($A275="",'04 Prices'!F275="",'04 Prices'!F276=""),"",LN('04 Prices'!F276/'04 Prices'!F275))</f>
        <v/>
      </c>
      <c r="G275" s="25">
        <f>IF(OR($A275="",'04 Prices'!G275="",'04 Prices'!G276=""),"",LN('04 Prices'!G276/'04 Prices'!G275))</f>
        <v/>
      </c>
      <c r="H275" s="25">
        <f>IF(OR($A275="",'04 Prices'!H275="",'04 Prices'!H276=""),"",LN('04 Prices'!H276/'04 Prices'!H275))</f>
        <v/>
      </c>
    </row>
    <row r="276">
      <c r="A276" s="23">
        <f>IF('04 Prices'!A277="","",'04 Prices'!A277)</f>
        <v/>
      </c>
      <c r="B276" s="25">
        <f>IF(OR($A276="",'04 Prices'!B276="",'04 Prices'!B277=""),"",LN('04 Prices'!B277/'04 Prices'!B276))</f>
        <v/>
      </c>
      <c r="C276" s="25">
        <f>IF(OR($A276="",'04 Prices'!C276="",'04 Prices'!C277=""),"",LN('04 Prices'!C277/'04 Prices'!C276))</f>
        <v/>
      </c>
      <c r="D276" s="25">
        <f>IF(OR($A276="",'04 Prices'!D276="",'04 Prices'!D277=""),"",LN('04 Prices'!D277/'04 Prices'!D276))</f>
        <v/>
      </c>
      <c r="E276" s="25">
        <f>IF(OR($A276="",'04 Prices'!E276="",'04 Prices'!E277=""),"",LN('04 Prices'!E277/'04 Prices'!E276))</f>
        <v/>
      </c>
      <c r="F276" s="25">
        <f>IF(OR($A276="",'04 Prices'!F276="",'04 Prices'!F277=""),"",LN('04 Prices'!F277/'04 Prices'!F276))</f>
        <v/>
      </c>
      <c r="G276" s="25">
        <f>IF(OR($A276="",'04 Prices'!G276="",'04 Prices'!G277=""),"",LN('04 Prices'!G277/'04 Prices'!G276))</f>
        <v/>
      </c>
      <c r="H276" s="25">
        <f>IF(OR($A276="",'04 Prices'!H276="",'04 Prices'!H277=""),"",LN('04 Prices'!H277/'04 Prices'!H276))</f>
        <v/>
      </c>
    </row>
    <row r="277">
      <c r="A277" s="23">
        <f>IF('04 Prices'!A278="","",'04 Prices'!A278)</f>
        <v/>
      </c>
      <c r="B277" s="25">
        <f>IF(OR($A277="",'04 Prices'!B277="",'04 Prices'!B278=""),"",LN('04 Prices'!B278/'04 Prices'!B277))</f>
        <v/>
      </c>
      <c r="C277" s="25">
        <f>IF(OR($A277="",'04 Prices'!C277="",'04 Prices'!C278=""),"",LN('04 Prices'!C278/'04 Prices'!C277))</f>
        <v/>
      </c>
      <c r="D277" s="25">
        <f>IF(OR($A277="",'04 Prices'!D277="",'04 Prices'!D278=""),"",LN('04 Prices'!D278/'04 Prices'!D277))</f>
        <v/>
      </c>
      <c r="E277" s="25">
        <f>IF(OR($A277="",'04 Prices'!E277="",'04 Prices'!E278=""),"",LN('04 Prices'!E278/'04 Prices'!E277))</f>
        <v/>
      </c>
      <c r="F277" s="25">
        <f>IF(OR($A277="",'04 Prices'!F277="",'04 Prices'!F278=""),"",LN('04 Prices'!F278/'04 Prices'!F277))</f>
        <v/>
      </c>
      <c r="G277" s="25">
        <f>IF(OR($A277="",'04 Prices'!G277="",'04 Prices'!G278=""),"",LN('04 Prices'!G278/'04 Prices'!G277))</f>
        <v/>
      </c>
      <c r="H277" s="25">
        <f>IF(OR($A277="",'04 Prices'!H277="",'04 Prices'!H278=""),"",LN('04 Prices'!H278/'04 Prices'!H277))</f>
        <v/>
      </c>
    </row>
    <row r="278">
      <c r="A278" s="23">
        <f>IF('04 Prices'!A279="","",'04 Prices'!A279)</f>
        <v/>
      </c>
      <c r="B278" s="25">
        <f>IF(OR($A278="",'04 Prices'!B278="",'04 Prices'!B279=""),"",LN('04 Prices'!B279/'04 Prices'!B278))</f>
        <v/>
      </c>
      <c r="C278" s="25">
        <f>IF(OR($A278="",'04 Prices'!C278="",'04 Prices'!C279=""),"",LN('04 Prices'!C279/'04 Prices'!C278))</f>
        <v/>
      </c>
      <c r="D278" s="25">
        <f>IF(OR($A278="",'04 Prices'!D278="",'04 Prices'!D279=""),"",LN('04 Prices'!D279/'04 Prices'!D278))</f>
        <v/>
      </c>
      <c r="E278" s="25">
        <f>IF(OR($A278="",'04 Prices'!E278="",'04 Prices'!E279=""),"",LN('04 Prices'!E279/'04 Prices'!E278))</f>
        <v/>
      </c>
      <c r="F278" s="25">
        <f>IF(OR($A278="",'04 Prices'!F278="",'04 Prices'!F279=""),"",LN('04 Prices'!F279/'04 Prices'!F278))</f>
        <v/>
      </c>
      <c r="G278" s="25">
        <f>IF(OR($A278="",'04 Prices'!G278="",'04 Prices'!G279=""),"",LN('04 Prices'!G279/'04 Prices'!G278))</f>
        <v/>
      </c>
      <c r="H278" s="25">
        <f>IF(OR($A278="",'04 Prices'!H278="",'04 Prices'!H279=""),"",LN('04 Prices'!H279/'04 Prices'!H278))</f>
        <v/>
      </c>
    </row>
    <row r="279">
      <c r="A279" s="23">
        <f>IF('04 Prices'!A280="","",'04 Prices'!A280)</f>
        <v/>
      </c>
      <c r="B279" s="25">
        <f>IF(OR($A279="",'04 Prices'!B279="",'04 Prices'!B280=""),"",LN('04 Prices'!B280/'04 Prices'!B279))</f>
        <v/>
      </c>
      <c r="C279" s="25">
        <f>IF(OR($A279="",'04 Prices'!C279="",'04 Prices'!C280=""),"",LN('04 Prices'!C280/'04 Prices'!C279))</f>
        <v/>
      </c>
      <c r="D279" s="25">
        <f>IF(OR($A279="",'04 Prices'!D279="",'04 Prices'!D280=""),"",LN('04 Prices'!D280/'04 Prices'!D279))</f>
        <v/>
      </c>
      <c r="E279" s="25">
        <f>IF(OR($A279="",'04 Prices'!E279="",'04 Prices'!E280=""),"",LN('04 Prices'!E280/'04 Prices'!E279))</f>
        <v/>
      </c>
      <c r="F279" s="25">
        <f>IF(OR($A279="",'04 Prices'!F279="",'04 Prices'!F280=""),"",LN('04 Prices'!F280/'04 Prices'!F279))</f>
        <v/>
      </c>
      <c r="G279" s="25">
        <f>IF(OR($A279="",'04 Prices'!G279="",'04 Prices'!G280=""),"",LN('04 Prices'!G280/'04 Prices'!G279))</f>
        <v/>
      </c>
      <c r="H279" s="25">
        <f>IF(OR($A279="",'04 Prices'!H279="",'04 Prices'!H280=""),"",LN('04 Prices'!H280/'04 Prices'!H279))</f>
        <v/>
      </c>
    </row>
    <row r="280">
      <c r="A280" s="23">
        <f>IF('04 Prices'!A281="","",'04 Prices'!A281)</f>
        <v/>
      </c>
      <c r="B280" s="25">
        <f>IF(OR($A280="",'04 Prices'!B280="",'04 Prices'!B281=""),"",LN('04 Prices'!B281/'04 Prices'!B280))</f>
        <v/>
      </c>
      <c r="C280" s="25">
        <f>IF(OR($A280="",'04 Prices'!C280="",'04 Prices'!C281=""),"",LN('04 Prices'!C281/'04 Prices'!C280))</f>
        <v/>
      </c>
      <c r="D280" s="25">
        <f>IF(OR($A280="",'04 Prices'!D280="",'04 Prices'!D281=""),"",LN('04 Prices'!D281/'04 Prices'!D280))</f>
        <v/>
      </c>
      <c r="E280" s="25">
        <f>IF(OR($A280="",'04 Prices'!E280="",'04 Prices'!E281=""),"",LN('04 Prices'!E281/'04 Prices'!E280))</f>
        <v/>
      </c>
      <c r="F280" s="25">
        <f>IF(OR($A280="",'04 Prices'!F280="",'04 Prices'!F281=""),"",LN('04 Prices'!F281/'04 Prices'!F280))</f>
        <v/>
      </c>
      <c r="G280" s="25">
        <f>IF(OR($A280="",'04 Prices'!G280="",'04 Prices'!G281=""),"",LN('04 Prices'!G281/'04 Prices'!G280))</f>
        <v/>
      </c>
      <c r="H280" s="25">
        <f>IF(OR($A280="",'04 Prices'!H280="",'04 Prices'!H281=""),"",LN('04 Prices'!H281/'04 Prices'!H280))</f>
        <v/>
      </c>
    </row>
    <row r="281">
      <c r="A281" s="23">
        <f>IF('04 Prices'!A282="","",'04 Prices'!A282)</f>
        <v/>
      </c>
      <c r="B281" s="25">
        <f>IF(OR($A281="",'04 Prices'!B281="",'04 Prices'!B282=""),"",LN('04 Prices'!B282/'04 Prices'!B281))</f>
        <v/>
      </c>
      <c r="C281" s="25">
        <f>IF(OR($A281="",'04 Prices'!C281="",'04 Prices'!C282=""),"",LN('04 Prices'!C282/'04 Prices'!C281))</f>
        <v/>
      </c>
      <c r="D281" s="25">
        <f>IF(OR($A281="",'04 Prices'!D281="",'04 Prices'!D282=""),"",LN('04 Prices'!D282/'04 Prices'!D281))</f>
        <v/>
      </c>
      <c r="E281" s="25">
        <f>IF(OR($A281="",'04 Prices'!E281="",'04 Prices'!E282=""),"",LN('04 Prices'!E282/'04 Prices'!E281))</f>
        <v/>
      </c>
      <c r="F281" s="25">
        <f>IF(OR($A281="",'04 Prices'!F281="",'04 Prices'!F282=""),"",LN('04 Prices'!F282/'04 Prices'!F281))</f>
        <v/>
      </c>
      <c r="G281" s="25">
        <f>IF(OR($A281="",'04 Prices'!G281="",'04 Prices'!G282=""),"",LN('04 Prices'!G282/'04 Prices'!G281))</f>
        <v/>
      </c>
      <c r="H281" s="25">
        <f>IF(OR($A281="",'04 Prices'!H281="",'04 Prices'!H282=""),"",LN('04 Prices'!H282/'04 Prices'!H281))</f>
        <v/>
      </c>
    </row>
    <row r="282">
      <c r="A282" s="23">
        <f>IF('04 Prices'!A283="","",'04 Prices'!A283)</f>
        <v/>
      </c>
      <c r="B282" s="25">
        <f>IF(OR($A282="",'04 Prices'!B282="",'04 Prices'!B283=""),"",LN('04 Prices'!B283/'04 Prices'!B282))</f>
        <v/>
      </c>
      <c r="C282" s="25">
        <f>IF(OR($A282="",'04 Prices'!C282="",'04 Prices'!C283=""),"",LN('04 Prices'!C283/'04 Prices'!C282))</f>
        <v/>
      </c>
      <c r="D282" s="25">
        <f>IF(OR($A282="",'04 Prices'!D282="",'04 Prices'!D283=""),"",LN('04 Prices'!D283/'04 Prices'!D282))</f>
        <v/>
      </c>
      <c r="E282" s="25">
        <f>IF(OR($A282="",'04 Prices'!E282="",'04 Prices'!E283=""),"",LN('04 Prices'!E283/'04 Prices'!E282))</f>
        <v/>
      </c>
      <c r="F282" s="25">
        <f>IF(OR($A282="",'04 Prices'!F282="",'04 Prices'!F283=""),"",LN('04 Prices'!F283/'04 Prices'!F282))</f>
        <v/>
      </c>
      <c r="G282" s="25">
        <f>IF(OR($A282="",'04 Prices'!G282="",'04 Prices'!G283=""),"",LN('04 Prices'!G283/'04 Prices'!G282))</f>
        <v/>
      </c>
      <c r="H282" s="25">
        <f>IF(OR($A282="",'04 Prices'!H282="",'04 Prices'!H283=""),"",LN('04 Prices'!H283/'04 Prices'!H282))</f>
        <v/>
      </c>
    </row>
    <row r="283">
      <c r="A283" s="23">
        <f>IF('04 Prices'!A284="","",'04 Prices'!A284)</f>
        <v/>
      </c>
      <c r="B283" s="25">
        <f>IF(OR($A283="",'04 Prices'!B283="",'04 Prices'!B284=""),"",LN('04 Prices'!B284/'04 Prices'!B283))</f>
        <v/>
      </c>
      <c r="C283" s="25">
        <f>IF(OR($A283="",'04 Prices'!C283="",'04 Prices'!C284=""),"",LN('04 Prices'!C284/'04 Prices'!C283))</f>
        <v/>
      </c>
      <c r="D283" s="25">
        <f>IF(OR($A283="",'04 Prices'!D283="",'04 Prices'!D284=""),"",LN('04 Prices'!D284/'04 Prices'!D283))</f>
        <v/>
      </c>
      <c r="E283" s="25">
        <f>IF(OR($A283="",'04 Prices'!E283="",'04 Prices'!E284=""),"",LN('04 Prices'!E284/'04 Prices'!E283))</f>
        <v/>
      </c>
      <c r="F283" s="25">
        <f>IF(OR($A283="",'04 Prices'!F283="",'04 Prices'!F284=""),"",LN('04 Prices'!F284/'04 Prices'!F283))</f>
        <v/>
      </c>
      <c r="G283" s="25">
        <f>IF(OR($A283="",'04 Prices'!G283="",'04 Prices'!G284=""),"",LN('04 Prices'!G284/'04 Prices'!G283))</f>
        <v/>
      </c>
      <c r="H283" s="25">
        <f>IF(OR($A283="",'04 Prices'!H283="",'04 Prices'!H284=""),"",LN('04 Prices'!H284/'04 Prices'!H283))</f>
        <v/>
      </c>
    </row>
    <row r="284">
      <c r="A284" s="23">
        <f>IF('04 Prices'!A285="","",'04 Prices'!A285)</f>
        <v/>
      </c>
      <c r="B284" s="25">
        <f>IF(OR($A284="",'04 Prices'!B284="",'04 Prices'!B285=""),"",LN('04 Prices'!B285/'04 Prices'!B284))</f>
        <v/>
      </c>
      <c r="C284" s="25">
        <f>IF(OR($A284="",'04 Prices'!C284="",'04 Prices'!C285=""),"",LN('04 Prices'!C285/'04 Prices'!C284))</f>
        <v/>
      </c>
      <c r="D284" s="25">
        <f>IF(OR($A284="",'04 Prices'!D284="",'04 Prices'!D285=""),"",LN('04 Prices'!D285/'04 Prices'!D284))</f>
        <v/>
      </c>
      <c r="E284" s="25">
        <f>IF(OR($A284="",'04 Prices'!E284="",'04 Prices'!E285=""),"",LN('04 Prices'!E285/'04 Prices'!E284))</f>
        <v/>
      </c>
      <c r="F284" s="25">
        <f>IF(OR($A284="",'04 Prices'!F284="",'04 Prices'!F285=""),"",LN('04 Prices'!F285/'04 Prices'!F284))</f>
        <v/>
      </c>
      <c r="G284" s="25">
        <f>IF(OR($A284="",'04 Prices'!G284="",'04 Prices'!G285=""),"",LN('04 Prices'!G285/'04 Prices'!G284))</f>
        <v/>
      </c>
      <c r="H284" s="25">
        <f>IF(OR($A284="",'04 Prices'!H284="",'04 Prices'!H285=""),"",LN('04 Prices'!H285/'04 Prices'!H284))</f>
        <v/>
      </c>
    </row>
    <row r="285">
      <c r="A285" s="23">
        <f>IF('04 Prices'!A286="","",'04 Prices'!A286)</f>
        <v/>
      </c>
      <c r="B285" s="25">
        <f>IF(OR($A285="",'04 Prices'!B285="",'04 Prices'!B286=""),"",LN('04 Prices'!B286/'04 Prices'!B285))</f>
        <v/>
      </c>
      <c r="C285" s="25">
        <f>IF(OR($A285="",'04 Prices'!C285="",'04 Prices'!C286=""),"",LN('04 Prices'!C286/'04 Prices'!C285))</f>
        <v/>
      </c>
      <c r="D285" s="25">
        <f>IF(OR($A285="",'04 Prices'!D285="",'04 Prices'!D286=""),"",LN('04 Prices'!D286/'04 Prices'!D285))</f>
        <v/>
      </c>
      <c r="E285" s="25">
        <f>IF(OR($A285="",'04 Prices'!E285="",'04 Prices'!E286=""),"",LN('04 Prices'!E286/'04 Prices'!E285))</f>
        <v/>
      </c>
      <c r="F285" s="25">
        <f>IF(OR($A285="",'04 Prices'!F285="",'04 Prices'!F286=""),"",LN('04 Prices'!F286/'04 Prices'!F285))</f>
        <v/>
      </c>
      <c r="G285" s="25">
        <f>IF(OR($A285="",'04 Prices'!G285="",'04 Prices'!G286=""),"",LN('04 Prices'!G286/'04 Prices'!G285))</f>
        <v/>
      </c>
      <c r="H285" s="25">
        <f>IF(OR($A285="",'04 Prices'!H285="",'04 Prices'!H286=""),"",LN('04 Prices'!H286/'04 Prices'!H285))</f>
        <v/>
      </c>
    </row>
    <row r="286">
      <c r="A286" s="23">
        <f>IF('04 Prices'!A287="","",'04 Prices'!A287)</f>
        <v/>
      </c>
      <c r="B286" s="25">
        <f>IF(OR($A286="",'04 Prices'!B286="",'04 Prices'!B287=""),"",LN('04 Prices'!B287/'04 Prices'!B286))</f>
        <v/>
      </c>
      <c r="C286" s="25">
        <f>IF(OR($A286="",'04 Prices'!C286="",'04 Prices'!C287=""),"",LN('04 Prices'!C287/'04 Prices'!C286))</f>
        <v/>
      </c>
      <c r="D286" s="25">
        <f>IF(OR($A286="",'04 Prices'!D286="",'04 Prices'!D287=""),"",LN('04 Prices'!D287/'04 Prices'!D286))</f>
        <v/>
      </c>
      <c r="E286" s="25">
        <f>IF(OR($A286="",'04 Prices'!E286="",'04 Prices'!E287=""),"",LN('04 Prices'!E287/'04 Prices'!E286))</f>
        <v/>
      </c>
      <c r="F286" s="25">
        <f>IF(OR($A286="",'04 Prices'!F286="",'04 Prices'!F287=""),"",LN('04 Prices'!F287/'04 Prices'!F286))</f>
        <v/>
      </c>
      <c r="G286" s="25">
        <f>IF(OR($A286="",'04 Prices'!G286="",'04 Prices'!G287=""),"",LN('04 Prices'!G287/'04 Prices'!G286))</f>
        <v/>
      </c>
      <c r="H286" s="25">
        <f>IF(OR($A286="",'04 Prices'!H286="",'04 Prices'!H287=""),"",LN('04 Prices'!H287/'04 Prices'!H286))</f>
        <v/>
      </c>
    </row>
    <row r="287">
      <c r="A287" s="23">
        <f>IF('04 Prices'!A288="","",'04 Prices'!A288)</f>
        <v/>
      </c>
      <c r="B287" s="25">
        <f>IF(OR($A287="",'04 Prices'!B287="",'04 Prices'!B288=""),"",LN('04 Prices'!B288/'04 Prices'!B287))</f>
        <v/>
      </c>
      <c r="C287" s="25">
        <f>IF(OR($A287="",'04 Prices'!C287="",'04 Prices'!C288=""),"",LN('04 Prices'!C288/'04 Prices'!C287))</f>
        <v/>
      </c>
      <c r="D287" s="25">
        <f>IF(OR($A287="",'04 Prices'!D287="",'04 Prices'!D288=""),"",LN('04 Prices'!D288/'04 Prices'!D287))</f>
        <v/>
      </c>
      <c r="E287" s="25">
        <f>IF(OR($A287="",'04 Prices'!E287="",'04 Prices'!E288=""),"",LN('04 Prices'!E288/'04 Prices'!E287))</f>
        <v/>
      </c>
      <c r="F287" s="25">
        <f>IF(OR($A287="",'04 Prices'!F287="",'04 Prices'!F288=""),"",LN('04 Prices'!F288/'04 Prices'!F287))</f>
        <v/>
      </c>
      <c r="G287" s="25">
        <f>IF(OR($A287="",'04 Prices'!G287="",'04 Prices'!G288=""),"",LN('04 Prices'!G288/'04 Prices'!G287))</f>
        <v/>
      </c>
      <c r="H287" s="25">
        <f>IF(OR($A287="",'04 Prices'!H287="",'04 Prices'!H288=""),"",LN('04 Prices'!H288/'04 Prices'!H287))</f>
        <v/>
      </c>
    </row>
    <row r="288">
      <c r="A288" s="23">
        <f>IF('04 Prices'!A289="","",'04 Prices'!A289)</f>
        <v/>
      </c>
      <c r="B288" s="25">
        <f>IF(OR($A288="",'04 Prices'!B288="",'04 Prices'!B289=""),"",LN('04 Prices'!B289/'04 Prices'!B288))</f>
        <v/>
      </c>
      <c r="C288" s="25">
        <f>IF(OR($A288="",'04 Prices'!C288="",'04 Prices'!C289=""),"",LN('04 Prices'!C289/'04 Prices'!C288))</f>
        <v/>
      </c>
      <c r="D288" s="25">
        <f>IF(OR($A288="",'04 Prices'!D288="",'04 Prices'!D289=""),"",LN('04 Prices'!D289/'04 Prices'!D288))</f>
        <v/>
      </c>
      <c r="E288" s="25">
        <f>IF(OR($A288="",'04 Prices'!E288="",'04 Prices'!E289=""),"",LN('04 Prices'!E289/'04 Prices'!E288))</f>
        <v/>
      </c>
      <c r="F288" s="25">
        <f>IF(OR($A288="",'04 Prices'!F288="",'04 Prices'!F289=""),"",LN('04 Prices'!F289/'04 Prices'!F288))</f>
        <v/>
      </c>
      <c r="G288" s="25">
        <f>IF(OR($A288="",'04 Prices'!G288="",'04 Prices'!G289=""),"",LN('04 Prices'!G289/'04 Prices'!G288))</f>
        <v/>
      </c>
      <c r="H288" s="25">
        <f>IF(OR($A288="",'04 Prices'!H288="",'04 Prices'!H289=""),"",LN('04 Prices'!H289/'04 Prices'!H288))</f>
        <v/>
      </c>
    </row>
    <row r="289">
      <c r="A289" s="23">
        <f>IF('04 Prices'!A290="","",'04 Prices'!A290)</f>
        <v/>
      </c>
      <c r="B289" s="25">
        <f>IF(OR($A289="",'04 Prices'!B289="",'04 Prices'!B290=""),"",LN('04 Prices'!B290/'04 Prices'!B289))</f>
        <v/>
      </c>
      <c r="C289" s="25">
        <f>IF(OR($A289="",'04 Prices'!C289="",'04 Prices'!C290=""),"",LN('04 Prices'!C290/'04 Prices'!C289))</f>
        <v/>
      </c>
      <c r="D289" s="25">
        <f>IF(OR($A289="",'04 Prices'!D289="",'04 Prices'!D290=""),"",LN('04 Prices'!D290/'04 Prices'!D289))</f>
        <v/>
      </c>
      <c r="E289" s="25">
        <f>IF(OR($A289="",'04 Prices'!E289="",'04 Prices'!E290=""),"",LN('04 Prices'!E290/'04 Prices'!E289))</f>
        <v/>
      </c>
      <c r="F289" s="25">
        <f>IF(OR($A289="",'04 Prices'!F289="",'04 Prices'!F290=""),"",LN('04 Prices'!F290/'04 Prices'!F289))</f>
        <v/>
      </c>
      <c r="G289" s="25">
        <f>IF(OR($A289="",'04 Prices'!G289="",'04 Prices'!G290=""),"",LN('04 Prices'!G290/'04 Prices'!G289))</f>
        <v/>
      </c>
      <c r="H289" s="25">
        <f>IF(OR($A289="",'04 Prices'!H289="",'04 Prices'!H290=""),"",LN('04 Prices'!H290/'04 Prices'!H289))</f>
        <v/>
      </c>
    </row>
    <row r="290">
      <c r="A290" s="23">
        <f>IF('04 Prices'!A291="","",'04 Prices'!A291)</f>
        <v/>
      </c>
      <c r="B290" s="25">
        <f>IF(OR($A290="",'04 Prices'!B290="",'04 Prices'!B291=""),"",LN('04 Prices'!B291/'04 Prices'!B290))</f>
        <v/>
      </c>
      <c r="C290" s="25">
        <f>IF(OR($A290="",'04 Prices'!C290="",'04 Prices'!C291=""),"",LN('04 Prices'!C291/'04 Prices'!C290))</f>
        <v/>
      </c>
      <c r="D290" s="25">
        <f>IF(OR($A290="",'04 Prices'!D290="",'04 Prices'!D291=""),"",LN('04 Prices'!D291/'04 Prices'!D290))</f>
        <v/>
      </c>
      <c r="E290" s="25">
        <f>IF(OR($A290="",'04 Prices'!E290="",'04 Prices'!E291=""),"",LN('04 Prices'!E291/'04 Prices'!E290))</f>
        <v/>
      </c>
      <c r="F290" s="25">
        <f>IF(OR($A290="",'04 Prices'!F290="",'04 Prices'!F291=""),"",LN('04 Prices'!F291/'04 Prices'!F290))</f>
        <v/>
      </c>
      <c r="G290" s="25">
        <f>IF(OR($A290="",'04 Prices'!G290="",'04 Prices'!G291=""),"",LN('04 Prices'!G291/'04 Prices'!G290))</f>
        <v/>
      </c>
      <c r="H290" s="25">
        <f>IF(OR($A290="",'04 Prices'!H290="",'04 Prices'!H291=""),"",LN('04 Prices'!H291/'04 Prices'!H290))</f>
        <v/>
      </c>
    </row>
    <row r="291">
      <c r="A291" s="23">
        <f>IF('04 Prices'!A292="","",'04 Prices'!A292)</f>
        <v/>
      </c>
      <c r="B291" s="25">
        <f>IF(OR($A291="",'04 Prices'!B291="",'04 Prices'!B292=""),"",LN('04 Prices'!B292/'04 Prices'!B291))</f>
        <v/>
      </c>
      <c r="C291" s="25">
        <f>IF(OR($A291="",'04 Prices'!C291="",'04 Prices'!C292=""),"",LN('04 Prices'!C292/'04 Prices'!C291))</f>
        <v/>
      </c>
      <c r="D291" s="25">
        <f>IF(OR($A291="",'04 Prices'!D291="",'04 Prices'!D292=""),"",LN('04 Prices'!D292/'04 Prices'!D291))</f>
        <v/>
      </c>
      <c r="E291" s="25">
        <f>IF(OR($A291="",'04 Prices'!E291="",'04 Prices'!E292=""),"",LN('04 Prices'!E292/'04 Prices'!E291))</f>
        <v/>
      </c>
      <c r="F291" s="25">
        <f>IF(OR($A291="",'04 Prices'!F291="",'04 Prices'!F292=""),"",LN('04 Prices'!F292/'04 Prices'!F291))</f>
        <v/>
      </c>
      <c r="G291" s="25">
        <f>IF(OR($A291="",'04 Prices'!G291="",'04 Prices'!G292=""),"",LN('04 Prices'!G292/'04 Prices'!G291))</f>
        <v/>
      </c>
      <c r="H291" s="25">
        <f>IF(OR($A291="",'04 Prices'!H291="",'04 Prices'!H292=""),"",LN('04 Prices'!H292/'04 Prices'!H291))</f>
        <v/>
      </c>
    </row>
    <row r="292">
      <c r="A292" s="23">
        <f>IF('04 Prices'!A293="","",'04 Prices'!A293)</f>
        <v/>
      </c>
      <c r="B292" s="25">
        <f>IF(OR($A292="",'04 Prices'!B292="",'04 Prices'!B293=""),"",LN('04 Prices'!B293/'04 Prices'!B292))</f>
        <v/>
      </c>
      <c r="C292" s="25">
        <f>IF(OR($A292="",'04 Prices'!C292="",'04 Prices'!C293=""),"",LN('04 Prices'!C293/'04 Prices'!C292))</f>
        <v/>
      </c>
      <c r="D292" s="25">
        <f>IF(OR($A292="",'04 Prices'!D292="",'04 Prices'!D293=""),"",LN('04 Prices'!D293/'04 Prices'!D292))</f>
        <v/>
      </c>
      <c r="E292" s="25">
        <f>IF(OR($A292="",'04 Prices'!E292="",'04 Prices'!E293=""),"",LN('04 Prices'!E293/'04 Prices'!E292))</f>
        <v/>
      </c>
      <c r="F292" s="25">
        <f>IF(OR($A292="",'04 Prices'!F292="",'04 Prices'!F293=""),"",LN('04 Prices'!F293/'04 Prices'!F292))</f>
        <v/>
      </c>
      <c r="G292" s="25">
        <f>IF(OR($A292="",'04 Prices'!G292="",'04 Prices'!G293=""),"",LN('04 Prices'!G293/'04 Prices'!G292))</f>
        <v/>
      </c>
      <c r="H292" s="25">
        <f>IF(OR($A292="",'04 Prices'!H292="",'04 Prices'!H293=""),"",LN('04 Prices'!H293/'04 Prices'!H292))</f>
        <v/>
      </c>
    </row>
    <row r="293">
      <c r="A293" s="23">
        <f>IF('04 Prices'!A294="","",'04 Prices'!A294)</f>
        <v/>
      </c>
      <c r="B293" s="25">
        <f>IF(OR($A293="",'04 Prices'!B293="",'04 Prices'!B294=""),"",LN('04 Prices'!B294/'04 Prices'!B293))</f>
        <v/>
      </c>
      <c r="C293" s="25">
        <f>IF(OR($A293="",'04 Prices'!C293="",'04 Prices'!C294=""),"",LN('04 Prices'!C294/'04 Prices'!C293))</f>
        <v/>
      </c>
      <c r="D293" s="25">
        <f>IF(OR($A293="",'04 Prices'!D293="",'04 Prices'!D294=""),"",LN('04 Prices'!D294/'04 Prices'!D293))</f>
        <v/>
      </c>
      <c r="E293" s="25">
        <f>IF(OR($A293="",'04 Prices'!E293="",'04 Prices'!E294=""),"",LN('04 Prices'!E294/'04 Prices'!E293))</f>
        <v/>
      </c>
      <c r="F293" s="25">
        <f>IF(OR($A293="",'04 Prices'!F293="",'04 Prices'!F294=""),"",LN('04 Prices'!F294/'04 Prices'!F293))</f>
        <v/>
      </c>
      <c r="G293" s="25">
        <f>IF(OR($A293="",'04 Prices'!G293="",'04 Prices'!G294=""),"",LN('04 Prices'!G294/'04 Prices'!G293))</f>
        <v/>
      </c>
      <c r="H293" s="25">
        <f>IF(OR($A293="",'04 Prices'!H293="",'04 Prices'!H294=""),"",LN('04 Prices'!H294/'04 Prices'!H293))</f>
        <v/>
      </c>
    </row>
    <row r="294">
      <c r="A294" s="23">
        <f>IF('04 Prices'!A295="","",'04 Prices'!A295)</f>
        <v/>
      </c>
      <c r="B294" s="25">
        <f>IF(OR($A294="",'04 Prices'!B294="",'04 Prices'!B295=""),"",LN('04 Prices'!B295/'04 Prices'!B294))</f>
        <v/>
      </c>
      <c r="C294" s="25">
        <f>IF(OR($A294="",'04 Prices'!C294="",'04 Prices'!C295=""),"",LN('04 Prices'!C295/'04 Prices'!C294))</f>
        <v/>
      </c>
      <c r="D294" s="25">
        <f>IF(OR($A294="",'04 Prices'!D294="",'04 Prices'!D295=""),"",LN('04 Prices'!D295/'04 Prices'!D294))</f>
        <v/>
      </c>
      <c r="E294" s="25">
        <f>IF(OR($A294="",'04 Prices'!E294="",'04 Prices'!E295=""),"",LN('04 Prices'!E295/'04 Prices'!E294))</f>
        <v/>
      </c>
      <c r="F294" s="25">
        <f>IF(OR($A294="",'04 Prices'!F294="",'04 Prices'!F295=""),"",LN('04 Prices'!F295/'04 Prices'!F294))</f>
        <v/>
      </c>
      <c r="G294" s="25">
        <f>IF(OR($A294="",'04 Prices'!G294="",'04 Prices'!G295=""),"",LN('04 Prices'!G295/'04 Prices'!G294))</f>
        <v/>
      </c>
      <c r="H294" s="25">
        <f>IF(OR($A294="",'04 Prices'!H294="",'04 Prices'!H295=""),"",LN('04 Prices'!H295/'04 Prices'!H294))</f>
        <v/>
      </c>
    </row>
    <row r="295">
      <c r="A295" s="23">
        <f>IF('04 Prices'!A296="","",'04 Prices'!A296)</f>
        <v/>
      </c>
      <c r="B295" s="25">
        <f>IF(OR($A295="",'04 Prices'!B295="",'04 Prices'!B296=""),"",LN('04 Prices'!B296/'04 Prices'!B295))</f>
        <v/>
      </c>
      <c r="C295" s="25">
        <f>IF(OR($A295="",'04 Prices'!C295="",'04 Prices'!C296=""),"",LN('04 Prices'!C296/'04 Prices'!C295))</f>
        <v/>
      </c>
      <c r="D295" s="25">
        <f>IF(OR($A295="",'04 Prices'!D295="",'04 Prices'!D296=""),"",LN('04 Prices'!D296/'04 Prices'!D295))</f>
        <v/>
      </c>
      <c r="E295" s="25">
        <f>IF(OR($A295="",'04 Prices'!E295="",'04 Prices'!E296=""),"",LN('04 Prices'!E296/'04 Prices'!E295))</f>
        <v/>
      </c>
      <c r="F295" s="25">
        <f>IF(OR($A295="",'04 Prices'!F295="",'04 Prices'!F296=""),"",LN('04 Prices'!F296/'04 Prices'!F295))</f>
        <v/>
      </c>
      <c r="G295" s="25">
        <f>IF(OR($A295="",'04 Prices'!G295="",'04 Prices'!G296=""),"",LN('04 Prices'!G296/'04 Prices'!G295))</f>
        <v/>
      </c>
      <c r="H295" s="25">
        <f>IF(OR($A295="",'04 Prices'!H295="",'04 Prices'!H296=""),"",LN('04 Prices'!H296/'04 Prices'!H295))</f>
        <v/>
      </c>
    </row>
    <row r="296">
      <c r="A296" s="23">
        <f>IF('04 Prices'!A297="","",'04 Prices'!A297)</f>
        <v/>
      </c>
      <c r="B296" s="25">
        <f>IF(OR($A296="",'04 Prices'!B296="",'04 Prices'!B297=""),"",LN('04 Prices'!B297/'04 Prices'!B296))</f>
        <v/>
      </c>
      <c r="C296" s="25">
        <f>IF(OR($A296="",'04 Prices'!C296="",'04 Prices'!C297=""),"",LN('04 Prices'!C297/'04 Prices'!C296))</f>
        <v/>
      </c>
      <c r="D296" s="25">
        <f>IF(OR($A296="",'04 Prices'!D296="",'04 Prices'!D297=""),"",LN('04 Prices'!D297/'04 Prices'!D296))</f>
        <v/>
      </c>
      <c r="E296" s="25">
        <f>IF(OR($A296="",'04 Prices'!E296="",'04 Prices'!E297=""),"",LN('04 Prices'!E297/'04 Prices'!E296))</f>
        <v/>
      </c>
      <c r="F296" s="25">
        <f>IF(OR($A296="",'04 Prices'!F296="",'04 Prices'!F297=""),"",LN('04 Prices'!F297/'04 Prices'!F296))</f>
        <v/>
      </c>
      <c r="G296" s="25">
        <f>IF(OR($A296="",'04 Prices'!G296="",'04 Prices'!G297=""),"",LN('04 Prices'!G297/'04 Prices'!G296))</f>
        <v/>
      </c>
      <c r="H296" s="25">
        <f>IF(OR($A296="",'04 Prices'!H296="",'04 Prices'!H297=""),"",LN('04 Prices'!H297/'04 Prices'!H296))</f>
        <v/>
      </c>
    </row>
    <row r="297">
      <c r="A297" s="23">
        <f>IF('04 Prices'!A298="","",'04 Prices'!A298)</f>
        <v/>
      </c>
      <c r="B297" s="25">
        <f>IF(OR($A297="",'04 Prices'!B297="",'04 Prices'!B298=""),"",LN('04 Prices'!B298/'04 Prices'!B297))</f>
        <v/>
      </c>
      <c r="C297" s="25">
        <f>IF(OR($A297="",'04 Prices'!C297="",'04 Prices'!C298=""),"",LN('04 Prices'!C298/'04 Prices'!C297))</f>
        <v/>
      </c>
      <c r="D297" s="25">
        <f>IF(OR($A297="",'04 Prices'!D297="",'04 Prices'!D298=""),"",LN('04 Prices'!D298/'04 Prices'!D297))</f>
        <v/>
      </c>
      <c r="E297" s="25">
        <f>IF(OR($A297="",'04 Prices'!E297="",'04 Prices'!E298=""),"",LN('04 Prices'!E298/'04 Prices'!E297))</f>
        <v/>
      </c>
      <c r="F297" s="25">
        <f>IF(OR($A297="",'04 Prices'!F297="",'04 Prices'!F298=""),"",LN('04 Prices'!F298/'04 Prices'!F297))</f>
        <v/>
      </c>
      <c r="G297" s="25">
        <f>IF(OR($A297="",'04 Prices'!G297="",'04 Prices'!G298=""),"",LN('04 Prices'!G298/'04 Prices'!G297))</f>
        <v/>
      </c>
      <c r="H297" s="25">
        <f>IF(OR($A297="",'04 Prices'!H297="",'04 Prices'!H298=""),"",LN('04 Prices'!H298/'04 Prices'!H297))</f>
        <v/>
      </c>
    </row>
    <row r="298">
      <c r="A298" s="23">
        <f>IF('04 Prices'!A299="","",'04 Prices'!A299)</f>
        <v/>
      </c>
      <c r="B298" s="25">
        <f>IF(OR($A298="",'04 Prices'!B298="",'04 Prices'!B299=""),"",LN('04 Prices'!B299/'04 Prices'!B298))</f>
        <v/>
      </c>
      <c r="C298" s="25">
        <f>IF(OR($A298="",'04 Prices'!C298="",'04 Prices'!C299=""),"",LN('04 Prices'!C299/'04 Prices'!C298))</f>
        <v/>
      </c>
      <c r="D298" s="25">
        <f>IF(OR($A298="",'04 Prices'!D298="",'04 Prices'!D299=""),"",LN('04 Prices'!D299/'04 Prices'!D298))</f>
        <v/>
      </c>
      <c r="E298" s="25">
        <f>IF(OR($A298="",'04 Prices'!E298="",'04 Prices'!E299=""),"",LN('04 Prices'!E299/'04 Prices'!E298))</f>
        <v/>
      </c>
      <c r="F298" s="25">
        <f>IF(OR($A298="",'04 Prices'!F298="",'04 Prices'!F299=""),"",LN('04 Prices'!F299/'04 Prices'!F298))</f>
        <v/>
      </c>
      <c r="G298" s="25">
        <f>IF(OR($A298="",'04 Prices'!G298="",'04 Prices'!G299=""),"",LN('04 Prices'!G299/'04 Prices'!G298))</f>
        <v/>
      </c>
      <c r="H298" s="25">
        <f>IF(OR($A298="",'04 Prices'!H298="",'04 Prices'!H299=""),"",LN('04 Prices'!H299/'04 Prices'!H298))</f>
        <v/>
      </c>
    </row>
    <row r="299">
      <c r="A299" s="23">
        <f>IF('04 Prices'!A300="","",'04 Prices'!A300)</f>
        <v/>
      </c>
      <c r="B299" s="25">
        <f>IF(OR($A299="",'04 Prices'!B299="",'04 Prices'!B300=""),"",LN('04 Prices'!B300/'04 Prices'!B299))</f>
        <v/>
      </c>
      <c r="C299" s="25">
        <f>IF(OR($A299="",'04 Prices'!C299="",'04 Prices'!C300=""),"",LN('04 Prices'!C300/'04 Prices'!C299))</f>
        <v/>
      </c>
      <c r="D299" s="25">
        <f>IF(OR($A299="",'04 Prices'!D299="",'04 Prices'!D300=""),"",LN('04 Prices'!D300/'04 Prices'!D299))</f>
        <v/>
      </c>
      <c r="E299" s="25">
        <f>IF(OR($A299="",'04 Prices'!E299="",'04 Prices'!E300=""),"",LN('04 Prices'!E300/'04 Prices'!E299))</f>
        <v/>
      </c>
      <c r="F299" s="25">
        <f>IF(OR($A299="",'04 Prices'!F299="",'04 Prices'!F300=""),"",LN('04 Prices'!F300/'04 Prices'!F299))</f>
        <v/>
      </c>
      <c r="G299" s="25">
        <f>IF(OR($A299="",'04 Prices'!G299="",'04 Prices'!G300=""),"",LN('04 Prices'!G300/'04 Prices'!G299))</f>
        <v/>
      </c>
      <c r="H299" s="25">
        <f>IF(OR($A299="",'04 Prices'!H299="",'04 Prices'!H300=""),"",LN('04 Prices'!H300/'04 Prices'!H299))</f>
        <v/>
      </c>
    </row>
    <row r="300">
      <c r="A300" s="23">
        <f>IF('04 Prices'!A301="","",'04 Prices'!A301)</f>
        <v/>
      </c>
      <c r="B300" s="25">
        <f>IF(OR($A300="",'04 Prices'!B300="",'04 Prices'!B301=""),"",LN('04 Prices'!B301/'04 Prices'!B300))</f>
        <v/>
      </c>
      <c r="C300" s="25">
        <f>IF(OR($A300="",'04 Prices'!C300="",'04 Prices'!C301=""),"",LN('04 Prices'!C301/'04 Prices'!C300))</f>
        <v/>
      </c>
      <c r="D300" s="25">
        <f>IF(OR($A300="",'04 Prices'!D300="",'04 Prices'!D301=""),"",LN('04 Prices'!D301/'04 Prices'!D300))</f>
        <v/>
      </c>
      <c r="E300" s="25">
        <f>IF(OR($A300="",'04 Prices'!E300="",'04 Prices'!E301=""),"",LN('04 Prices'!E301/'04 Prices'!E300))</f>
        <v/>
      </c>
      <c r="F300" s="25">
        <f>IF(OR($A300="",'04 Prices'!F300="",'04 Prices'!F301=""),"",LN('04 Prices'!F301/'04 Prices'!F300))</f>
        <v/>
      </c>
      <c r="G300" s="25">
        <f>IF(OR($A300="",'04 Prices'!G300="",'04 Prices'!G301=""),"",LN('04 Prices'!G301/'04 Prices'!G300))</f>
        <v/>
      </c>
      <c r="H300" s="25">
        <f>IF(OR($A300="",'04 Prices'!H300="",'04 Prices'!H301=""),"",LN('04 Prices'!H301/'04 Prices'!H300))</f>
        <v/>
      </c>
    </row>
    <row r="301">
      <c r="A301" s="23">
        <f>IF('04 Prices'!A302="","",'04 Prices'!A302)</f>
        <v/>
      </c>
      <c r="B301" s="25">
        <f>IF(OR($A301="",'04 Prices'!B301="",'04 Prices'!B302=""),"",LN('04 Prices'!B302/'04 Prices'!B301))</f>
        <v/>
      </c>
      <c r="C301" s="25">
        <f>IF(OR($A301="",'04 Prices'!C301="",'04 Prices'!C302=""),"",LN('04 Prices'!C302/'04 Prices'!C301))</f>
        <v/>
      </c>
      <c r="D301" s="25">
        <f>IF(OR($A301="",'04 Prices'!D301="",'04 Prices'!D302=""),"",LN('04 Prices'!D302/'04 Prices'!D301))</f>
        <v/>
      </c>
      <c r="E301" s="25">
        <f>IF(OR($A301="",'04 Prices'!E301="",'04 Prices'!E302=""),"",LN('04 Prices'!E302/'04 Prices'!E301))</f>
        <v/>
      </c>
      <c r="F301" s="25">
        <f>IF(OR($A301="",'04 Prices'!F301="",'04 Prices'!F302=""),"",LN('04 Prices'!F302/'04 Prices'!F301))</f>
        <v/>
      </c>
      <c r="G301" s="25">
        <f>IF(OR($A301="",'04 Prices'!G301="",'04 Prices'!G302=""),"",LN('04 Prices'!G302/'04 Prices'!G301))</f>
        <v/>
      </c>
      <c r="H301" s="25">
        <f>IF(OR($A301="",'04 Prices'!H301="",'04 Prices'!H302=""),"",LN('04 Prices'!H302/'04 Prices'!H301))</f>
        <v/>
      </c>
    </row>
    <row r="302">
      <c r="A302" s="23">
        <f>IF('04 Prices'!A303="","",'04 Prices'!A303)</f>
        <v/>
      </c>
      <c r="B302" s="25">
        <f>IF(OR($A302="",'04 Prices'!B302="",'04 Prices'!B303=""),"",LN('04 Prices'!B303/'04 Prices'!B302))</f>
        <v/>
      </c>
      <c r="C302" s="25">
        <f>IF(OR($A302="",'04 Prices'!C302="",'04 Prices'!C303=""),"",LN('04 Prices'!C303/'04 Prices'!C302))</f>
        <v/>
      </c>
      <c r="D302" s="25">
        <f>IF(OR($A302="",'04 Prices'!D302="",'04 Prices'!D303=""),"",LN('04 Prices'!D303/'04 Prices'!D302))</f>
        <v/>
      </c>
      <c r="E302" s="25">
        <f>IF(OR($A302="",'04 Prices'!E302="",'04 Prices'!E303=""),"",LN('04 Prices'!E303/'04 Prices'!E302))</f>
        <v/>
      </c>
      <c r="F302" s="25">
        <f>IF(OR($A302="",'04 Prices'!F302="",'04 Prices'!F303=""),"",LN('04 Prices'!F303/'04 Prices'!F302))</f>
        <v/>
      </c>
      <c r="G302" s="25">
        <f>IF(OR($A302="",'04 Prices'!G302="",'04 Prices'!G303=""),"",LN('04 Prices'!G303/'04 Prices'!G302))</f>
        <v/>
      </c>
      <c r="H302" s="25">
        <f>IF(OR($A302="",'04 Prices'!H302="",'04 Prices'!H303=""),"",LN('04 Prices'!H303/'04 Prices'!H302))</f>
        <v/>
      </c>
    </row>
    <row r="303">
      <c r="A303" s="23">
        <f>IF('04 Prices'!A304="","",'04 Prices'!A304)</f>
        <v/>
      </c>
      <c r="B303" s="25">
        <f>IF(OR($A303="",'04 Prices'!B303="",'04 Prices'!B304=""),"",LN('04 Prices'!B304/'04 Prices'!B303))</f>
        <v/>
      </c>
      <c r="C303" s="25">
        <f>IF(OR($A303="",'04 Prices'!C303="",'04 Prices'!C304=""),"",LN('04 Prices'!C304/'04 Prices'!C303))</f>
        <v/>
      </c>
      <c r="D303" s="25">
        <f>IF(OR($A303="",'04 Prices'!D303="",'04 Prices'!D304=""),"",LN('04 Prices'!D304/'04 Prices'!D303))</f>
        <v/>
      </c>
      <c r="E303" s="25">
        <f>IF(OR($A303="",'04 Prices'!E303="",'04 Prices'!E304=""),"",LN('04 Prices'!E304/'04 Prices'!E303))</f>
        <v/>
      </c>
      <c r="F303" s="25">
        <f>IF(OR($A303="",'04 Prices'!F303="",'04 Prices'!F304=""),"",LN('04 Prices'!F304/'04 Prices'!F303))</f>
        <v/>
      </c>
      <c r="G303" s="25">
        <f>IF(OR($A303="",'04 Prices'!G303="",'04 Prices'!G304=""),"",LN('04 Prices'!G304/'04 Prices'!G303))</f>
        <v/>
      </c>
      <c r="H303" s="25">
        <f>IF(OR($A303="",'04 Prices'!H303="",'04 Prices'!H304=""),"",LN('04 Prices'!H304/'04 Prices'!H303))</f>
        <v/>
      </c>
    </row>
    <row r="304">
      <c r="A304" s="23">
        <f>IF('04 Prices'!A305="","",'04 Prices'!A305)</f>
        <v/>
      </c>
      <c r="B304" s="25">
        <f>IF(OR($A304="",'04 Prices'!B304="",'04 Prices'!B305=""),"",LN('04 Prices'!B305/'04 Prices'!B304))</f>
        <v/>
      </c>
      <c r="C304" s="25">
        <f>IF(OR($A304="",'04 Prices'!C304="",'04 Prices'!C305=""),"",LN('04 Prices'!C305/'04 Prices'!C304))</f>
        <v/>
      </c>
      <c r="D304" s="25">
        <f>IF(OR($A304="",'04 Prices'!D304="",'04 Prices'!D305=""),"",LN('04 Prices'!D305/'04 Prices'!D304))</f>
        <v/>
      </c>
      <c r="E304" s="25">
        <f>IF(OR($A304="",'04 Prices'!E304="",'04 Prices'!E305=""),"",LN('04 Prices'!E305/'04 Prices'!E304))</f>
        <v/>
      </c>
      <c r="F304" s="25">
        <f>IF(OR($A304="",'04 Prices'!F304="",'04 Prices'!F305=""),"",LN('04 Prices'!F305/'04 Prices'!F304))</f>
        <v/>
      </c>
      <c r="G304" s="25">
        <f>IF(OR($A304="",'04 Prices'!G304="",'04 Prices'!G305=""),"",LN('04 Prices'!G305/'04 Prices'!G304))</f>
        <v/>
      </c>
      <c r="H304" s="25">
        <f>IF(OR($A304="",'04 Prices'!H304="",'04 Prices'!H305=""),"",LN('04 Prices'!H305/'04 Prices'!H304))</f>
        <v/>
      </c>
    </row>
    <row r="305">
      <c r="A305" s="23">
        <f>IF('04 Prices'!A306="","",'04 Prices'!A306)</f>
        <v/>
      </c>
      <c r="B305" s="25">
        <f>IF(OR($A305="",'04 Prices'!B305="",'04 Prices'!B306=""),"",LN('04 Prices'!B306/'04 Prices'!B305))</f>
        <v/>
      </c>
      <c r="C305" s="25">
        <f>IF(OR($A305="",'04 Prices'!C305="",'04 Prices'!C306=""),"",LN('04 Prices'!C306/'04 Prices'!C305))</f>
        <v/>
      </c>
      <c r="D305" s="25">
        <f>IF(OR($A305="",'04 Prices'!D305="",'04 Prices'!D306=""),"",LN('04 Prices'!D306/'04 Prices'!D305))</f>
        <v/>
      </c>
      <c r="E305" s="25">
        <f>IF(OR($A305="",'04 Prices'!E305="",'04 Prices'!E306=""),"",LN('04 Prices'!E306/'04 Prices'!E305))</f>
        <v/>
      </c>
      <c r="F305" s="25">
        <f>IF(OR($A305="",'04 Prices'!F305="",'04 Prices'!F306=""),"",LN('04 Prices'!F306/'04 Prices'!F305))</f>
        <v/>
      </c>
      <c r="G305" s="25">
        <f>IF(OR($A305="",'04 Prices'!G305="",'04 Prices'!G306=""),"",LN('04 Prices'!G306/'04 Prices'!G305))</f>
        <v/>
      </c>
      <c r="H305" s="25">
        <f>IF(OR($A305="",'04 Prices'!H305="",'04 Prices'!H306=""),"",LN('04 Prices'!H306/'04 Prices'!H305))</f>
        <v/>
      </c>
    </row>
    <row r="306">
      <c r="A306" s="23">
        <f>IF('04 Prices'!A307="","",'04 Prices'!A307)</f>
        <v/>
      </c>
      <c r="B306" s="25">
        <f>IF(OR($A306="",'04 Prices'!B306="",'04 Prices'!B307=""),"",LN('04 Prices'!B307/'04 Prices'!B306))</f>
        <v/>
      </c>
      <c r="C306" s="25">
        <f>IF(OR($A306="",'04 Prices'!C306="",'04 Prices'!C307=""),"",LN('04 Prices'!C307/'04 Prices'!C306))</f>
        <v/>
      </c>
      <c r="D306" s="25">
        <f>IF(OR($A306="",'04 Prices'!D306="",'04 Prices'!D307=""),"",LN('04 Prices'!D307/'04 Prices'!D306))</f>
        <v/>
      </c>
      <c r="E306" s="25">
        <f>IF(OR($A306="",'04 Prices'!E306="",'04 Prices'!E307=""),"",LN('04 Prices'!E307/'04 Prices'!E306))</f>
        <v/>
      </c>
      <c r="F306" s="25">
        <f>IF(OR($A306="",'04 Prices'!F306="",'04 Prices'!F307=""),"",LN('04 Prices'!F307/'04 Prices'!F306))</f>
        <v/>
      </c>
      <c r="G306" s="25">
        <f>IF(OR($A306="",'04 Prices'!G306="",'04 Prices'!G307=""),"",LN('04 Prices'!G307/'04 Prices'!G306))</f>
        <v/>
      </c>
      <c r="H306" s="25">
        <f>IF(OR($A306="",'04 Prices'!H306="",'04 Prices'!H307=""),"",LN('04 Prices'!H307/'04 Prices'!H306))</f>
        <v/>
      </c>
    </row>
    <row r="307">
      <c r="A307" s="23">
        <f>IF('04 Prices'!A308="","",'04 Prices'!A308)</f>
        <v/>
      </c>
      <c r="B307" s="25">
        <f>IF(OR($A307="",'04 Prices'!B307="",'04 Prices'!B308=""),"",LN('04 Prices'!B308/'04 Prices'!B307))</f>
        <v/>
      </c>
      <c r="C307" s="25">
        <f>IF(OR($A307="",'04 Prices'!C307="",'04 Prices'!C308=""),"",LN('04 Prices'!C308/'04 Prices'!C307))</f>
        <v/>
      </c>
      <c r="D307" s="25">
        <f>IF(OR($A307="",'04 Prices'!D307="",'04 Prices'!D308=""),"",LN('04 Prices'!D308/'04 Prices'!D307))</f>
        <v/>
      </c>
      <c r="E307" s="25">
        <f>IF(OR($A307="",'04 Prices'!E307="",'04 Prices'!E308=""),"",LN('04 Prices'!E308/'04 Prices'!E307))</f>
        <v/>
      </c>
      <c r="F307" s="25">
        <f>IF(OR($A307="",'04 Prices'!F307="",'04 Prices'!F308=""),"",LN('04 Prices'!F308/'04 Prices'!F307))</f>
        <v/>
      </c>
      <c r="G307" s="25">
        <f>IF(OR($A307="",'04 Prices'!G307="",'04 Prices'!G308=""),"",LN('04 Prices'!G308/'04 Prices'!G307))</f>
        <v/>
      </c>
      <c r="H307" s="25">
        <f>IF(OR($A307="",'04 Prices'!H307="",'04 Prices'!H308=""),"",LN('04 Prices'!H308/'04 Prices'!H307))</f>
        <v/>
      </c>
    </row>
    <row r="308">
      <c r="A308" s="23">
        <f>IF('04 Prices'!A309="","",'04 Prices'!A309)</f>
        <v/>
      </c>
      <c r="B308" s="25">
        <f>IF(OR($A308="",'04 Prices'!B308="",'04 Prices'!B309=""),"",LN('04 Prices'!B309/'04 Prices'!B308))</f>
        <v/>
      </c>
      <c r="C308" s="25">
        <f>IF(OR($A308="",'04 Prices'!C308="",'04 Prices'!C309=""),"",LN('04 Prices'!C309/'04 Prices'!C308))</f>
        <v/>
      </c>
      <c r="D308" s="25">
        <f>IF(OR($A308="",'04 Prices'!D308="",'04 Prices'!D309=""),"",LN('04 Prices'!D309/'04 Prices'!D308))</f>
        <v/>
      </c>
      <c r="E308" s="25">
        <f>IF(OR($A308="",'04 Prices'!E308="",'04 Prices'!E309=""),"",LN('04 Prices'!E309/'04 Prices'!E308))</f>
        <v/>
      </c>
      <c r="F308" s="25">
        <f>IF(OR($A308="",'04 Prices'!F308="",'04 Prices'!F309=""),"",LN('04 Prices'!F309/'04 Prices'!F308))</f>
        <v/>
      </c>
      <c r="G308" s="25">
        <f>IF(OR($A308="",'04 Prices'!G308="",'04 Prices'!G309=""),"",LN('04 Prices'!G309/'04 Prices'!G308))</f>
        <v/>
      </c>
      <c r="H308" s="25">
        <f>IF(OR($A308="",'04 Prices'!H308="",'04 Prices'!H309=""),"",LN('04 Prices'!H309/'04 Prices'!H308))</f>
        <v/>
      </c>
    </row>
    <row r="309">
      <c r="A309" s="23">
        <f>IF('04 Prices'!A310="","",'04 Prices'!A310)</f>
        <v/>
      </c>
      <c r="B309" s="25">
        <f>IF(OR($A309="",'04 Prices'!B309="",'04 Prices'!B310=""),"",LN('04 Prices'!B310/'04 Prices'!B309))</f>
        <v/>
      </c>
      <c r="C309" s="25">
        <f>IF(OR($A309="",'04 Prices'!C309="",'04 Prices'!C310=""),"",LN('04 Prices'!C310/'04 Prices'!C309))</f>
        <v/>
      </c>
      <c r="D309" s="25">
        <f>IF(OR($A309="",'04 Prices'!D309="",'04 Prices'!D310=""),"",LN('04 Prices'!D310/'04 Prices'!D309))</f>
        <v/>
      </c>
      <c r="E309" s="25">
        <f>IF(OR($A309="",'04 Prices'!E309="",'04 Prices'!E310=""),"",LN('04 Prices'!E310/'04 Prices'!E309))</f>
        <v/>
      </c>
      <c r="F309" s="25">
        <f>IF(OR($A309="",'04 Prices'!F309="",'04 Prices'!F310=""),"",LN('04 Prices'!F310/'04 Prices'!F309))</f>
        <v/>
      </c>
      <c r="G309" s="25">
        <f>IF(OR($A309="",'04 Prices'!G309="",'04 Prices'!G310=""),"",LN('04 Prices'!G310/'04 Prices'!G309))</f>
        <v/>
      </c>
      <c r="H309" s="25">
        <f>IF(OR($A309="",'04 Prices'!H309="",'04 Prices'!H310=""),"",LN('04 Prices'!H310/'04 Prices'!H309))</f>
        <v/>
      </c>
    </row>
    <row r="310">
      <c r="A310" s="23">
        <f>IF('04 Prices'!A311="","",'04 Prices'!A311)</f>
        <v/>
      </c>
      <c r="B310" s="25">
        <f>IF(OR($A310="",'04 Prices'!B310="",'04 Prices'!B311=""),"",LN('04 Prices'!B311/'04 Prices'!B310))</f>
        <v/>
      </c>
      <c r="C310" s="25">
        <f>IF(OR($A310="",'04 Prices'!C310="",'04 Prices'!C311=""),"",LN('04 Prices'!C311/'04 Prices'!C310))</f>
        <v/>
      </c>
      <c r="D310" s="25">
        <f>IF(OR($A310="",'04 Prices'!D310="",'04 Prices'!D311=""),"",LN('04 Prices'!D311/'04 Prices'!D310))</f>
        <v/>
      </c>
      <c r="E310" s="25">
        <f>IF(OR($A310="",'04 Prices'!E310="",'04 Prices'!E311=""),"",LN('04 Prices'!E311/'04 Prices'!E310))</f>
        <v/>
      </c>
      <c r="F310" s="25">
        <f>IF(OR($A310="",'04 Prices'!F310="",'04 Prices'!F311=""),"",LN('04 Prices'!F311/'04 Prices'!F310))</f>
        <v/>
      </c>
      <c r="G310" s="25">
        <f>IF(OR($A310="",'04 Prices'!G310="",'04 Prices'!G311=""),"",LN('04 Prices'!G311/'04 Prices'!G310))</f>
        <v/>
      </c>
      <c r="H310" s="25">
        <f>IF(OR($A310="",'04 Prices'!H310="",'04 Prices'!H311=""),"",LN('04 Prices'!H311/'04 Prices'!H310))</f>
        <v/>
      </c>
    </row>
    <row r="311">
      <c r="A311" s="23">
        <f>IF('04 Prices'!A312="","",'04 Prices'!A312)</f>
        <v/>
      </c>
      <c r="B311" s="25">
        <f>IF(OR($A311="",'04 Prices'!B311="",'04 Prices'!B312=""),"",LN('04 Prices'!B312/'04 Prices'!B311))</f>
        <v/>
      </c>
      <c r="C311" s="25">
        <f>IF(OR($A311="",'04 Prices'!C311="",'04 Prices'!C312=""),"",LN('04 Prices'!C312/'04 Prices'!C311))</f>
        <v/>
      </c>
      <c r="D311" s="25">
        <f>IF(OR($A311="",'04 Prices'!D311="",'04 Prices'!D312=""),"",LN('04 Prices'!D312/'04 Prices'!D311))</f>
        <v/>
      </c>
      <c r="E311" s="25">
        <f>IF(OR($A311="",'04 Prices'!E311="",'04 Prices'!E312=""),"",LN('04 Prices'!E312/'04 Prices'!E311))</f>
        <v/>
      </c>
      <c r="F311" s="25">
        <f>IF(OR($A311="",'04 Prices'!F311="",'04 Prices'!F312=""),"",LN('04 Prices'!F312/'04 Prices'!F311))</f>
        <v/>
      </c>
      <c r="G311" s="25">
        <f>IF(OR($A311="",'04 Prices'!G311="",'04 Prices'!G312=""),"",LN('04 Prices'!G312/'04 Prices'!G311))</f>
        <v/>
      </c>
      <c r="H311" s="25">
        <f>IF(OR($A311="",'04 Prices'!H311="",'04 Prices'!H312=""),"",LN('04 Prices'!H312/'04 Prices'!H311))</f>
        <v/>
      </c>
    </row>
    <row r="312">
      <c r="A312" s="23">
        <f>IF('04 Prices'!A313="","",'04 Prices'!A313)</f>
        <v/>
      </c>
      <c r="B312" s="25">
        <f>IF(OR($A312="",'04 Prices'!B312="",'04 Prices'!B313=""),"",LN('04 Prices'!B313/'04 Prices'!B312))</f>
        <v/>
      </c>
      <c r="C312" s="25">
        <f>IF(OR($A312="",'04 Prices'!C312="",'04 Prices'!C313=""),"",LN('04 Prices'!C313/'04 Prices'!C312))</f>
        <v/>
      </c>
      <c r="D312" s="25">
        <f>IF(OR($A312="",'04 Prices'!D312="",'04 Prices'!D313=""),"",LN('04 Prices'!D313/'04 Prices'!D312))</f>
        <v/>
      </c>
      <c r="E312" s="25">
        <f>IF(OR($A312="",'04 Prices'!E312="",'04 Prices'!E313=""),"",LN('04 Prices'!E313/'04 Prices'!E312))</f>
        <v/>
      </c>
      <c r="F312" s="25">
        <f>IF(OR($A312="",'04 Prices'!F312="",'04 Prices'!F313=""),"",LN('04 Prices'!F313/'04 Prices'!F312))</f>
        <v/>
      </c>
      <c r="G312" s="25">
        <f>IF(OR($A312="",'04 Prices'!G312="",'04 Prices'!G313=""),"",LN('04 Prices'!G313/'04 Prices'!G312))</f>
        <v/>
      </c>
      <c r="H312" s="25">
        <f>IF(OR($A312="",'04 Prices'!H312="",'04 Prices'!H313=""),"",LN('04 Prices'!H313/'04 Prices'!H312))</f>
        <v/>
      </c>
    </row>
    <row r="313">
      <c r="A313" s="23">
        <f>IF('04 Prices'!A314="","",'04 Prices'!A314)</f>
        <v/>
      </c>
      <c r="B313" s="25">
        <f>IF(OR($A313="",'04 Prices'!B313="",'04 Prices'!B314=""),"",LN('04 Prices'!B314/'04 Prices'!B313))</f>
        <v/>
      </c>
      <c r="C313" s="25">
        <f>IF(OR($A313="",'04 Prices'!C313="",'04 Prices'!C314=""),"",LN('04 Prices'!C314/'04 Prices'!C313))</f>
        <v/>
      </c>
      <c r="D313" s="25">
        <f>IF(OR($A313="",'04 Prices'!D313="",'04 Prices'!D314=""),"",LN('04 Prices'!D314/'04 Prices'!D313))</f>
        <v/>
      </c>
      <c r="E313" s="25">
        <f>IF(OR($A313="",'04 Prices'!E313="",'04 Prices'!E314=""),"",LN('04 Prices'!E314/'04 Prices'!E313))</f>
        <v/>
      </c>
      <c r="F313" s="25">
        <f>IF(OR($A313="",'04 Prices'!F313="",'04 Prices'!F314=""),"",LN('04 Prices'!F314/'04 Prices'!F313))</f>
        <v/>
      </c>
      <c r="G313" s="25">
        <f>IF(OR($A313="",'04 Prices'!G313="",'04 Prices'!G314=""),"",LN('04 Prices'!G314/'04 Prices'!G313))</f>
        <v/>
      </c>
      <c r="H313" s="25">
        <f>IF(OR($A313="",'04 Prices'!H313="",'04 Prices'!H314=""),"",LN('04 Prices'!H314/'04 Prices'!H313))</f>
        <v/>
      </c>
    </row>
    <row r="314">
      <c r="A314" s="23">
        <f>IF('04 Prices'!A315="","",'04 Prices'!A315)</f>
        <v/>
      </c>
      <c r="B314" s="25">
        <f>IF(OR($A314="",'04 Prices'!B314="",'04 Prices'!B315=""),"",LN('04 Prices'!B315/'04 Prices'!B314))</f>
        <v/>
      </c>
      <c r="C314" s="25">
        <f>IF(OR($A314="",'04 Prices'!C314="",'04 Prices'!C315=""),"",LN('04 Prices'!C315/'04 Prices'!C314))</f>
        <v/>
      </c>
      <c r="D314" s="25">
        <f>IF(OR($A314="",'04 Prices'!D314="",'04 Prices'!D315=""),"",LN('04 Prices'!D315/'04 Prices'!D314))</f>
        <v/>
      </c>
      <c r="E314" s="25">
        <f>IF(OR($A314="",'04 Prices'!E314="",'04 Prices'!E315=""),"",LN('04 Prices'!E315/'04 Prices'!E314))</f>
        <v/>
      </c>
      <c r="F314" s="25">
        <f>IF(OR($A314="",'04 Prices'!F314="",'04 Prices'!F315=""),"",LN('04 Prices'!F315/'04 Prices'!F314))</f>
        <v/>
      </c>
      <c r="G314" s="25">
        <f>IF(OR($A314="",'04 Prices'!G314="",'04 Prices'!G315=""),"",LN('04 Prices'!G315/'04 Prices'!G314))</f>
        <v/>
      </c>
      <c r="H314" s="25">
        <f>IF(OR($A314="",'04 Prices'!H314="",'04 Prices'!H315=""),"",LN('04 Prices'!H315/'04 Prices'!H314))</f>
        <v/>
      </c>
    </row>
    <row r="315">
      <c r="A315" s="23">
        <f>IF('04 Prices'!A316="","",'04 Prices'!A316)</f>
        <v/>
      </c>
      <c r="B315" s="25">
        <f>IF(OR($A315="",'04 Prices'!B315="",'04 Prices'!B316=""),"",LN('04 Prices'!B316/'04 Prices'!B315))</f>
        <v/>
      </c>
      <c r="C315" s="25">
        <f>IF(OR($A315="",'04 Prices'!C315="",'04 Prices'!C316=""),"",LN('04 Prices'!C316/'04 Prices'!C315))</f>
        <v/>
      </c>
      <c r="D315" s="25">
        <f>IF(OR($A315="",'04 Prices'!D315="",'04 Prices'!D316=""),"",LN('04 Prices'!D316/'04 Prices'!D315))</f>
        <v/>
      </c>
      <c r="E315" s="25">
        <f>IF(OR($A315="",'04 Prices'!E315="",'04 Prices'!E316=""),"",LN('04 Prices'!E316/'04 Prices'!E315))</f>
        <v/>
      </c>
      <c r="F315" s="25">
        <f>IF(OR($A315="",'04 Prices'!F315="",'04 Prices'!F316=""),"",LN('04 Prices'!F316/'04 Prices'!F315))</f>
        <v/>
      </c>
      <c r="G315" s="25">
        <f>IF(OR($A315="",'04 Prices'!G315="",'04 Prices'!G316=""),"",LN('04 Prices'!G316/'04 Prices'!G315))</f>
        <v/>
      </c>
      <c r="H315" s="25">
        <f>IF(OR($A315="",'04 Prices'!H315="",'04 Prices'!H316=""),"",LN('04 Prices'!H316/'04 Prices'!H315))</f>
        <v/>
      </c>
    </row>
    <row r="316">
      <c r="A316" s="23">
        <f>IF('04 Prices'!A317="","",'04 Prices'!A317)</f>
        <v/>
      </c>
      <c r="B316" s="25">
        <f>IF(OR($A316="",'04 Prices'!B316="",'04 Prices'!B317=""),"",LN('04 Prices'!B317/'04 Prices'!B316))</f>
        <v/>
      </c>
      <c r="C316" s="25">
        <f>IF(OR($A316="",'04 Prices'!C316="",'04 Prices'!C317=""),"",LN('04 Prices'!C317/'04 Prices'!C316))</f>
        <v/>
      </c>
      <c r="D316" s="25">
        <f>IF(OR($A316="",'04 Prices'!D316="",'04 Prices'!D317=""),"",LN('04 Prices'!D317/'04 Prices'!D316))</f>
        <v/>
      </c>
      <c r="E316" s="25">
        <f>IF(OR($A316="",'04 Prices'!E316="",'04 Prices'!E317=""),"",LN('04 Prices'!E317/'04 Prices'!E316))</f>
        <v/>
      </c>
      <c r="F316" s="25">
        <f>IF(OR($A316="",'04 Prices'!F316="",'04 Prices'!F317=""),"",LN('04 Prices'!F317/'04 Prices'!F316))</f>
        <v/>
      </c>
      <c r="G316" s="25">
        <f>IF(OR($A316="",'04 Prices'!G316="",'04 Prices'!G317=""),"",LN('04 Prices'!G317/'04 Prices'!G316))</f>
        <v/>
      </c>
      <c r="H316" s="25">
        <f>IF(OR($A316="",'04 Prices'!H316="",'04 Prices'!H317=""),"",LN('04 Prices'!H317/'04 Prices'!H316))</f>
        <v/>
      </c>
    </row>
    <row r="317">
      <c r="A317" s="23">
        <f>IF('04 Prices'!A318="","",'04 Prices'!A318)</f>
        <v/>
      </c>
      <c r="B317" s="25">
        <f>IF(OR($A317="",'04 Prices'!B317="",'04 Prices'!B318=""),"",LN('04 Prices'!B318/'04 Prices'!B317))</f>
        <v/>
      </c>
      <c r="C317" s="25">
        <f>IF(OR($A317="",'04 Prices'!C317="",'04 Prices'!C318=""),"",LN('04 Prices'!C318/'04 Prices'!C317))</f>
        <v/>
      </c>
      <c r="D317" s="25">
        <f>IF(OR($A317="",'04 Prices'!D317="",'04 Prices'!D318=""),"",LN('04 Prices'!D318/'04 Prices'!D317))</f>
        <v/>
      </c>
      <c r="E317" s="25">
        <f>IF(OR($A317="",'04 Prices'!E317="",'04 Prices'!E318=""),"",LN('04 Prices'!E318/'04 Prices'!E317))</f>
        <v/>
      </c>
      <c r="F317" s="25">
        <f>IF(OR($A317="",'04 Prices'!F317="",'04 Prices'!F318=""),"",LN('04 Prices'!F318/'04 Prices'!F317))</f>
        <v/>
      </c>
      <c r="G317" s="25">
        <f>IF(OR($A317="",'04 Prices'!G317="",'04 Prices'!G318=""),"",LN('04 Prices'!G318/'04 Prices'!G317))</f>
        <v/>
      </c>
      <c r="H317" s="25">
        <f>IF(OR($A317="",'04 Prices'!H317="",'04 Prices'!H318=""),"",LN('04 Prices'!H318/'04 Prices'!H317))</f>
        <v/>
      </c>
    </row>
    <row r="318">
      <c r="A318" s="23">
        <f>IF('04 Prices'!A319="","",'04 Prices'!A319)</f>
        <v/>
      </c>
      <c r="B318" s="25">
        <f>IF(OR($A318="",'04 Prices'!B318="",'04 Prices'!B319=""),"",LN('04 Prices'!B319/'04 Prices'!B318))</f>
        <v/>
      </c>
      <c r="C318" s="25">
        <f>IF(OR($A318="",'04 Prices'!C318="",'04 Prices'!C319=""),"",LN('04 Prices'!C319/'04 Prices'!C318))</f>
        <v/>
      </c>
      <c r="D318" s="25">
        <f>IF(OR($A318="",'04 Prices'!D318="",'04 Prices'!D319=""),"",LN('04 Prices'!D319/'04 Prices'!D318))</f>
        <v/>
      </c>
      <c r="E318" s="25">
        <f>IF(OR($A318="",'04 Prices'!E318="",'04 Prices'!E319=""),"",LN('04 Prices'!E319/'04 Prices'!E318))</f>
        <v/>
      </c>
      <c r="F318" s="25">
        <f>IF(OR($A318="",'04 Prices'!F318="",'04 Prices'!F319=""),"",LN('04 Prices'!F319/'04 Prices'!F318))</f>
        <v/>
      </c>
      <c r="G318" s="25">
        <f>IF(OR($A318="",'04 Prices'!G318="",'04 Prices'!G319=""),"",LN('04 Prices'!G319/'04 Prices'!G318))</f>
        <v/>
      </c>
      <c r="H318" s="25">
        <f>IF(OR($A318="",'04 Prices'!H318="",'04 Prices'!H319=""),"",LN('04 Prices'!H319/'04 Prices'!H318))</f>
        <v/>
      </c>
    </row>
    <row r="319">
      <c r="A319" s="23">
        <f>IF('04 Prices'!A320="","",'04 Prices'!A320)</f>
        <v/>
      </c>
      <c r="B319" s="25">
        <f>IF(OR($A319="",'04 Prices'!B319="",'04 Prices'!B320=""),"",LN('04 Prices'!B320/'04 Prices'!B319))</f>
        <v/>
      </c>
      <c r="C319" s="25">
        <f>IF(OR($A319="",'04 Prices'!C319="",'04 Prices'!C320=""),"",LN('04 Prices'!C320/'04 Prices'!C319))</f>
        <v/>
      </c>
      <c r="D319" s="25">
        <f>IF(OR($A319="",'04 Prices'!D319="",'04 Prices'!D320=""),"",LN('04 Prices'!D320/'04 Prices'!D319))</f>
        <v/>
      </c>
      <c r="E319" s="25">
        <f>IF(OR($A319="",'04 Prices'!E319="",'04 Prices'!E320=""),"",LN('04 Prices'!E320/'04 Prices'!E319))</f>
        <v/>
      </c>
      <c r="F319" s="25">
        <f>IF(OR($A319="",'04 Prices'!F319="",'04 Prices'!F320=""),"",LN('04 Prices'!F320/'04 Prices'!F319))</f>
        <v/>
      </c>
      <c r="G319" s="25">
        <f>IF(OR($A319="",'04 Prices'!G319="",'04 Prices'!G320=""),"",LN('04 Prices'!G320/'04 Prices'!G319))</f>
        <v/>
      </c>
      <c r="H319" s="25">
        <f>IF(OR($A319="",'04 Prices'!H319="",'04 Prices'!H320=""),"",LN('04 Prices'!H320/'04 Prices'!H319))</f>
        <v/>
      </c>
    </row>
    <row r="320">
      <c r="A320" s="23">
        <f>IF('04 Prices'!A321="","",'04 Prices'!A321)</f>
        <v/>
      </c>
      <c r="B320" s="25">
        <f>IF(OR($A320="",'04 Prices'!B320="",'04 Prices'!B321=""),"",LN('04 Prices'!B321/'04 Prices'!B320))</f>
        <v/>
      </c>
      <c r="C320" s="25">
        <f>IF(OR($A320="",'04 Prices'!C320="",'04 Prices'!C321=""),"",LN('04 Prices'!C321/'04 Prices'!C320))</f>
        <v/>
      </c>
      <c r="D320" s="25">
        <f>IF(OR($A320="",'04 Prices'!D320="",'04 Prices'!D321=""),"",LN('04 Prices'!D321/'04 Prices'!D320))</f>
        <v/>
      </c>
      <c r="E320" s="25">
        <f>IF(OR($A320="",'04 Prices'!E320="",'04 Prices'!E321=""),"",LN('04 Prices'!E321/'04 Prices'!E320))</f>
        <v/>
      </c>
      <c r="F320" s="25">
        <f>IF(OR($A320="",'04 Prices'!F320="",'04 Prices'!F321=""),"",LN('04 Prices'!F321/'04 Prices'!F320))</f>
        <v/>
      </c>
      <c r="G320" s="25">
        <f>IF(OR($A320="",'04 Prices'!G320="",'04 Prices'!G321=""),"",LN('04 Prices'!G321/'04 Prices'!G320))</f>
        <v/>
      </c>
      <c r="H320" s="25">
        <f>IF(OR($A320="",'04 Prices'!H320="",'04 Prices'!H321=""),"",LN('04 Prices'!H321/'04 Prices'!H320))</f>
        <v/>
      </c>
    </row>
    <row r="321">
      <c r="A321" s="23">
        <f>IF('04 Prices'!A322="","",'04 Prices'!A322)</f>
        <v/>
      </c>
      <c r="B321" s="25">
        <f>IF(OR($A321="",'04 Prices'!B321="",'04 Prices'!B322=""),"",LN('04 Prices'!B322/'04 Prices'!B321))</f>
        <v/>
      </c>
      <c r="C321" s="25">
        <f>IF(OR($A321="",'04 Prices'!C321="",'04 Prices'!C322=""),"",LN('04 Prices'!C322/'04 Prices'!C321))</f>
        <v/>
      </c>
      <c r="D321" s="25">
        <f>IF(OR($A321="",'04 Prices'!D321="",'04 Prices'!D322=""),"",LN('04 Prices'!D322/'04 Prices'!D321))</f>
        <v/>
      </c>
      <c r="E321" s="25">
        <f>IF(OR($A321="",'04 Prices'!E321="",'04 Prices'!E322=""),"",LN('04 Prices'!E322/'04 Prices'!E321))</f>
        <v/>
      </c>
      <c r="F321" s="25">
        <f>IF(OR($A321="",'04 Prices'!F321="",'04 Prices'!F322=""),"",LN('04 Prices'!F322/'04 Prices'!F321))</f>
        <v/>
      </c>
      <c r="G321" s="25">
        <f>IF(OR($A321="",'04 Prices'!G321="",'04 Prices'!G322=""),"",LN('04 Prices'!G322/'04 Prices'!G321))</f>
        <v/>
      </c>
      <c r="H321" s="25">
        <f>IF(OR($A321="",'04 Prices'!H321="",'04 Prices'!H322=""),"",LN('04 Prices'!H322/'04 Prices'!H321))</f>
        <v/>
      </c>
    </row>
    <row r="322">
      <c r="A322" s="23">
        <f>IF('04 Prices'!A323="","",'04 Prices'!A323)</f>
        <v/>
      </c>
      <c r="B322" s="25">
        <f>IF(OR($A322="",'04 Prices'!B322="",'04 Prices'!B323=""),"",LN('04 Prices'!B323/'04 Prices'!B322))</f>
        <v/>
      </c>
      <c r="C322" s="25">
        <f>IF(OR($A322="",'04 Prices'!C322="",'04 Prices'!C323=""),"",LN('04 Prices'!C323/'04 Prices'!C322))</f>
        <v/>
      </c>
      <c r="D322" s="25">
        <f>IF(OR($A322="",'04 Prices'!D322="",'04 Prices'!D323=""),"",LN('04 Prices'!D323/'04 Prices'!D322))</f>
        <v/>
      </c>
      <c r="E322" s="25">
        <f>IF(OR($A322="",'04 Prices'!E322="",'04 Prices'!E323=""),"",LN('04 Prices'!E323/'04 Prices'!E322))</f>
        <v/>
      </c>
      <c r="F322" s="25">
        <f>IF(OR($A322="",'04 Prices'!F322="",'04 Prices'!F323=""),"",LN('04 Prices'!F323/'04 Prices'!F322))</f>
        <v/>
      </c>
      <c r="G322" s="25">
        <f>IF(OR($A322="",'04 Prices'!G322="",'04 Prices'!G323=""),"",LN('04 Prices'!G323/'04 Prices'!G322))</f>
        <v/>
      </c>
      <c r="H322" s="25">
        <f>IF(OR($A322="",'04 Prices'!H322="",'04 Prices'!H323=""),"",LN('04 Prices'!H323/'04 Prices'!H322))</f>
        <v/>
      </c>
    </row>
    <row r="323">
      <c r="A323" s="23">
        <f>IF('04 Prices'!A324="","",'04 Prices'!A324)</f>
        <v/>
      </c>
      <c r="B323" s="25">
        <f>IF(OR($A323="",'04 Prices'!B323="",'04 Prices'!B324=""),"",LN('04 Prices'!B324/'04 Prices'!B323))</f>
        <v/>
      </c>
      <c r="C323" s="25">
        <f>IF(OR($A323="",'04 Prices'!C323="",'04 Prices'!C324=""),"",LN('04 Prices'!C324/'04 Prices'!C323))</f>
        <v/>
      </c>
      <c r="D323" s="25">
        <f>IF(OR($A323="",'04 Prices'!D323="",'04 Prices'!D324=""),"",LN('04 Prices'!D324/'04 Prices'!D323))</f>
        <v/>
      </c>
      <c r="E323" s="25">
        <f>IF(OR($A323="",'04 Prices'!E323="",'04 Prices'!E324=""),"",LN('04 Prices'!E324/'04 Prices'!E323))</f>
        <v/>
      </c>
      <c r="F323" s="25">
        <f>IF(OR($A323="",'04 Prices'!F323="",'04 Prices'!F324=""),"",LN('04 Prices'!F324/'04 Prices'!F323))</f>
        <v/>
      </c>
      <c r="G323" s="25">
        <f>IF(OR($A323="",'04 Prices'!G323="",'04 Prices'!G324=""),"",LN('04 Prices'!G324/'04 Prices'!G323))</f>
        <v/>
      </c>
      <c r="H323" s="25">
        <f>IF(OR($A323="",'04 Prices'!H323="",'04 Prices'!H324=""),"",LN('04 Prices'!H324/'04 Prices'!H323))</f>
        <v/>
      </c>
    </row>
    <row r="324">
      <c r="A324" s="23">
        <f>IF('04 Prices'!A325="","",'04 Prices'!A325)</f>
        <v/>
      </c>
      <c r="B324" s="25">
        <f>IF(OR($A324="",'04 Prices'!B324="",'04 Prices'!B325=""),"",LN('04 Prices'!B325/'04 Prices'!B324))</f>
        <v/>
      </c>
      <c r="C324" s="25">
        <f>IF(OR($A324="",'04 Prices'!C324="",'04 Prices'!C325=""),"",LN('04 Prices'!C325/'04 Prices'!C324))</f>
        <v/>
      </c>
      <c r="D324" s="25">
        <f>IF(OR($A324="",'04 Prices'!D324="",'04 Prices'!D325=""),"",LN('04 Prices'!D325/'04 Prices'!D324))</f>
        <v/>
      </c>
      <c r="E324" s="25">
        <f>IF(OR($A324="",'04 Prices'!E324="",'04 Prices'!E325=""),"",LN('04 Prices'!E325/'04 Prices'!E324))</f>
        <v/>
      </c>
      <c r="F324" s="25">
        <f>IF(OR($A324="",'04 Prices'!F324="",'04 Prices'!F325=""),"",LN('04 Prices'!F325/'04 Prices'!F324))</f>
        <v/>
      </c>
      <c r="G324" s="25">
        <f>IF(OR($A324="",'04 Prices'!G324="",'04 Prices'!G325=""),"",LN('04 Prices'!G325/'04 Prices'!G324))</f>
        <v/>
      </c>
      <c r="H324" s="25">
        <f>IF(OR($A324="",'04 Prices'!H324="",'04 Prices'!H325=""),"",LN('04 Prices'!H325/'04 Prices'!H324))</f>
        <v/>
      </c>
    </row>
    <row r="325">
      <c r="A325" s="23">
        <f>IF('04 Prices'!A326="","",'04 Prices'!A326)</f>
        <v/>
      </c>
      <c r="B325" s="25">
        <f>IF(OR($A325="",'04 Prices'!B325="",'04 Prices'!B326=""),"",LN('04 Prices'!B326/'04 Prices'!B325))</f>
        <v/>
      </c>
      <c r="C325" s="25">
        <f>IF(OR($A325="",'04 Prices'!C325="",'04 Prices'!C326=""),"",LN('04 Prices'!C326/'04 Prices'!C325))</f>
        <v/>
      </c>
      <c r="D325" s="25">
        <f>IF(OR($A325="",'04 Prices'!D325="",'04 Prices'!D326=""),"",LN('04 Prices'!D326/'04 Prices'!D325))</f>
        <v/>
      </c>
      <c r="E325" s="25">
        <f>IF(OR($A325="",'04 Prices'!E325="",'04 Prices'!E326=""),"",LN('04 Prices'!E326/'04 Prices'!E325))</f>
        <v/>
      </c>
      <c r="F325" s="25">
        <f>IF(OR($A325="",'04 Prices'!F325="",'04 Prices'!F326=""),"",LN('04 Prices'!F326/'04 Prices'!F325))</f>
        <v/>
      </c>
      <c r="G325" s="25">
        <f>IF(OR($A325="",'04 Prices'!G325="",'04 Prices'!G326=""),"",LN('04 Prices'!G326/'04 Prices'!G325))</f>
        <v/>
      </c>
      <c r="H325" s="25">
        <f>IF(OR($A325="",'04 Prices'!H325="",'04 Prices'!H326=""),"",LN('04 Prices'!H326/'04 Prices'!H325))</f>
        <v/>
      </c>
    </row>
    <row r="326">
      <c r="A326" s="23">
        <f>IF('04 Prices'!A327="","",'04 Prices'!A327)</f>
        <v/>
      </c>
      <c r="B326" s="25">
        <f>IF(OR($A326="",'04 Prices'!B326="",'04 Prices'!B327=""),"",LN('04 Prices'!B327/'04 Prices'!B326))</f>
        <v/>
      </c>
      <c r="C326" s="25">
        <f>IF(OR($A326="",'04 Prices'!C326="",'04 Prices'!C327=""),"",LN('04 Prices'!C327/'04 Prices'!C326))</f>
        <v/>
      </c>
      <c r="D326" s="25">
        <f>IF(OR($A326="",'04 Prices'!D326="",'04 Prices'!D327=""),"",LN('04 Prices'!D327/'04 Prices'!D326))</f>
        <v/>
      </c>
      <c r="E326" s="25">
        <f>IF(OR($A326="",'04 Prices'!E326="",'04 Prices'!E327=""),"",LN('04 Prices'!E327/'04 Prices'!E326))</f>
        <v/>
      </c>
      <c r="F326" s="25">
        <f>IF(OR($A326="",'04 Prices'!F326="",'04 Prices'!F327=""),"",LN('04 Prices'!F327/'04 Prices'!F326))</f>
        <v/>
      </c>
      <c r="G326" s="25">
        <f>IF(OR($A326="",'04 Prices'!G326="",'04 Prices'!G327=""),"",LN('04 Prices'!G327/'04 Prices'!G326))</f>
        <v/>
      </c>
      <c r="H326" s="25">
        <f>IF(OR($A326="",'04 Prices'!H326="",'04 Prices'!H327=""),"",LN('04 Prices'!H327/'04 Prices'!H326))</f>
        <v/>
      </c>
    </row>
    <row r="327">
      <c r="A327" s="23">
        <f>IF('04 Prices'!A328="","",'04 Prices'!A328)</f>
        <v/>
      </c>
      <c r="B327" s="25">
        <f>IF(OR($A327="",'04 Prices'!B327="",'04 Prices'!B328=""),"",LN('04 Prices'!B328/'04 Prices'!B327))</f>
        <v/>
      </c>
      <c r="C327" s="25">
        <f>IF(OR($A327="",'04 Prices'!C327="",'04 Prices'!C328=""),"",LN('04 Prices'!C328/'04 Prices'!C327))</f>
        <v/>
      </c>
      <c r="D327" s="25">
        <f>IF(OR($A327="",'04 Prices'!D327="",'04 Prices'!D328=""),"",LN('04 Prices'!D328/'04 Prices'!D327))</f>
        <v/>
      </c>
      <c r="E327" s="25">
        <f>IF(OR($A327="",'04 Prices'!E327="",'04 Prices'!E328=""),"",LN('04 Prices'!E328/'04 Prices'!E327))</f>
        <v/>
      </c>
      <c r="F327" s="25">
        <f>IF(OR($A327="",'04 Prices'!F327="",'04 Prices'!F328=""),"",LN('04 Prices'!F328/'04 Prices'!F327))</f>
        <v/>
      </c>
      <c r="G327" s="25">
        <f>IF(OR($A327="",'04 Prices'!G327="",'04 Prices'!G328=""),"",LN('04 Prices'!G328/'04 Prices'!G327))</f>
        <v/>
      </c>
      <c r="H327" s="25">
        <f>IF(OR($A327="",'04 Prices'!H327="",'04 Prices'!H328=""),"",LN('04 Prices'!H328/'04 Prices'!H327))</f>
        <v/>
      </c>
    </row>
    <row r="328">
      <c r="A328" s="23">
        <f>IF('04 Prices'!A329="","",'04 Prices'!A329)</f>
        <v/>
      </c>
      <c r="B328" s="25">
        <f>IF(OR($A328="",'04 Prices'!B328="",'04 Prices'!B329=""),"",LN('04 Prices'!B329/'04 Prices'!B328))</f>
        <v/>
      </c>
      <c r="C328" s="25">
        <f>IF(OR($A328="",'04 Prices'!C328="",'04 Prices'!C329=""),"",LN('04 Prices'!C329/'04 Prices'!C328))</f>
        <v/>
      </c>
      <c r="D328" s="25">
        <f>IF(OR($A328="",'04 Prices'!D328="",'04 Prices'!D329=""),"",LN('04 Prices'!D329/'04 Prices'!D328))</f>
        <v/>
      </c>
      <c r="E328" s="25">
        <f>IF(OR($A328="",'04 Prices'!E328="",'04 Prices'!E329=""),"",LN('04 Prices'!E329/'04 Prices'!E328))</f>
        <v/>
      </c>
      <c r="F328" s="25">
        <f>IF(OR($A328="",'04 Prices'!F328="",'04 Prices'!F329=""),"",LN('04 Prices'!F329/'04 Prices'!F328))</f>
        <v/>
      </c>
      <c r="G328" s="25">
        <f>IF(OR($A328="",'04 Prices'!G328="",'04 Prices'!G329=""),"",LN('04 Prices'!G329/'04 Prices'!G328))</f>
        <v/>
      </c>
      <c r="H328" s="25">
        <f>IF(OR($A328="",'04 Prices'!H328="",'04 Prices'!H329=""),"",LN('04 Prices'!H329/'04 Prices'!H328))</f>
        <v/>
      </c>
    </row>
    <row r="329">
      <c r="A329" s="23">
        <f>IF('04 Prices'!A330="","",'04 Prices'!A330)</f>
        <v/>
      </c>
      <c r="B329" s="25">
        <f>IF(OR($A329="",'04 Prices'!B329="",'04 Prices'!B330=""),"",LN('04 Prices'!B330/'04 Prices'!B329))</f>
        <v/>
      </c>
      <c r="C329" s="25">
        <f>IF(OR($A329="",'04 Prices'!C329="",'04 Prices'!C330=""),"",LN('04 Prices'!C330/'04 Prices'!C329))</f>
        <v/>
      </c>
      <c r="D329" s="25">
        <f>IF(OR($A329="",'04 Prices'!D329="",'04 Prices'!D330=""),"",LN('04 Prices'!D330/'04 Prices'!D329))</f>
        <v/>
      </c>
      <c r="E329" s="25">
        <f>IF(OR($A329="",'04 Prices'!E329="",'04 Prices'!E330=""),"",LN('04 Prices'!E330/'04 Prices'!E329))</f>
        <v/>
      </c>
      <c r="F329" s="25">
        <f>IF(OR($A329="",'04 Prices'!F329="",'04 Prices'!F330=""),"",LN('04 Prices'!F330/'04 Prices'!F329))</f>
        <v/>
      </c>
      <c r="G329" s="25">
        <f>IF(OR($A329="",'04 Prices'!G329="",'04 Prices'!G330=""),"",LN('04 Prices'!G330/'04 Prices'!G329))</f>
        <v/>
      </c>
      <c r="H329" s="25">
        <f>IF(OR($A329="",'04 Prices'!H329="",'04 Prices'!H330=""),"",LN('04 Prices'!H330/'04 Prices'!H329))</f>
        <v/>
      </c>
    </row>
    <row r="330">
      <c r="A330" s="23">
        <f>IF('04 Prices'!A331="","",'04 Prices'!A331)</f>
        <v/>
      </c>
      <c r="B330" s="25">
        <f>IF(OR($A330="",'04 Prices'!B330="",'04 Prices'!B331=""),"",LN('04 Prices'!B331/'04 Prices'!B330))</f>
        <v/>
      </c>
      <c r="C330" s="25">
        <f>IF(OR($A330="",'04 Prices'!C330="",'04 Prices'!C331=""),"",LN('04 Prices'!C331/'04 Prices'!C330))</f>
        <v/>
      </c>
      <c r="D330" s="25">
        <f>IF(OR($A330="",'04 Prices'!D330="",'04 Prices'!D331=""),"",LN('04 Prices'!D331/'04 Prices'!D330))</f>
        <v/>
      </c>
      <c r="E330" s="25">
        <f>IF(OR($A330="",'04 Prices'!E330="",'04 Prices'!E331=""),"",LN('04 Prices'!E331/'04 Prices'!E330))</f>
        <v/>
      </c>
      <c r="F330" s="25">
        <f>IF(OR($A330="",'04 Prices'!F330="",'04 Prices'!F331=""),"",LN('04 Prices'!F331/'04 Prices'!F330))</f>
        <v/>
      </c>
      <c r="G330" s="25">
        <f>IF(OR($A330="",'04 Prices'!G330="",'04 Prices'!G331=""),"",LN('04 Prices'!G331/'04 Prices'!G330))</f>
        <v/>
      </c>
      <c r="H330" s="25">
        <f>IF(OR($A330="",'04 Prices'!H330="",'04 Prices'!H331=""),"",LN('04 Prices'!H331/'04 Prices'!H330))</f>
        <v/>
      </c>
    </row>
    <row r="331">
      <c r="A331" s="23">
        <f>IF('04 Prices'!A332="","",'04 Prices'!A332)</f>
        <v/>
      </c>
      <c r="B331" s="25">
        <f>IF(OR($A331="",'04 Prices'!B331="",'04 Prices'!B332=""),"",LN('04 Prices'!B332/'04 Prices'!B331))</f>
        <v/>
      </c>
      <c r="C331" s="25">
        <f>IF(OR($A331="",'04 Prices'!C331="",'04 Prices'!C332=""),"",LN('04 Prices'!C332/'04 Prices'!C331))</f>
        <v/>
      </c>
      <c r="D331" s="25">
        <f>IF(OR($A331="",'04 Prices'!D331="",'04 Prices'!D332=""),"",LN('04 Prices'!D332/'04 Prices'!D331))</f>
        <v/>
      </c>
      <c r="E331" s="25">
        <f>IF(OR($A331="",'04 Prices'!E331="",'04 Prices'!E332=""),"",LN('04 Prices'!E332/'04 Prices'!E331))</f>
        <v/>
      </c>
      <c r="F331" s="25">
        <f>IF(OR($A331="",'04 Prices'!F331="",'04 Prices'!F332=""),"",LN('04 Prices'!F332/'04 Prices'!F331))</f>
        <v/>
      </c>
      <c r="G331" s="25">
        <f>IF(OR($A331="",'04 Prices'!G331="",'04 Prices'!G332=""),"",LN('04 Prices'!G332/'04 Prices'!G331))</f>
        <v/>
      </c>
      <c r="H331" s="25">
        <f>IF(OR($A331="",'04 Prices'!H331="",'04 Prices'!H332=""),"",LN('04 Prices'!H332/'04 Prices'!H331))</f>
        <v/>
      </c>
    </row>
    <row r="332">
      <c r="A332" s="23">
        <f>IF('04 Prices'!A333="","",'04 Prices'!A333)</f>
        <v/>
      </c>
      <c r="B332" s="25">
        <f>IF(OR($A332="",'04 Prices'!B332="",'04 Prices'!B333=""),"",LN('04 Prices'!B333/'04 Prices'!B332))</f>
        <v/>
      </c>
      <c r="C332" s="25">
        <f>IF(OR($A332="",'04 Prices'!C332="",'04 Prices'!C333=""),"",LN('04 Prices'!C333/'04 Prices'!C332))</f>
        <v/>
      </c>
      <c r="D332" s="25">
        <f>IF(OR($A332="",'04 Prices'!D332="",'04 Prices'!D333=""),"",LN('04 Prices'!D333/'04 Prices'!D332))</f>
        <v/>
      </c>
      <c r="E332" s="25">
        <f>IF(OR($A332="",'04 Prices'!E332="",'04 Prices'!E333=""),"",LN('04 Prices'!E333/'04 Prices'!E332))</f>
        <v/>
      </c>
      <c r="F332" s="25">
        <f>IF(OR($A332="",'04 Prices'!F332="",'04 Prices'!F333=""),"",LN('04 Prices'!F333/'04 Prices'!F332))</f>
        <v/>
      </c>
      <c r="G332" s="25">
        <f>IF(OR($A332="",'04 Prices'!G332="",'04 Prices'!G333=""),"",LN('04 Prices'!G333/'04 Prices'!G332))</f>
        <v/>
      </c>
      <c r="H332" s="25">
        <f>IF(OR($A332="",'04 Prices'!H332="",'04 Prices'!H333=""),"",LN('04 Prices'!H333/'04 Prices'!H332))</f>
        <v/>
      </c>
    </row>
    <row r="333">
      <c r="A333" s="23">
        <f>IF('04 Prices'!A334="","",'04 Prices'!A334)</f>
        <v/>
      </c>
      <c r="B333" s="25">
        <f>IF(OR($A333="",'04 Prices'!B333="",'04 Prices'!B334=""),"",LN('04 Prices'!B334/'04 Prices'!B333))</f>
        <v/>
      </c>
      <c r="C333" s="25">
        <f>IF(OR($A333="",'04 Prices'!C333="",'04 Prices'!C334=""),"",LN('04 Prices'!C334/'04 Prices'!C333))</f>
        <v/>
      </c>
      <c r="D333" s="25">
        <f>IF(OR($A333="",'04 Prices'!D333="",'04 Prices'!D334=""),"",LN('04 Prices'!D334/'04 Prices'!D333))</f>
        <v/>
      </c>
      <c r="E333" s="25">
        <f>IF(OR($A333="",'04 Prices'!E333="",'04 Prices'!E334=""),"",LN('04 Prices'!E334/'04 Prices'!E333))</f>
        <v/>
      </c>
      <c r="F333" s="25">
        <f>IF(OR($A333="",'04 Prices'!F333="",'04 Prices'!F334=""),"",LN('04 Prices'!F334/'04 Prices'!F333))</f>
        <v/>
      </c>
      <c r="G333" s="25">
        <f>IF(OR($A333="",'04 Prices'!G333="",'04 Prices'!G334=""),"",LN('04 Prices'!G334/'04 Prices'!G333))</f>
        <v/>
      </c>
      <c r="H333" s="25">
        <f>IF(OR($A333="",'04 Prices'!H333="",'04 Prices'!H334=""),"",LN('04 Prices'!H334/'04 Prices'!H333))</f>
        <v/>
      </c>
    </row>
    <row r="334">
      <c r="A334" s="23">
        <f>IF('04 Prices'!A335="","",'04 Prices'!A335)</f>
        <v/>
      </c>
      <c r="B334" s="25">
        <f>IF(OR($A334="",'04 Prices'!B334="",'04 Prices'!B335=""),"",LN('04 Prices'!B335/'04 Prices'!B334))</f>
        <v/>
      </c>
      <c r="C334" s="25">
        <f>IF(OR($A334="",'04 Prices'!C334="",'04 Prices'!C335=""),"",LN('04 Prices'!C335/'04 Prices'!C334))</f>
        <v/>
      </c>
      <c r="D334" s="25">
        <f>IF(OR($A334="",'04 Prices'!D334="",'04 Prices'!D335=""),"",LN('04 Prices'!D335/'04 Prices'!D334))</f>
        <v/>
      </c>
      <c r="E334" s="25">
        <f>IF(OR($A334="",'04 Prices'!E334="",'04 Prices'!E335=""),"",LN('04 Prices'!E335/'04 Prices'!E334))</f>
        <v/>
      </c>
      <c r="F334" s="25">
        <f>IF(OR($A334="",'04 Prices'!F334="",'04 Prices'!F335=""),"",LN('04 Prices'!F335/'04 Prices'!F334))</f>
        <v/>
      </c>
      <c r="G334" s="25">
        <f>IF(OR($A334="",'04 Prices'!G334="",'04 Prices'!G335=""),"",LN('04 Prices'!G335/'04 Prices'!G334))</f>
        <v/>
      </c>
      <c r="H334" s="25">
        <f>IF(OR($A334="",'04 Prices'!H334="",'04 Prices'!H335=""),"",LN('04 Prices'!H335/'04 Prices'!H334))</f>
        <v/>
      </c>
    </row>
    <row r="335">
      <c r="A335" s="23">
        <f>IF('04 Prices'!A336="","",'04 Prices'!A336)</f>
        <v/>
      </c>
      <c r="B335" s="25">
        <f>IF(OR($A335="",'04 Prices'!B335="",'04 Prices'!B336=""),"",LN('04 Prices'!B336/'04 Prices'!B335))</f>
        <v/>
      </c>
      <c r="C335" s="25">
        <f>IF(OR($A335="",'04 Prices'!C335="",'04 Prices'!C336=""),"",LN('04 Prices'!C336/'04 Prices'!C335))</f>
        <v/>
      </c>
      <c r="D335" s="25">
        <f>IF(OR($A335="",'04 Prices'!D335="",'04 Prices'!D336=""),"",LN('04 Prices'!D336/'04 Prices'!D335))</f>
        <v/>
      </c>
      <c r="E335" s="25">
        <f>IF(OR($A335="",'04 Prices'!E335="",'04 Prices'!E336=""),"",LN('04 Prices'!E336/'04 Prices'!E335))</f>
        <v/>
      </c>
      <c r="F335" s="25">
        <f>IF(OR($A335="",'04 Prices'!F335="",'04 Prices'!F336=""),"",LN('04 Prices'!F336/'04 Prices'!F335))</f>
        <v/>
      </c>
      <c r="G335" s="25">
        <f>IF(OR($A335="",'04 Prices'!G335="",'04 Prices'!G336=""),"",LN('04 Prices'!G336/'04 Prices'!G335))</f>
        <v/>
      </c>
      <c r="H335" s="25">
        <f>IF(OR($A335="",'04 Prices'!H335="",'04 Prices'!H336=""),"",LN('04 Prices'!H336/'04 Prices'!H335))</f>
        <v/>
      </c>
    </row>
    <row r="336">
      <c r="A336" s="23">
        <f>IF('04 Prices'!A337="","",'04 Prices'!A337)</f>
        <v/>
      </c>
      <c r="B336" s="25">
        <f>IF(OR($A336="",'04 Prices'!B336="",'04 Prices'!B337=""),"",LN('04 Prices'!B337/'04 Prices'!B336))</f>
        <v/>
      </c>
      <c r="C336" s="25">
        <f>IF(OR($A336="",'04 Prices'!C336="",'04 Prices'!C337=""),"",LN('04 Prices'!C337/'04 Prices'!C336))</f>
        <v/>
      </c>
      <c r="D336" s="25">
        <f>IF(OR($A336="",'04 Prices'!D336="",'04 Prices'!D337=""),"",LN('04 Prices'!D337/'04 Prices'!D336))</f>
        <v/>
      </c>
      <c r="E336" s="25">
        <f>IF(OR($A336="",'04 Prices'!E336="",'04 Prices'!E337=""),"",LN('04 Prices'!E337/'04 Prices'!E336))</f>
        <v/>
      </c>
      <c r="F336" s="25">
        <f>IF(OR($A336="",'04 Prices'!F336="",'04 Prices'!F337=""),"",LN('04 Prices'!F337/'04 Prices'!F336))</f>
        <v/>
      </c>
      <c r="G336" s="25">
        <f>IF(OR($A336="",'04 Prices'!G336="",'04 Prices'!G337=""),"",LN('04 Prices'!G337/'04 Prices'!G336))</f>
        <v/>
      </c>
      <c r="H336" s="25">
        <f>IF(OR($A336="",'04 Prices'!H336="",'04 Prices'!H337=""),"",LN('04 Prices'!H337/'04 Prices'!H336))</f>
        <v/>
      </c>
    </row>
    <row r="337">
      <c r="A337" s="23">
        <f>IF('04 Prices'!A338="","",'04 Prices'!A338)</f>
        <v/>
      </c>
      <c r="B337" s="25">
        <f>IF(OR($A337="",'04 Prices'!B337="",'04 Prices'!B338=""),"",LN('04 Prices'!B338/'04 Prices'!B337))</f>
        <v/>
      </c>
      <c r="C337" s="25">
        <f>IF(OR($A337="",'04 Prices'!C337="",'04 Prices'!C338=""),"",LN('04 Prices'!C338/'04 Prices'!C337))</f>
        <v/>
      </c>
      <c r="D337" s="25">
        <f>IF(OR($A337="",'04 Prices'!D337="",'04 Prices'!D338=""),"",LN('04 Prices'!D338/'04 Prices'!D337))</f>
        <v/>
      </c>
      <c r="E337" s="25">
        <f>IF(OR($A337="",'04 Prices'!E337="",'04 Prices'!E338=""),"",LN('04 Prices'!E338/'04 Prices'!E337))</f>
        <v/>
      </c>
      <c r="F337" s="25">
        <f>IF(OR($A337="",'04 Prices'!F337="",'04 Prices'!F338=""),"",LN('04 Prices'!F338/'04 Prices'!F337))</f>
        <v/>
      </c>
      <c r="G337" s="25">
        <f>IF(OR($A337="",'04 Prices'!G337="",'04 Prices'!G338=""),"",LN('04 Prices'!G338/'04 Prices'!G337))</f>
        <v/>
      </c>
      <c r="H337" s="25">
        <f>IF(OR($A337="",'04 Prices'!H337="",'04 Prices'!H338=""),"",LN('04 Prices'!H338/'04 Prices'!H337))</f>
        <v/>
      </c>
    </row>
    <row r="338">
      <c r="A338" s="23">
        <f>IF('04 Prices'!A339="","",'04 Prices'!A339)</f>
        <v/>
      </c>
      <c r="B338" s="25">
        <f>IF(OR($A338="",'04 Prices'!B338="",'04 Prices'!B339=""),"",LN('04 Prices'!B339/'04 Prices'!B338))</f>
        <v/>
      </c>
      <c r="C338" s="25">
        <f>IF(OR($A338="",'04 Prices'!C338="",'04 Prices'!C339=""),"",LN('04 Prices'!C339/'04 Prices'!C338))</f>
        <v/>
      </c>
      <c r="D338" s="25">
        <f>IF(OR($A338="",'04 Prices'!D338="",'04 Prices'!D339=""),"",LN('04 Prices'!D339/'04 Prices'!D338))</f>
        <v/>
      </c>
      <c r="E338" s="25">
        <f>IF(OR($A338="",'04 Prices'!E338="",'04 Prices'!E339=""),"",LN('04 Prices'!E339/'04 Prices'!E338))</f>
        <v/>
      </c>
      <c r="F338" s="25">
        <f>IF(OR($A338="",'04 Prices'!F338="",'04 Prices'!F339=""),"",LN('04 Prices'!F339/'04 Prices'!F338))</f>
        <v/>
      </c>
      <c r="G338" s="25">
        <f>IF(OR($A338="",'04 Prices'!G338="",'04 Prices'!G339=""),"",LN('04 Prices'!G339/'04 Prices'!G338))</f>
        <v/>
      </c>
      <c r="H338" s="25">
        <f>IF(OR($A338="",'04 Prices'!H338="",'04 Prices'!H339=""),"",LN('04 Prices'!H339/'04 Prices'!H338))</f>
        <v/>
      </c>
    </row>
    <row r="339">
      <c r="A339" s="23">
        <f>IF('04 Prices'!A340="","",'04 Prices'!A340)</f>
        <v/>
      </c>
      <c r="B339" s="25">
        <f>IF(OR($A339="",'04 Prices'!B339="",'04 Prices'!B340=""),"",LN('04 Prices'!B340/'04 Prices'!B339))</f>
        <v/>
      </c>
      <c r="C339" s="25">
        <f>IF(OR($A339="",'04 Prices'!C339="",'04 Prices'!C340=""),"",LN('04 Prices'!C340/'04 Prices'!C339))</f>
        <v/>
      </c>
      <c r="D339" s="25">
        <f>IF(OR($A339="",'04 Prices'!D339="",'04 Prices'!D340=""),"",LN('04 Prices'!D340/'04 Prices'!D339))</f>
        <v/>
      </c>
      <c r="E339" s="25">
        <f>IF(OR($A339="",'04 Prices'!E339="",'04 Prices'!E340=""),"",LN('04 Prices'!E340/'04 Prices'!E339))</f>
        <v/>
      </c>
      <c r="F339" s="25">
        <f>IF(OR($A339="",'04 Prices'!F339="",'04 Prices'!F340=""),"",LN('04 Prices'!F340/'04 Prices'!F339))</f>
        <v/>
      </c>
      <c r="G339" s="25">
        <f>IF(OR($A339="",'04 Prices'!G339="",'04 Prices'!G340=""),"",LN('04 Prices'!G340/'04 Prices'!G339))</f>
        <v/>
      </c>
      <c r="H339" s="25">
        <f>IF(OR($A339="",'04 Prices'!H339="",'04 Prices'!H340=""),"",LN('04 Prices'!H340/'04 Prices'!H339))</f>
        <v/>
      </c>
    </row>
    <row r="340">
      <c r="A340" s="23">
        <f>IF('04 Prices'!A341="","",'04 Prices'!A341)</f>
        <v/>
      </c>
      <c r="B340" s="25">
        <f>IF(OR($A340="",'04 Prices'!B340="",'04 Prices'!B341=""),"",LN('04 Prices'!B341/'04 Prices'!B340))</f>
        <v/>
      </c>
      <c r="C340" s="25">
        <f>IF(OR($A340="",'04 Prices'!C340="",'04 Prices'!C341=""),"",LN('04 Prices'!C341/'04 Prices'!C340))</f>
        <v/>
      </c>
      <c r="D340" s="25">
        <f>IF(OR($A340="",'04 Prices'!D340="",'04 Prices'!D341=""),"",LN('04 Prices'!D341/'04 Prices'!D340))</f>
        <v/>
      </c>
      <c r="E340" s="25">
        <f>IF(OR($A340="",'04 Prices'!E340="",'04 Prices'!E341=""),"",LN('04 Prices'!E341/'04 Prices'!E340))</f>
        <v/>
      </c>
      <c r="F340" s="25">
        <f>IF(OR($A340="",'04 Prices'!F340="",'04 Prices'!F341=""),"",LN('04 Prices'!F341/'04 Prices'!F340))</f>
        <v/>
      </c>
      <c r="G340" s="25">
        <f>IF(OR($A340="",'04 Prices'!G340="",'04 Prices'!G341=""),"",LN('04 Prices'!G341/'04 Prices'!G340))</f>
        <v/>
      </c>
      <c r="H340" s="25">
        <f>IF(OR($A340="",'04 Prices'!H340="",'04 Prices'!H341=""),"",LN('04 Prices'!H341/'04 Prices'!H340))</f>
        <v/>
      </c>
    </row>
    <row r="341">
      <c r="A341" s="23">
        <f>IF('04 Prices'!A342="","",'04 Prices'!A342)</f>
        <v/>
      </c>
      <c r="B341" s="25">
        <f>IF(OR($A341="",'04 Prices'!B341="",'04 Prices'!B342=""),"",LN('04 Prices'!B342/'04 Prices'!B341))</f>
        <v/>
      </c>
      <c r="C341" s="25">
        <f>IF(OR($A341="",'04 Prices'!C341="",'04 Prices'!C342=""),"",LN('04 Prices'!C342/'04 Prices'!C341))</f>
        <v/>
      </c>
      <c r="D341" s="25">
        <f>IF(OR($A341="",'04 Prices'!D341="",'04 Prices'!D342=""),"",LN('04 Prices'!D342/'04 Prices'!D341))</f>
        <v/>
      </c>
      <c r="E341" s="25">
        <f>IF(OR($A341="",'04 Prices'!E341="",'04 Prices'!E342=""),"",LN('04 Prices'!E342/'04 Prices'!E341))</f>
        <v/>
      </c>
      <c r="F341" s="25">
        <f>IF(OR($A341="",'04 Prices'!F341="",'04 Prices'!F342=""),"",LN('04 Prices'!F342/'04 Prices'!F341))</f>
        <v/>
      </c>
      <c r="G341" s="25">
        <f>IF(OR($A341="",'04 Prices'!G341="",'04 Prices'!G342=""),"",LN('04 Prices'!G342/'04 Prices'!G341))</f>
        <v/>
      </c>
      <c r="H341" s="25">
        <f>IF(OR($A341="",'04 Prices'!H341="",'04 Prices'!H342=""),"",LN('04 Prices'!H342/'04 Prices'!H341))</f>
        <v/>
      </c>
    </row>
    <row r="342">
      <c r="A342" s="23">
        <f>IF('04 Prices'!A343="","",'04 Prices'!A343)</f>
        <v/>
      </c>
      <c r="B342" s="25">
        <f>IF(OR($A342="",'04 Prices'!B342="",'04 Prices'!B343=""),"",LN('04 Prices'!B343/'04 Prices'!B342))</f>
        <v/>
      </c>
      <c r="C342" s="25">
        <f>IF(OR($A342="",'04 Prices'!C342="",'04 Prices'!C343=""),"",LN('04 Prices'!C343/'04 Prices'!C342))</f>
        <v/>
      </c>
      <c r="D342" s="25">
        <f>IF(OR($A342="",'04 Prices'!D342="",'04 Prices'!D343=""),"",LN('04 Prices'!D343/'04 Prices'!D342))</f>
        <v/>
      </c>
      <c r="E342" s="25">
        <f>IF(OR($A342="",'04 Prices'!E342="",'04 Prices'!E343=""),"",LN('04 Prices'!E343/'04 Prices'!E342))</f>
        <v/>
      </c>
      <c r="F342" s="25">
        <f>IF(OR($A342="",'04 Prices'!F342="",'04 Prices'!F343=""),"",LN('04 Prices'!F343/'04 Prices'!F342))</f>
        <v/>
      </c>
      <c r="G342" s="25">
        <f>IF(OR($A342="",'04 Prices'!G342="",'04 Prices'!G343=""),"",LN('04 Prices'!G343/'04 Prices'!G342))</f>
        <v/>
      </c>
      <c r="H342" s="25">
        <f>IF(OR($A342="",'04 Prices'!H342="",'04 Prices'!H343=""),"",LN('04 Prices'!H343/'04 Prices'!H342))</f>
        <v/>
      </c>
    </row>
    <row r="343">
      <c r="A343" s="23">
        <f>IF('04 Prices'!A344="","",'04 Prices'!A344)</f>
        <v/>
      </c>
      <c r="B343" s="25">
        <f>IF(OR($A343="",'04 Prices'!B343="",'04 Prices'!B344=""),"",LN('04 Prices'!B344/'04 Prices'!B343))</f>
        <v/>
      </c>
      <c r="C343" s="25">
        <f>IF(OR($A343="",'04 Prices'!C343="",'04 Prices'!C344=""),"",LN('04 Prices'!C344/'04 Prices'!C343))</f>
        <v/>
      </c>
      <c r="D343" s="25">
        <f>IF(OR($A343="",'04 Prices'!D343="",'04 Prices'!D344=""),"",LN('04 Prices'!D344/'04 Prices'!D343))</f>
        <v/>
      </c>
      <c r="E343" s="25">
        <f>IF(OR($A343="",'04 Prices'!E343="",'04 Prices'!E344=""),"",LN('04 Prices'!E344/'04 Prices'!E343))</f>
        <v/>
      </c>
      <c r="F343" s="25">
        <f>IF(OR($A343="",'04 Prices'!F343="",'04 Prices'!F344=""),"",LN('04 Prices'!F344/'04 Prices'!F343))</f>
        <v/>
      </c>
      <c r="G343" s="25">
        <f>IF(OR($A343="",'04 Prices'!G343="",'04 Prices'!G344=""),"",LN('04 Prices'!G344/'04 Prices'!G343))</f>
        <v/>
      </c>
      <c r="H343" s="25">
        <f>IF(OR($A343="",'04 Prices'!H343="",'04 Prices'!H344=""),"",LN('04 Prices'!H344/'04 Prices'!H343))</f>
        <v/>
      </c>
    </row>
    <row r="344">
      <c r="A344" s="23">
        <f>IF('04 Prices'!A345="","",'04 Prices'!A345)</f>
        <v/>
      </c>
      <c r="B344" s="25">
        <f>IF(OR($A344="",'04 Prices'!B344="",'04 Prices'!B345=""),"",LN('04 Prices'!B345/'04 Prices'!B344))</f>
        <v/>
      </c>
      <c r="C344" s="25">
        <f>IF(OR($A344="",'04 Prices'!C344="",'04 Prices'!C345=""),"",LN('04 Prices'!C345/'04 Prices'!C344))</f>
        <v/>
      </c>
      <c r="D344" s="25">
        <f>IF(OR($A344="",'04 Prices'!D344="",'04 Prices'!D345=""),"",LN('04 Prices'!D345/'04 Prices'!D344))</f>
        <v/>
      </c>
      <c r="E344" s="25">
        <f>IF(OR($A344="",'04 Prices'!E344="",'04 Prices'!E345=""),"",LN('04 Prices'!E345/'04 Prices'!E344))</f>
        <v/>
      </c>
      <c r="F344" s="25">
        <f>IF(OR($A344="",'04 Prices'!F344="",'04 Prices'!F345=""),"",LN('04 Prices'!F345/'04 Prices'!F344))</f>
        <v/>
      </c>
      <c r="G344" s="25">
        <f>IF(OR($A344="",'04 Prices'!G344="",'04 Prices'!G345=""),"",LN('04 Prices'!G345/'04 Prices'!G344))</f>
        <v/>
      </c>
      <c r="H344" s="25">
        <f>IF(OR($A344="",'04 Prices'!H344="",'04 Prices'!H345=""),"",LN('04 Prices'!H345/'04 Prices'!H344))</f>
        <v/>
      </c>
    </row>
    <row r="345">
      <c r="A345" s="23">
        <f>IF('04 Prices'!A346="","",'04 Prices'!A346)</f>
        <v/>
      </c>
      <c r="B345" s="25">
        <f>IF(OR($A345="",'04 Prices'!B345="",'04 Prices'!B346=""),"",LN('04 Prices'!B346/'04 Prices'!B345))</f>
        <v/>
      </c>
      <c r="C345" s="25">
        <f>IF(OR($A345="",'04 Prices'!C345="",'04 Prices'!C346=""),"",LN('04 Prices'!C346/'04 Prices'!C345))</f>
        <v/>
      </c>
      <c r="D345" s="25">
        <f>IF(OR($A345="",'04 Prices'!D345="",'04 Prices'!D346=""),"",LN('04 Prices'!D346/'04 Prices'!D345))</f>
        <v/>
      </c>
      <c r="E345" s="25">
        <f>IF(OR($A345="",'04 Prices'!E345="",'04 Prices'!E346=""),"",LN('04 Prices'!E346/'04 Prices'!E345))</f>
        <v/>
      </c>
      <c r="F345" s="25">
        <f>IF(OR($A345="",'04 Prices'!F345="",'04 Prices'!F346=""),"",LN('04 Prices'!F346/'04 Prices'!F345))</f>
        <v/>
      </c>
      <c r="G345" s="25">
        <f>IF(OR($A345="",'04 Prices'!G345="",'04 Prices'!G346=""),"",LN('04 Prices'!G346/'04 Prices'!G345))</f>
        <v/>
      </c>
      <c r="H345" s="25">
        <f>IF(OR($A345="",'04 Prices'!H345="",'04 Prices'!H346=""),"",LN('04 Prices'!H346/'04 Prices'!H345))</f>
        <v/>
      </c>
    </row>
    <row r="346">
      <c r="A346" s="23">
        <f>IF('04 Prices'!A347="","",'04 Prices'!A347)</f>
        <v/>
      </c>
      <c r="B346" s="25">
        <f>IF(OR($A346="",'04 Prices'!B346="",'04 Prices'!B347=""),"",LN('04 Prices'!B347/'04 Prices'!B346))</f>
        <v/>
      </c>
      <c r="C346" s="25">
        <f>IF(OR($A346="",'04 Prices'!C346="",'04 Prices'!C347=""),"",LN('04 Prices'!C347/'04 Prices'!C346))</f>
        <v/>
      </c>
      <c r="D346" s="25">
        <f>IF(OR($A346="",'04 Prices'!D346="",'04 Prices'!D347=""),"",LN('04 Prices'!D347/'04 Prices'!D346))</f>
        <v/>
      </c>
      <c r="E346" s="25">
        <f>IF(OR($A346="",'04 Prices'!E346="",'04 Prices'!E347=""),"",LN('04 Prices'!E347/'04 Prices'!E346))</f>
        <v/>
      </c>
      <c r="F346" s="25">
        <f>IF(OR($A346="",'04 Prices'!F346="",'04 Prices'!F347=""),"",LN('04 Prices'!F347/'04 Prices'!F346))</f>
        <v/>
      </c>
      <c r="G346" s="25">
        <f>IF(OR($A346="",'04 Prices'!G346="",'04 Prices'!G347=""),"",LN('04 Prices'!G347/'04 Prices'!G346))</f>
        <v/>
      </c>
      <c r="H346" s="25">
        <f>IF(OR($A346="",'04 Prices'!H346="",'04 Prices'!H347=""),"",LN('04 Prices'!H347/'04 Prices'!H346))</f>
        <v/>
      </c>
    </row>
    <row r="347">
      <c r="A347" s="23">
        <f>IF('04 Prices'!A348="","",'04 Prices'!A348)</f>
        <v/>
      </c>
      <c r="B347" s="25">
        <f>IF(OR($A347="",'04 Prices'!B347="",'04 Prices'!B348=""),"",LN('04 Prices'!B348/'04 Prices'!B347))</f>
        <v/>
      </c>
      <c r="C347" s="25">
        <f>IF(OR($A347="",'04 Prices'!C347="",'04 Prices'!C348=""),"",LN('04 Prices'!C348/'04 Prices'!C347))</f>
        <v/>
      </c>
      <c r="D347" s="25">
        <f>IF(OR($A347="",'04 Prices'!D347="",'04 Prices'!D348=""),"",LN('04 Prices'!D348/'04 Prices'!D347))</f>
        <v/>
      </c>
      <c r="E347" s="25">
        <f>IF(OR($A347="",'04 Prices'!E347="",'04 Prices'!E348=""),"",LN('04 Prices'!E348/'04 Prices'!E347))</f>
        <v/>
      </c>
      <c r="F347" s="25">
        <f>IF(OR($A347="",'04 Prices'!F347="",'04 Prices'!F348=""),"",LN('04 Prices'!F348/'04 Prices'!F347))</f>
        <v/>
      </c>
      <c r="G347" s="25">
        <f>IF(OR($A347="",'04 Prices'!G347="",'04 Prices'!G348=""),"",LN('04 Prices'!G348/'04 Prices'!G347))</f>
        <v/>
      </c>
      <c r="H347" s="25">
        <f>IF(OR($A347="",'04 Prices'!H347="",'04 Prices'!H348=""),"",LN('04 Prices'!H348/'04 Prices'!H347))</f>
        <v/>
      </c>
    </row>
    <row r="348">
      <c r="A348" s="23">
        <f>IF('04 Prices'!A349="","",'04 Prices'!A349)</f>
        <v/>
      </c>
      <c r="B348" s="25">
        <f>IF(OR($A348="",'04 Prices'!B348="",'04 Prices'!B349=""),"",LN('04 Prices'!B349/'04 Prices'!B348))</f>
        <v/>
      </c>
      <c r="C348" s="25">
        <f>IF(OR($A348="",'04 Prices'!C348="",'04 Prices'!C349=""),"",LN('04 Prices'!C349/'04 Prices'!C348))</f>
        <v/>
      </c>
      <c r="D348" s="25">
        <f>IF(OR($A348="",'04 Prices'!D348="",'04 Prices'!D349=""),"",LN('04 Prices'!D349/'04 Prices'!D348))</f>
        <v/>
      </c>
      <c r="E348" s="25">
        <f>IF(OR($A348="",'04 Prices'!E348="",'04 Prices'!E349=""),"",LN('04 Prices'!E349/'04 Prices'!E348))</f>
        <v/>
      </c>
      <c r="F348" s="25">
        <f>IF(OR($A348="",'04 Prices'!F348="",'04 Prices'!F349=""),"",LN('04 Prices'!F349/'04 Prices'!F348))</f>
        <v/>
      </c>
      <c r="G348" s="25">
        <f>IF(OR($A348="",'04 Prices'!G348="",'04 Prices'!G349=""),"",LN('04 Prices'!G349/'04 Prices'!G348))</f>
        <v/>
      </c>
      <c r="H348" s="25">
        <f>IF(OR($A348="",'04 Prices'!H348="",'04 Prices'!H349=""),"",LN('04 Prices'!H349/'04 Prices'!H348))</f>
        <v/>
      </c>
    </row>
    <row r="349">
      <c r="A349" s="23">
        <f>IF('04 Prices'!A350="","",'04 Prices'!A350)</f>
        <v/>
      </c>
      <c r="B349" s="25">
        <f>IF(OR($A349="",'04 Prices'!B349="",'04 Prices'!B350=""),"",LN('04 Prices'!B350/'04 Prices'!B349))</f>
        <v/>
      </c>
      <c r="C349" s="25">
        <f>IF(OR($A349="",'04 Prices'!C349="",'04 Prices'!C350=""),"",LN('04 Prices'!C350/'04 Prices'!C349))</f>
        <v/>
      </c>
      <c r="D349" s="25">
        <f>IF(OR($A349="",'04 Prices'!D349="",'04 Prices'!D350=""),"",LN('04 Prices'!D350/'04 Prices'!D349))</f>
        <v/>
      </c>
      <c r="E349" s="25">
        <f>IF(OR($A349="",'04 Prices'!E349="",'04 Prices'!E350=""),"",LN('04 Prices'!E350/'04 Prices'!E349))</f>
        <v/>
      </c>
      <c r="F349" s="25">
        <f>IF(OR($A349="",'04 Prices'!F349="",'04 Prices'!F350=""),"",LN('04 Prices'!F350/'04 Prices'!F349))</f>
        <v/>
      </c>
      <c r="G349" s="25">
        <f>IF(OR($A349="",'04 Prices'!G349="",'04 Prices'!G350=""),"",LN('04 Prices'!G350/'04 Prices'!G349))</f>
        <v/>
      </c>
      <c r="H349" s="25">
        <f>IF(OR($A349="",'04 Prices'!H349="",'04 Prices'!H350=""),"",LN('04 Prices'!H350/'04 Prices'!H349))</f>
        <v/>
      </c>
    </row>
    <row r="350">
      <c r="A350" s="23">
        <f>IF('04 Prices'!A351="","",'04 Prices'!A351)</f>
        <v/>
      </c>
      <c r="B350" s="25">
        <f>IF(OR($A350="",'04 Prices'!B350="",'04 Prices'!B351=""),"",LN('04 Prices'!B351/'04 Prices'!B350))</f>
        <v/>
      </c>
      <c r="C350" s="25">
        <f>IF(OR($A350="",'04 Prices'!C350="",'04 Prices'!C351=""),"",LN('04 Prices'!C351/'04 Prices'!C350))</f>
        <v/>
      </c>
      <c r="D350" s="25">
        <f>IF(OR($A350="",'04 Prices'!D350="",'04 Prices'!D351=""),"",LN('04 Prices'!D351/'04 Prices'!D350))</f>
        <v/>
      </c>
      <c r="E350" s="25">
        <f>IF(OR($A350="",'04 Prices'!E350="",'04 Prices'!E351=""),"",LN('04 Prices'!E351/'04 Prices'!E350))</f>
        <v/>
      </c>
      <c r="F350" s="25">
        <f>IF(OR($A350="",'04 Prices'!F350="",'04 Prices'!F351=""),"",LN('04 Prices'!F351/'04 Prices'!F350))</f>
        <v/>
      </c>
      <c r="G350" s="25">
        <f>IF(OR($A350="",'04 Prices'!G350="",'04 Prices'!G351=""),"",LN('04 Prices'!G351/'04 Prices'!G350))</f>
        <v/>
      </c>
      <c r="H350" s="25">
        <f>IF(OR($A350="",'04 Prices'!H350="",'04 Prices'!H351=""),"",LN('04 Prices'!H351/'04 Prices'!H350))</f>
        <v/>
      </c>
    </row>
    <row r="351">
      <c r="A351" s="23">
        <f>IF('04 Prices'!A352="","",'04 Prices'!A352)</f>
        <v/>
      </c>
      <c r="B351" s="25">
        <f>IF(OR($A351="",'04 Prices'!B351="",'04 Prices'!B352=""),"",LN('04 Prices'!B352/'04 Prices'!B351))</f>
        <v/>
      </c>
      <c r="C351" s="25">
        <f>IF(OR($A351="",'04 Prices'!C351="",'04 Prices'!C352=""),"",LN('04 Prices'!C352/'04 Prices'!C351))</f>
        <v/>
      </c>
      <c r="D351" s="25">
        <f>IF(OR($A351="",'04 Prices'!D351="",'04 Prices'!D352=""),"",LN('04 Prices'!D352/'04 Prices'!D351))</f>
        <v/>
      </c>
      <c r="E351" s="25">
        <f>IF(OR($A351="",'04 Prices'!E351="",'04 Prices'!E352=""),"",LN('04 Prices'!E352/'04 Prices'!E351))</f>
        <v/>
      </c>
      <c r="F351" s="25">
        <f>IF(OR($A351="",'04 Prices'!F351="",'04 Prices'!F352=""),"",LN('04 Prices'!F352/'04 Prices'!F351))</f>
        <v/>
      </c>
      <c r="G351" s="25">
        <f>IF(OR($A351="",'04 Prices'!G351="",'04 Prices'!G352=""),"",LN('04 Prices'!G352/'04 Prices'!G351))</f>
        <v/>
      </c>
      <c r="H351" s="25">
        <f>IF(OR($A351="",'04 Prices'!H351="",'04 Prices'!H352=""),"",LN('04 Prices'!H352/'04 Prices'!H351))</f>
        <v/>
      </c>
    </row>
    <row r="352">
      <c r="A352" s="23">
        <f>IF('04 Prices'!A353="","",'04 Prices'!A353)</f>
        <v/>
      </c>
      <c r="B352" s="25">
        <f>IF(OR($A352="",'04 Prices'!B352="",'04 Prices'!B353=""),"",LN('04 Prices'!B353/'04 Prices'!B352))</f>
        <v/>
      </c>
      <c r="C352" s="25">
        <f>IF(OR($A352="",'04 Prices'!C352="",'04 Prices'!C353=""),"",LN('04 Prices'!C353/'04 Prices'!C352))</f>
        <v/>
      </c>
      <c r="D352" s="25">
        <f>IF(OR($A352="",'04 Prices'!D352="",'04 Prices'!D353=""),"",LN('04 Prices'!D353/'04 Prices'!D352))</f>
        <v/>
      </c>
      <c r="E352" s="25">
        <f>IF(OR($A352="",'04 Prices'!E352="",'04 Prices'!E353=""),"",LN('04 Prices'!E353/'04 Prices'!E352))</f>
        <v/>
      </c>
      <c r="F352" s="25">
        <f>IF(OR($A352="",'04 Prices'!F352="",'04 Prices'!F353=""),"",LN('04 Prices'!F353/'04 Prices'!F352))</f>
        <v/>
      </c>
      <c r="G352" s="25">
        <f>IF(OR($A352="",'04 Prices'!G352="",'04 Prices'!G353=""),"",LN('04 Prices'!G353/'04 Prices'!G352))</f>
        <v/>
      </c>
      <c r="H352" s="25">
        <f>IF(OR($A352="",'04 Prices'!H352="",'04 Prices'!H353=""),"",LN('04 Prices'!H353/'04 Prices'!H352))</f>
        <v/>
      </c>
    </row>
    <row r="353">
      <c r="A353" s="23">
        <f>IF('04 Prices'!A354="","",'04 Prices'!A354)</f>
        <v/>
      </c>
      <c r="B353" s="25">
        <f>IF(OR($A353="",'04 Prices'!B353="",'04 Prices'!B354=""),"",LN('04 Prices'!B354/'04 Prices'!B353))</f>
        <v/>
      </c>
      <c r="C353" s="25">
        <f>IF(OR($A353="",'04 Prices'!C353="",'04 Prices'!C354=""),"",LN('04 Prices'!C354/'04 Prices'!C353))</f>
        <v/>
      </c>
      <c r="D353" s="25">
        <f>IF(OR($A353="",'04 Prices'!D353="",'04 Prices'!D354=""),"",LN('04 Prices'!D354/'04 Prices'!D353))</f>
        <v/>
      </c>
      <c r="E353" s="25">
        <f>IF(OR($A353="",'04 Prices'!E353="",'04 Prices'!E354=""),"",LN('04 Prices'!E354/'04 Prices'!E353))</f>
        <v/>
      </c>
      <c r="F353" s="25">
        <f>IF(OR($A353="",'04 Prices'!F353="",'04 Prices'!F354=""),"",LN('04 Prices'!F354/'04 Prices'!F353))</f>
        <v/>
      </c>
      <c r="G353" s="25">
        <f>IF(OR($A353="",'04 Prices'!G353="",'04 Prices'!G354=""),"",LN('04 Prices'!G354/'04 Prices'!G353))</f>
        <v/>
      </c>
      <c r="H353" s="25">
        <f>IF(OR($A353="",'04 Prices'!H353="",'04 Prices'!H354=""),"",LN('04 Prices'!H354/'04 Prices'!H353))</f>
        <v/>
      </c>
    </row>
    <row r="354">
      <c r="A354" s="23">
        <f>IF('04 Prices'!A355="","",'04 Prices'!A355)</f>
        <v/>
      </c>
      <c r="B354" s="25">
        <f>IF(OR($A354="",'04 Prices'!B354="",'04 Prices'!B355=""),"",LN('04 Prices'!B355/'04 Prices'!B354))</f>
        <v/>
      </c>
      <c r="C354" s="25">
        <f>IF(OR($A354="",'04 Prices'!C354="",'04 Prices'!C355=""),"",LN('04 Prices'!C355/'04 Prices'!C354))</f>
        <v/>
      </c>
      <c r="D354" s="25">
        <f>IF(OR($A354="",'04 Prices'!D354="",'04 Prices'!D355=""),"",LN('04 Prices'!D355/'04 Prices'!D354))</f>
        <v/>
      </c>
      <c r="E354" s="25">
        <f>IF(OR($A354="",'04 Prices'!E354="",'04 Prices'!E355=""),"",LN('04 Prices'!E355/'04 Prices'!E354))</f>
        <v/>
      </c>
      <c r="F354" s="25">
        <f>IF(OR($A354="",'04 Prices'!F354="",'04 Prices'!F355=""),"",LN('04 Prices'!F355/'04 Prices'!F354))</f>
        <v/>
      </c>
      <c r="G354" s="25">
        <f>IF(OR($A354="",'04 Prices'!G354="",'04 Prices'!G355=""),"",LN('04 Prices'!G355/'04 Prices'!G354))</f>
        <v/>
      </c>
      <c r="H354" s="25">
        <f>IF(OR($A354="",'04 Prices'!H354="",'04 Prices'!H355=""),"",LN('04 Prices'!H355/'04 Prices'!H354))</f>
        <v/>
      </c>
    </row>
    <row r="355">
      <c r="A355" s="23">
        <f>IF('04 Prices'!A356="","",'04 Prices'!A356)</f>
        <v/>
      </c>
      <c r="B355" s="25">
        <f>IF(OR($A355="",'04 Prices'!B355="",'04 Prices'!B356=""),"",LN('04 Prices'!B356/'04 Prices'!B355))</f>
        <v/>
      </c>
      <c r="C355" s="25">
        <f>IF(OR($A355="",'04 Prices'!C355="",'04 Prices'!C356=""),"",LN('04 Prices'!C356/'04 Prices'!C355))</f>
        <v/>
      </c>
      <c r="D355" s="25">
        <f>IF(OR($A355="",'04 Prices'!D355="",'04 Prices'!D356=""),"",LN('04 Prices'!D356/'04 Prices'!D355))</f>
        <v/>
      </c>
      <c r="E355" s="25">
        <f>IF(OR($A355="",'04 Prices'!E355="",'04 Prices'!E356=""),"",LN('04 Prices'!E356/'04 Prices'!E355))</f>
        <v/>
      </c>
      <c r="F355" s="25">
        <f>IF(OR($A355="",'04 Prices'!F355="",'04 Prices'!F356=""),"",LN('04 Prices'!F356/'04 Prices'!F355))</f>
        <v/>
      </c>
      <c r="G355" s="25">
        <f>IF(OR($A355="",'04 Prices'!G355="",'04 Prices'!G356=""),"",LN('04 Prices'!G356/'04 Prices'!G355))</f>
        <v/>
      </c>
      <c r="H355" s="25">
        <f>IF(OR($A355="",'04 Prices'!H355="",'04 Prices'!H356=""),"",LN('04 Prices'!H356/'04 Prices'!H355))</f>
        <v/>
      </c>
    </row>
    <row r="356">
      <c r="A356" s="23">
        <f>IF('04 Prices'!A357="","",'04 Prices'!A357)</f>
        <v/>
      </c>
      <c r="B356" s="25">
        <f>IF(OR($A356="",'04 Prices'!B356="",'04 Prices'!B357=""),"",LN('04 Prices'!B357/'04 Prices'!B356))</f>
        <v/>
      </c>
      <c r="C356" s="25">
        <f>IF(OR($A356="",'04 Prices'!C356="",'04 Prices'!C357=""),"",LN('04 Prices'!C357/'04 Prices'!C356))</f>
        <v/>
      </c>
      <c r="D356" s="25">
        <f>IF(OR($A356="",'04 Prices'!D356="",'04 Prices'!D357=""),"",LN('04 Prices'!D357/'04 Prices'!D356))</f>
        <v/>
      </c>
      <c r="E356" s="25">
        <f>IF(OR($A356="",'04 Prices'!E356="",'04 Prices'!E357=""),"",LN('04 Prices'!E357/'04 Prices'!E356))</f>
        <v/>
      </c>
      <c r="F356" s="25">
        <f>IF(OR($A356="",'04 Prices'!F356="",'04 Prices'!F357=""),"",LN('04 Prices'!F357/'04 Prices'!F356))</f>
        <v/>
      </c>
      <c r="G356" s="25">
        <f>IF(OR($A356="",'04 Prices'!G356="",'04 Prices'!G357=""),"",LN('04 Prices'!G357/'04 Prices'!G356))</f>
        <v/>
      </c>
      <c r="H356" s="25">
        <f>IF(OR($A356="",'04 Prices'!H356="",'04 Prices'!H357=""),"",LN('04 Prices'!H357/'04 Prices'!H356))</f>
        <v/>
      </c>
    </row>
    <row r="357">
      <c r="A357" s="23">
        <f>IF('04 Prices'!A358="","",'04 Prices'!A358)</f>
        <v/>
      </c>
      <c r="B357" s="25">
        <f>IF(OR($A357="",'04 Prices'!B357="",'04 Prices'!B358=""),"",LN('04 Prices'!B358/'04 Prices'!B357))</f>
        <v/>
      </c>
      <c r="C357" s="25">
        <f>IF(OR($A357="",'04 Prices'!C357="",'04 Prices'!C358=""),"",LN('04 Prices'!C358/'04 Prices'!C357))</f>
        <v/>
      </c>
      <c r="D357" s="25">
        <f>IF(OR($A357="",'04 Prices'!D357="",'04 Prices'!D358=""),"",LN('04 Prices'!D358/'04 Prices'!D357))</f>
        <v/>
      </c>
      <c r="E357" s="25">
        <f>IF(OR($A357="",'04 Prices'!E357="",'04 Prices'!E358=""),"",LN('04 Prices'!E358/'04 Prices'!E357))</f>
        <v/>
      </c>
      <c r="F357" s="25">
        <f>IF(OR($A357="",'04 Prices'!F357="",'04 Prices'!F358=""),"",LN('04 Prices'!F358/'04 Prices'!F357))</f>
        <v/>
      </c>
      <c r="G357" s="25">
        <f>IF(OR($A357="",'04 Prices'!G357="",'04 Prices'!G358=""),"",LN('04 Prices'!G358/'04 Prices'!G357))</f>
        <v/>
      </c>
      <c r="H357" s="25">
        <f>IF(OR($A357="",'04 Prices'!H357="",'04 Prices'!H358=""),"",LN('04 Prices'!H358/'04 Prices'!H357))</f>
        <v/>
      </c>
    </row>
    <row r="358">
      <c r="A358" s="23">
        <f>IF('04 Prices'!A359="","",'04 Prices'!A359)</f>
        <v/>
      </c>
      <c r="B358" s="25">
        <f>IF(OR($A358="",'04 Prices'!B358="",'04 Prices'!B359=""),"",LN('04 Prices'!B359/'04 Prices'!B358))</f>
        <v/>
      </c>
      <c r="C358" s="25">
        <f>IF(OR($A358="",'04 Prices'!C358="",'04 Prices'!C359=""),"",LN('04 Prices'!C359/'04 Prices'!C358))</f>
        <v/>
      </c>
      <c r="D358" s="25">
        <f>IF(OR($A358="",'04 Prices'!D358="",'04 Prices'!D359=""),"",LN('04 Prices'!D359/'04 Prices'!D358))</f>
        <v/>
      </c>
      <c r="E358" s="25">
        <f>IF(OR($A358="",'04 Prices'!E358="",'04 Prices'!E359=""),"",LN('04 Prices'!E359/'04 Prices'!E358))</f>
        <v/>
      </c>
      <c r="F358" s="25">
        <f>IF(OR($A358="",'04 Prices'!F358="",'04 Prices'!F359=""),"",LN('04 Prices'!F359/'04 Prices'!F358))</f>
        <v/>
      </c>
      <c r="G358" s="25">
        <f>IF(OR($A358="",'04 Prices'!G358="",'04 Prices'!G359=""),"",LN('04 Prices'!G359/'04 Prices'!G358))</f>
        <v/>
      </c>
      <c r="H358" s="25">
        <f>IF(OR($A358="",'04 Prices'!H358="",'04 Prices'!H359=""),"",LN('04 Prices'!H359/'04 Prices'!H358))</f>
        <v/>
      </c>
    </row>
    <row r="359">
      <c r="A359" s="23">
        <f>IF('04 Prices'!A360="","",'04 Prices'!A360)</f>
        <v/>
      </c>
      <c r="B359" s="25">
        <f>IF(OR($A359="",'04 Prices'!B359="",'04 Prices'!B360=""),"",LN('04 Prices'!B360/'04 Prices'!B359))</f>
        <v/>
      </c>
      <c r="C359" s="25">
        <f>IF(OR($A359="",'04 Prices'!C359="",'04 Prices'!C360=""),"",LN('04 Prices'!C360/'04 Prices'!C359))</f>
        <v/>
      </c>
      <c r="D359" s="25">
        <f>IF(OR($A359="",'04 Prices'!D359="",'04 Prices'!D360=""),"",LN('04 Prices'!D360/'04 Prices'!D359))</f>
        <v/>
      </c>
      <c r="E359" s="25">
        <f>IF(OR($A359="",'04 Prices'!E359="",'04 Prices'!E360=""),"",LN('04 Prices'!E360/'04 Prices'!E359))</f>
        <v/>
      </c>
      <c r="F359" s="25">
        <f>IF(OR($A359="",'04 Prices'!F359="",'04 Prices'!F360=""),"",LN('04 Prices'!F360/'04 Prices'!F359))</f>
        <v/>
      </c>
      <c r="G359" s="25">
        <f>IF(OR($A359="",'04 Prices'!G359="",'04 Prices'!G360=""),"",LN('04 Prices'!G360/'04 Prices'!G359))</f>
        <v/>
      </c>
      <c r="H359" s="25">
        <f>IF(OR($A359="",'04 Prices'!H359="",'04 Prices'!H360=""),"",LN('04 Prices'!H360/'04 Prices'!H359))</f>
        <v/>
      </c>
    </row>
    <row r="360">
      <c r="A360" s="23">
        <f>IF('04 Prices'!A361="","",'04 Prices'!A361)</f>
        <v/>
      </c>
      <c r="B360" s="25">
        <f>IF(OR($A360="",'04 Prices'!B360="",'04 Prices'!B361=""),"",LN('04 Prices'!B361/'04 Prices'!B360))</f>
        <v/>
      </c>
      <c r="C360" s="25">
        <f>IF(OR($A360="",'04 Prices'!C360="",'04 Prices'!C361=""),"",LN('04 Prices'!C361/'04 Prices'!C360))</f>
        <v/>
      </c>
      <c r="D360" s="25">
        <f>IF(OR($A360="",'04 Prices'!D360="",'04 Prices'!D361=""),"",LN('04 Prices'!D361/'04 Prices'!D360))</f>
        <v/>
      </c>
      <c r="E360" s="25">
        <f>IF(OR($A360="",'04 Prices'!E360="",'04 Prices'!E361=""),"",LN('04 Prices'!E361/'04 Prices'!E360))</f>
        <v/>
      </c>
      <c r="F360" s="25">
        <f>IF(OR($A360="",'04 Prices'!F360="",'04 Prices'!F361=""),"",LN('04 Prices'!F361/'04 Prices'!F360))</f>
        <v/>
      </c>
      <c r="G360" s="25">
        <f>IF(OR($A360="",'04 Prices'!G360="",'04 Prices'!G361=""),"",LN('04 Prices'!G361/'04 Prices'!G360))</f>
        <v/>
      </c>
      <c r="H360" s="25">
        <f>IF(OR($A360="",'04 Prices'!H360="",'04 Prices'!H361=""),"",LN('04 Prices'!H361/'04 Prices'!H360))</f>
        <v/>
      </c>
    </row>
    <row r="361">
      <c r="A361" s="23">
        <f>IF('04 Prices'!A362="","",'04 Prices'!A362)</f>
        <v/>
      </c>
      <c r="B361" s="25">
        <f>IF(OR($A361="",'04 Prices'!B361="",'04 Prices'!B362=""),"",LN('04 Prices'!B362/'04 Prices'!B361))</f>
        <v/>
      </c>
      <c r="C361" s="25">
        <f>IF(OR($A361="",'04 Prices'!C361="",'04 Prices'!C362=""),"",LN('04 Prices'!C362/'04 Prices'!C361))</f>
        <v/>
      </c>
      <c r="D361" s="25">
        <f>IF(OR($A361="",'04 Prices'!D361="",'04 Prices'!D362=""),"",LN('04 Prices'!D362/'04 Prices'!D361))</f>
        <v/>
      </c>
      <c r="E361" s="25">
        <f>IF(OR($A361="",'04 Prices'!E361="",'04 Prices'!E362=""),"",LN('04 Prices'!E362/'04 Prices'!E361))</f>
        <v/>
      </c>
      <c r="F361" s="25">
        <f>IF(OR($A361="",'04 Prices'!F361="",'04 Prices'!F362=""),"",LN('04 Prices'!F362/'04 Prices'!F361))</f>
        <v/>
      </c>
      <c r="G361" s="25">
        <f>IF(OR($A361="",'04 Prices'!G361="",'04 Prices'!G362=""),"",LN('04 Prices'!G362/'04 Prices'!G361))</f>
        <v/>
      </c>
      <c r="H361" s="25">
        <f>IF(OR($A361="",'04 Prices'!H361="",'04 Prices'!H362=""),"",LN('04 Prices'!H362/'04 Prices'!H361))</f>
        <v/>
      </c>
    </row>
    <row r="362">
      <c r="A362" s="23">
        <f>IF('04 Prices'!A363="","",'04 Prices'!A363)</f>
        <v/>
      </c>
      <c r="B362" s="25">
        <f>IF(OR($A362="",'04 Prices'!B362="",'04 Prices'!B363=""),"",LN('04 Prices'!B363/'04 Prices'!B362))</f>
        <v/>
      </c>
      <c r="C362" s="25">
        <f>IF(OR($A362="",'04 Prices'!C362="",'04 Prices'!C363=""),"",LN('04 Prices'!C363/'04 Prices'!C362))</f>
        <v/>
      </c>
      <c r="D362" s="25">
        <f>IF(OR($A362="",'04 Prices'!D362="",'04 Prices'!D363=""),"",LN('04 Prices'!D363/'04 Prices'!D362))</f>
        <v/>
      </c>
      <c r="E362" s="25">
        <f>IF(OR($A362="",'04 Prices'!E362="",'04 Prices'!E363=""),"",LN('04 Prices'!E363/'04 Prices'!E362))</f>
        <v/>
      </c>
      <c r="F362" s="25">
        <f>IF(OR($A362="",'04 Prices'!F362="",'04 Prices'!F363=""),"",LN('04 Prices'!F363/'04 Prices'!F362))</f>
        <v/>
      </c>
      <c r="G362" s="25">
        <f>IF(OR($A362="",'04 Prices'!G362="",'04 Prices'!G363=""),"",LN('04 Prices'!G363/'04 Prices'!G362))</f>
        <v/>
      </c>
      <c r="H362" s="25">
        <f>IF(OR($A362="",'04 Prices'!H362="",'04 Prices'!H363=""),"",LN('04 Prices'!H363/'04 Prices'!H362))</f>
        <v/>
      </c>
    </row>
    <row r="363">
      <c r="A363" s="23">
        <f>IF('04 Prices'!A364="","",'04 Prices'!A364)</f>
        <v/>
      </c>
      <c r="B363" s="25">
        <f>IF(OR($A363="",'04 Prices'!B363="",'04 Prices'!B364=""),"",LN('04 Prices'!B364/'04 Prices'!B363))</f>
        <v/>
      </c>
      <c r="C363" s="25">
        <f>IF(OR($A363="",'04 Prices'!C363="",'04 Prices'!C364=""),"",LN('04 Prices'!C364/'04 Prices'!C363))</f>
        <v/>
      </c>
      <c r="D363" s="25">
        <f>IF(OR($A363="",'04 Prices'!D363="",'04 Prices'!D364=""),"",LN('04 Prices'!D364/'04 Prices'!D363))</f>
        <v/>
      </c>
      <c r="E363" s="25">
        <f>IF(OR($A363="",'04 Prices'!E363="",'04 Prices'!E364=""),"",LN('04 Prices'!E364/'04 Prices'!E363))</f>
        <v/>
      </c>
      <c r="F363" s="25">
        <f>IF(OR($A363="",'04 Prices'!F363="",'04 Prices'!F364=""),"",LN('04 Prices'!F364/'04 Prices'!F363))</f>
        <v/>
      </c>
      <c r="G363" s="25">
        <f>IF(OR($A363="",'04 Prices'!G363="",'04 Prices'!G364=""),"",LN('04 Prices'!G364/'04 Prices'!G363))</f>
        <v/>
      </c>
      <c r="H363" s="25">
        <f>IF(OR($A363="",'04 Prices'!H363="",'04 Prices'!H364=""),"",LN('04 Prices'!H364/'04 Prices'!H363))</f>
        <v/>
      </c>
    </row>
    <row r="364">
      <c r="A364" s="23">
        <f>IF('04 Prices'!A365="","",'04 Prices'!A365)</f>
        <v/>
      </c>
      <c r="B364" s="25">
        <f>IF(OR($A364="",'04 Prices'!B364="",'04 Prices'!B365=""),"",LN('04 Prices'!B365/'04 Prices'!B364))</f>
        <v/>
      </c>
      <c r="C364" s="25">
        <f>IF(OR($A364="",'04 Prices'!C364="",'04 Prices'!C365=""),"",LN('04 Prices'!C365/'04 Prices'!C364))</f>
        <v/>
      </c>
      <c r="D364" s="25">
        <f>IF(OR($A364="",'04 Prices'!D364="",'04 Prices'!D365=""),"",LN('04 Prices'!D365/'04 Prices'!D364))</f>
        <v/>
      </c>
      <c r="E364" s="25">
        <f>IF(OR($A364="",'04 Prices'!E364="",'04 Prices'!E365=""),"",LN('04 Prices'!E365/'04 Prices'!E364))</f>
        <v/>
      </c>
      <c r="F364" s="25">
        <f>IF(OR($A364="",'04 Prices'!F364="",'04 Prices'!F365=""),"",LN('04 Prices'!F365/'04 Prices'!F364))</f>
        <v/>
      </c>
      <c r="G364" s="25">
        <f>IF(OR($A364="",'04 Prices'!G364="",'04 Prices'!G365=""),"",LN('04 Prices'!G365/'04 Prices'!G364))</f>
        <v/>
      </c>
      <c r="H364" s="25">
        <f>IF(OR($A364="",'04 Prices'!H364="",'04 Prices'!H365=""),"",LN('04 Prices'!H365/'04 Prices'!H364))</f>
        <v/>
      </c>
    </row>
    <row r="365">
      <c r="A365" s="23">
        <f>IF('04 Prices'!A366="","",'04 Prices'!A366)</f>
        <v/>
      </c>
      <c r="B365" s="25">
        <f>IF(OR($A365="",'04 Prices'!B365="",'04 Prices'!B366=""),"",LN('04 Prices'!B366/'04 Prices'!B365))</f>
        <v/>
      </c>
      <c r="C365" s="25">
        <f>IF(OR($A365="",'04 Prices'!C365="",'04 Prices'!C366=""),"",LN('04 Prices'!C366/'04 Prices'!C365))</f>
        <v/>
      </c>
      <c r="D365" s="25">
        <f>IF(OR($A365="",'04 Prices'!D365="",'04 Prices'!D366=""),"",LN('04 Prices'!D366/'04 Prices'!D365))</f>
        <v/>
      </c>
      <c r="E365" s="25">
        <f>IF(OR($A365="",'04 Prices'!E365="",'04 Prices'!E366=""),"",LN('04 Prices'!E366/'04 Prices'!E365))</f>
        <v/>
      </c>
      <c r="F365" s="25">
        <f>IF(OR($A365="",'04 Prices'!F365="",'04 Prices'!F366=""),"",LN('04 Prices'!F366/'04 Prices'!F365))</f>
        <v/>
      </c>
      <c r="G365" s="25">
        <f>IF(OR($A365="",'04 Prices'!G365="",'04 Prices'!G366=""),"",LN('04 Prices'!G366/'04 Prices'!G365))</f>
        <v/>
      </c>
      <c r="H365" s="25">
        <f>IF(OR($A365="",'04 Prices'!H365="",'04 Prices'!H366=""),"",LN('04 Prices'!H366/'04 Prices'!H365))</f>
        <v/>
      </c>
    </row>
    <row r="366">
      <c r="A366" s="23">
        <f>IF('04 Prices'!A367="","",'04 Prices'!A367)</f>
        <v/>
      </c>
      <c r="B366" s="25">
        <f>IF(OR($A366="",'04 Prices'!B366="",'04 Prices'!B367=""),"",LN('04 Prices'!B367/'04 Prices'!B366))</f>
        <v/>
      </c>
      <c r="C366" s="25">
        <f>IF(OR($A366="",'04 Prices'!C366="",'04 Prices'!C367=""),"",LN('04 Prices'!C367/'04 Prices'!C366))</f>
        <v/>
      </c>
      <c r="D366" s="25">
        <f>IF(OR($A366="",'04 Prices'!D366="",'04 Prices'!D367=""),"",LN('04 Prices'!D367/'04 Prices'!D366))</f>
        <v/>
      </c>
      <c r="E366" s="25">
        <f>IF(OR($A366="",'04 Prices'!E366="",'04 Prices'!E367=""),"",LN('04 Prices'!E367/'04 Prices'!E366))</f>
        <v/>
      </c>
      <c r="F366" s="25">
        <f>IF(OR($A366="",'04 Prices'!F366="",'04 Prices'!F367=""),"",LN('04 Prices'!F367/'04 Prices'!F366))</f>
        <v/>
      </c>
      <c r="G366" s="25">
        <f>IF(OR($A366="",'04 Prices'!G366="",'04 Prices'!G367=""),"",LN('04 Prices'!G367/'04 Prices'!G366))</f>
        <v/>
      </c>
      <c r="H366" s="25">
        <f>IF(OR($A366="",'04 Prices'!H366="",'04 Prices'!H367=""),"",LN('04 Prices'!H367/'04 Prices'!H366))</f>
        <v/>
      </c>
    </row>
    <row r="367">
      <c r="A367" s="23">
        <f>IF('04 Prices'!A368="","",'04 Prices'!A368)</f>
        <v/>
      </c>
      <c r="B367" s="25">
        <f>IF(OR($A367="",'04 Prices'!B367="",'04 Prices'!B368=""),"",LN('04 Prices'!B368/'04 Prices'!B367))</f>
        <v/>
      </c>
      <c r="C367" s="25">
        <f>IF(OR($A367="",'04 Prices'!C367="",'04 Prices'!C368=""),"",LN('04 Prices'!C368/'04 Prices'!C367))</f>
        <v/>
      </c>
      <c r="D367" s="25">
        <f>IF(OR($A367="",'04 Prices'!D367="",'04 Prices'!D368=""),"",LN('04 Prices'!D368/'04 Prices'!D367))</f>
        <v/>
      </c>
      <c r="E367" s="25">
        <f>IF(OR($A367="",'04 Prices'!E367="",'04 Prices'!E368=""),"",LN('04 Prices'!E368/'04 Prices'!E367))</f>
        <v/>
      </c>
      <c r="F367" s="25">
        <f>IF(OR($A367="",'04 Prices'!F367="",'04 Prices'!F368=""),"",LN('04 Prices'!F368/'04 Prices'!F367))</f>
        <v/>
      </c>
      <c r="G367" s="25">
        <f>IF(OR($A367="",'04 Prices'!G367="",'04 Prices'!G368=""),"",LN('04 Prices'!G368/'04 Prices'!G367))</f>
        <v/>
      </c>
      <c r="H367" s="25">
        <f>IF(OR($A367="",'04 Prices'!H367="",'04 Prices'!H368=""),"",LN('04 Prices'!H368/'04 Prices'!H367))</f>
        <v/>
      </c>
    </row>
    <row r="368">
      <c r="A368" s="23">
        <f>IF('04 Prices'!A369="","",'04 Prices'!A369)</f>
        <v/>
      </c>
      <c r="B368" s="25">
        <f>IF(OR($A368="",'04 Prices'!B368="",'04 Prices'!B369=""),"",LN('04 Prices'!B369/'04 Prices'!B368))</f>
        <v/>
      </c>
      <c r="C368" s="25">
        <f>IF(OR($A368="",'04 Prices'!C368="",'04 Prices'!C369=""),"",LN('04 Prices'!C369/'04 Prices'!C368))</f>
        <v/>
      </c>
      <c r="D368" s="25">
        <f>IF(OR($A368="",'04 Prices'!D368="",'04 Prices'!D369=""),"",LN('04 Prices'!D369/'04 Prices'!D368))</f>
        <v/>
      </c>
      <c r="E368" s="25">
        <f>IF(OR($A368="",'04 Prices'!E368="",'04 Prices'!E369=""),"",LN('04 Prices'!E369/'04 Prices'!E368))</f>
        <v/>
      </c>
      <c r="F368" s="25">
        <f>IF(OR($A368="",'04 Prices'!F368="",'04 Prices'!F369=""),"",LN('04 Prices'!F369/'04 Prices'!F368))</f>
        <v/>
      </c>
      <c r="G368" s="25">
        <f>IF(OR($A368="",'04 Prices'!G368="",'04 Prices'!G369=""),"",LN('04 Prices'!G369/'04 Prices'!G368))</f>
        <v/>
      </c>
      <c r="H368" s="25">
        <f>IF(OR($A368="",'04 Prices'!H368="",'04 Prices'!H369=""),"",LN('04 Prices'!H369/'04 Prices'!H368))</f>
        <v/>
      </c>
    </row>
    <row r="369">
      <c r="A369" s="23">
        <f>IF('04 Prices'!A370="","",'04 Prices'!A370)</f>
        <v/>
      </c>
      <c r="B369" s="25">
        <f>IF(OR($A369="",'04 Prices'!B369="",'04 Prices'!B370=""),"",LN('04 Prices'!B370/'04 Prices'!B369))</f>
        <v/>
      </c>
      <c r="C369" s="25">
        <f>IF(OR($A369="",'04 Prices'!C369="",'04 Prices'!C370=""),"",LN('04 Prices'!C370/'04 Prices'!C369))</f>
        <v/>
      </c>
      <c r="D369" s="25">
        <f>IF(OR($A369="",'04 Prices'!D369="",'04 Prices'!D370=""),"",LN('04 Prices'!D370/'04 Prices'!D369))</f>
        <v/>
      </c>
      <c r="E369" s="25">
        <f>IF(OR($A369="",'04 Prices'!E369="",'04 Prices'!E370=""),"",LN('04 Prices'!E370/'04 Prices'!E369))</f>
        <v/>
      </c>
      <c r="F369" s="25">
        <f>IF(OR($A369="",'04 Prices'!F369="",'04 Prices'!F370=""),"",LN('04 Prices'!F370/'04 Prices'!F369))</f>
        <v/>
      </c>
      <c r="G369" s="25">
        <f>IF(OR($A369="",'04 Prices'!G369="",'04 Prices'!G370=""),"",LN('04 Prices'!G370/'04 Prices'!G369))</f>
        <v/>
      </c>
      <c r="H369" s="25">
        <f>IF(OR($A369="",'04 Prices'!H369="",'04 Prices'!H370=""),"",LN('04 Prices'!H370/'04 Prices'!H369))</f>
        <v/>
      </c>
    </row>
    <row r="370">
      <c r="A370" s="23">
        <f>IF('04 Prices'!A371="","",'04 Prices'!A371)</f>
        <v/>
      </c>
      <c r="B370" s="25">
        <f>IF(OR($A370="",'04 Prices'!B370="",'04 Prices'!B371=""),"",LN('04 Prices'!B371/'04 Prices'!B370))</f>
        <v/>
      </c>
      <c r="C370" s="25">
        <f>IF(OR($A370="",'04 Prices'!C370="",'04 Prices'!C371=""),"",LN('04 Prices'!C371/'04 Prices'!C370))</f>
        <v/>
      </c>
      <c r="D370" s="25">
        <f>IF(OR($A370="",'04 Prices'!D370="",'04 Prices'!D371=""),"",LN('04 Prices'!D371/'04 Prices'!D370))</f>
        <v/>
      </c>
      <c r="E370" s="25">
        <f>IF(OR($A370="",'04 Prices'!E370="",'04 Prices'!E371=""),"",LN('04 Prices'!E371/'04 Prices'!E370))</f>
        <v/>
      </c>
      <c r="F370" s="25">
        <f>IF(OR($A370="",'04 Prices'!F370="",'04 Prices'!F371=""),"",LN('04 Prices'!F371/'04 Prices'!F370))</f>
        <v/>
      </c>
      <c r="G370" s="25">
        <f>IF(OR($A370="",'04 Prices'!G370="",'04 Prices'!G371=""),"",LN('04 Prices'!G371/'04 Prices'!G370))</f>
        <v/>
      </c>
      <c r="H370" s="25">
        <f>IF(OR($A370="",'04 Prices'!H370="",'04 Prices'!H371=""),"",LN('04 Prices'!H371/'04 Prices'!H370))</f>
        <v/>
      </c>
    </row>
    <row r="371">
      <c r="A371" s="23">
        <f>IF('04 Prices'!A372="","",'04 Prices'!A372)</f>
        <v/>
      </c>
      <c r="B371" s="25">
        <f>IF(OR($A371="",'04 Prices'!B371="",'04 Prices'!B372=""),"",LN('04 Prices'!B372/'04 Prices'!B371))</f>
        <v/>
      </c>
      <c r="C371" s="25">
        <f>IF(OR($A371="",'04 Prices'!C371="",'04 Prices'!C372=""),"",LN('04 Prices'!C372/'04 Prices'!C371))</f>
        <v/>
      </c>
      <c r="D371" s="25">
        <f>IF(OR($A371="",'04 Prices'!D371="",'04 Prices'!D372=""),"",LN('04 Prices'!D372/'04 Prices'!D371))</f>
        <v/>
      </c>
      <c r="E371" s="25">
        <f>IF(OR($A371="",'04 Prices'!E371="",'04 Prices'!E372=""),"",LN('04 Prices'!E372/'04 Prices'!E371))</f>
        <v/>
      </c>
      <c r="F371" s="25">
        <f>IF(OR($A371="",'04 Prices'!F371="",'04 Prices'!F372=""),"",LN('04 Prices'!F372/'04 Prices'!F371))</f>
        <v/>
      </c>
      <c r="G371" s="25">
        <f>IF(OR($A371="",'04 Prices'!G371="",'04 Prices'!G372=""),"",LN('04 Prices'!G372/'04 Prices'!G371))</f>
        <v/>
      </c>
      <c r="H371" s="25">
        <f>IF(OR($A371="",'04 Prices'!H371="",'04 Prices'!H372=""),"",LN('04 Prices'!H372/'04 Prices'!H371))</f>
        <v/>
      </c>
    </row>
    <row r="372">
      <c r="A372" s="23">
        <f>IF('04 Prices'!A373="","",'04 Prices'!A373)</f>
        <v/>
      </c>
      <c r="B372" s="25">
        <f>IF(OR($A372="",'04 Prices'!B372="",'04 Prices'!B373=""),"",LN('04 Prices'!B373/'04 Prices'!B372))</f>
        <v/>
      </c>
      <c r="C372" s="25">
        <f>IF(OR($A372="",'04 Prices'!C372="",'04 Prices'!C373=""),"",LN('04 Prices'!C373/'04 Prices'!C372))</f>
        <v/>
      </c>
      <c r="D372" s="25">
        <f>IF(OR($A372="",'04 Prices'!D372="",'04 Prices'!D373=""),"",LN('04 Prices'!D373/'04 Prices'!D372))</f>
        <v/>
      </c>
      <c r="E372" s="25">
        <f>IF(OR($A372="",'04 Prices'!E372="",'04 Prices'!E373=""),"",LN('04 Prices'!E373/'04 Prices'!E372))</f>
        <v/>
      </c>
      <c r="F372" s="25">
        <f>IF(OR($A372="",'04 Prices'!F372="",'04 Prices'!F373=""),"",LN('04 Prices'!F373/'04 Prices'!F372))</f>
        <v/>
      </c>
      <c r="G372" s="25">
        <f>IF(OR($A372="",'04 Prices'!G372="",'04 Prices'!G373=""),"",LN('04 Prices'!G373/'04 Prices'!G372))</f>
        <v/>
      </c>
      <c r="H372" s="25">
        <f>IF(OR($A372="",'04 Prices'!H372="",'04 Prices'!H373=""),"",LN('04 Prices'!H373/'04 Prices'!H372))</f>
        <v/>
      </c>
    </row>
    <row r="373">
      <c r="A373" s="23">
        <f>IF('04 Prices'!A374="","",'04 Prices'!A374)</f>
        <v/>
      </c>
      <c r="B373" s="25">
        <f>IF(OR($A373="",'04 Prices'!B373="",'04 Prices'!B374=""),"",LN('04 Prices'!B374/'04 Prices'!B373))</f>
        <v/>
      </c>
      <c r="C373" s="25">
        <f>IF(OR($A373="",'04 Prices'!C373="",'04 Prices'!C374=""),"",LN('04 Prices'!C374/'04 Prices'!C373))</f>
        <v/>
      </c>
      <c r="D373" s="25">
        <f>IF(OR($A373="",'04 Prices'!D373="",'04 Prices'!D374=""),"",LN('04 Prices'!D374/'04 Prices'!D373))</f>
        <v/>
      </c>
      <c r="E373" s="25">
        <f>IF(OR($A373="",'04 Prices'!E373="",'04 Prices'!E374=""),"",LN('04 Prices'!E374/'04 Prices'!E373))</f>
        <v/>
      </c>
      <c r="F373" s="25">
        <f>IF(OR($A373="",'04 Prices'!F373="",'04 Prices'!F374=""),"",LN('04 Prices'!F374/'04 Prices'!F373))</f>
        <v/>
      </c>
      <c r="G373" s="25">
        <f>IF(OR($A373="",'04 Prices'!G373="",'04 Prices'!G374=""),"",LN('04 Prices'!G374/'04 Prices'!G373))</f>
        <v/>
      </c>
      <c r="H373" s="25">
        <f>IF(OR($A373="",'04 Prices'!H373="",'04 Prices'!H374=""),"",LN('04 Prices'!H374/'04 Prices'!H373))</f>
        <v/>
      </c>
    </row>
    <row r="374">
      <c r="A374" s="23">
        <f>IF('04 Prices'!A375="","",'04 Prices'!A375)</f>
        <v/>
      </c>
      <c r="B374" s="25">
        <f>IF(OR($A374="",'04 Prices'!B374="",'04 Prices'!B375=""),"",LN('04 Prices'!B375/'04 Prices'!B374))</f>
        <v/>
      </c>
      <c r="C374" s="25">
        <f>IF(OR($A374="",'04 Prices'!C374="",'04 Prices'!C375=""),"",LN('04 Prices'!C375/'04 Prices'!C374))</f>
        <v/>
      </c>
      <c r="D374" s="25">
        <f>IF(OR($A374="",'04 Prices'!D374="",'04 Prices'!D375=""),"",LN('04 Prices'!D375/'04 Prices'!D374))</f>
        <v/>
      </c>
      <c r="E374" s="25">
        <f>IF(OR($A374="",'04 Prices'!E374="",'04 Prices'!E375=""),"",LN('04 Prices'!E375/'04 Prices'!E374))</f>
        <v/>
      </c>
      <c r="F374" s="25">
        <f>IF(OR($A374="",'04 Prices'!F374="",'04 Prices'!F375=""),"",LN('04 Prices'!F375/'04 Prices'!F374))</f>
        <v/>
      </c>
      <c r="G374" s="25">
        <f>IF(OR($A374="",'04 Prices'!G374="",'04 Prices'!G375=""),"",LN('04 Prices'!G375/'04 Prices'!G374))</f>
        <v/>
      </c>
      <c r="H374" s="25">
        <f>IF(OR($A374="",'04 Prices'!H374="",'04 Prices'!H375=""),"",LN('04 Prices'!H375/'04 Prices'!H374))</f>
        <v/>
      </c>
    </row>
    <row r="375">
      <c r="A375" s="23">
        <f>IF('04 Prices'!A376="","",'04 Prices'!A376)</f>
        <v/>
      </c>
      <c r="B375" s="25">
        <f>IF(OR($A375="",'04 Prices'!B375="",'04 Prices'!B376=""),"",LN('04 Prices'!B376/'04 Prices'!B375))</f>
        <v/>
      </c>
      <c r="C375" s="25">
        <f>IF(OR($A375="",'04 Prices'!C375="",'04 Prices'!C376=""),"",LN('04 Prices'!C376/'04 Prices'!C375))</f>
        <v/>
      </c>
      <c r="D375" s="25">
        <f>IF(OR($A375="",'04 Prices'!D375="",'04 Prices'!D376=""),"",LN('04 Prices'!D376/'04 Prices'!D375))</f>
        <v/>
      </c>
      <c r="E375" s="25">
        <f>IF(OR($A375="",'04 Prices'!E375="",'04 Prices'!E376=""),"",LN('04 Prices'!E376/'04 Prices'!E375))</f>
        <v/>
      </c>
      <c r="F375" s="25">
        <f>IF(OR($A375="",'04 Prices'!F375="",'04 Prices'!F376=""),"",LN('04 Prices'!F376/'04 Prices'!F375))</f>
        <v/>
      </c>
      <c r="G375" s="25">
        <f>IF(OR($A375="",'04 Prices'!G375="",'04 Prices'!G376=""),"",LN('04 Prices'!G376/'04 Prices'!G375))</f>
        <v/>
      </c>
      <c r="H375" s="25">
        <f>IF(OR($A375="",'04 Prices'!H375="",'04 Prices'!H376=""),"",LN('04 Prices'!H376/'04 Prices'!H375))</f>
        <v/>
      </c>
    </row>
    <row r="376">
      <c r="A376" s="23">
        <f>IF('04 Prices'!A377="","",'04 Prices'!A377)</f>
        <v/>
      </c>
      <c r="B376" s="25">
        <f>IF(OR($A376="",'04 Prices'!B376="",'04 Prices'!B377=""),"",LN('04 Prices'!B377/'04 Prices'!B376))</f>
        <v/>
      </c>
      <c r="C376" s="25">
        <f>IF(OR($A376="",'04 Prices'!C376="",'04 Prices'!C377=""),"",LN('04 Prices'!C377/'04 Prices'!C376))</f>
        <v/>
      </c>
      <c r="D376" s="25">
        <f>IF(OR($A376="",'04 Prices'!D376="",'04 Prices'!D377=""),"",LN('04 Prices'!D377/'04 Prices'!D376))</f>
        <v/>
      </c>
      <c r="E376" s="25">
        <f>IF(OR($A376="",'04 Prices'!E376="",'04 Prices'!E377=""),"",LN('04 Prices'!E377/'04 Prices'!E376))</f>
        <v/>
      </c>
      <c r="F376" s="25">
        <f>IF(OR($A376="",'04 Prices'!F376="",'04 Prices'!F377=""),"",LN('04 Prices'!F377/'04 Prices'!F376))</f>
        <v/>
      </c>
      <c r="G376" s="25">
        <f>IF(OR($A376="",'04 Prices'!G376="",'04 Prices'!G377=""),"",LN('04 Prices'!G377/'04 Prices'!G376))</f>
        <v/>
      </c>
      <c r="H376" s="25">
        <f>IF(OR($A376="",'04 Prices'!H376="",'04 Prices'!H377=""),"",LN('04 Prices'!H377/'04 Prices'!H376))</f>
        <v/>
      </c>
    </row>
    <row r="377">
      <c r="A377" s="23">
        <f>IF('04 Prices'!A378="","",'04 Prices'!A378)</f>
        <v/>
      </c>
      <c r="B377" s="25">
        <f>IF(OR($A377="",'04 Prices'!B377="",'04 Prices'!B378=""),"",LN('04 Prices'!B378/'04 Prices'!B377))</f>
        <v/>
      </c>
      <c r="C377" s="25">
        <f>IF(OR($A377="",'04 Prices'!C377="",'04 Prices'!C378=""),"",LN('04 Prices'!C378/'04 Prices'!C377))</f>
        <v/>
      </c>
      <c r="D377" s="25">
        <f>IF(OR($A377="",'04 Prices'!D377="",'04 Prices'!D378=""),"",LN('04 Prices'!D378/'04 Prices'!D377))</f>
        <v/>
      </c>
      <c r="E377" s="25">
        <f>IF(OR($A377="",'04 Prices'!E377="",'04 Prices'!E378=""),"",LN('04 Prices'!E378/'04 Prices'!E377))</f>
        <v/>
      </c>
      <c r="F377" s="25">
        <f>IF(OR($A377="",'04 Prices'!F377="",'04 Prices'!F378=""),"",LN('04 Prices'!F378/'04 Prices'!F377))</f>
        <v/>
      </c>
      <c r="G377" s="25">
        <f>IF(OR($A377="",'04 Prices'!G377="",'04 Prices'!G378=""),"",LN('04 Prices'!G378/'04 Prices'!G377))</f>
        <v/>
      </c>
      <c r="H377" s="25">
        <f>IF(OR($A377="",'04 Prices'!H377="",'04 Prices'!H378=""),"",LN('04 Prices'!H378/'04 Prices'!H377))</f>
        <v/>
      </c>
    </row>
    <row r="378">
      <c r="A378" s="23">
        <f>IF('04 Prices'!A379="","",'04 Prices'!A379)</f>
        <v/>
      </c>
      <c r="B378" s="25">
        <f>IF(OR($A378="",'04 Prices'!B378="",'04 Prices'!B379=""),"",LN('04 Prices'!B379/'04 Prices'!B378))</f>
        <v/>
      </c>
      <c r="C378" s="25">
        <f>IF(OR($A378="",'04 Prices'!C378="",'04 Prices'!C379=""),"",LN('04 Prices'!C379/'04 Prices'!C378))</f>
        <v/>
      </c>
      <c r="D378" s="25">
        <f>IF(OR($A378="",'04 Prices'!D378="",'04 Prices'!D379=""),"",LN('04 Prices'!D379/'04 Prices'!D378))</f>
        <v/>
      </c>
      <c r="E378" s="25">
        <f>IF(OR($A378="",'04 Prices'!E378="",'04 Prices'!E379=""),"",LN('04 Prices'!E379/'04 Prices'!E378))</f>
        <v/>
      </c>
      <c r="F378" s="25">
        <f>IF(OR($A378="",'04 Prices'!F378="",'04 Prices'!F379=""),"",LN('04 Prices'!F379/'04 Prices'!F378))</f>
        <v/>
      </c>
      <c r="G378" s="25">
        <f>IF(OR($A378="",'04 Prices'!G378="",'04 Prices'!G379=""),"",LN('04 Prices'!G379/'04 Prices'!G378))</f>
        <v/>
      </c>
      <c r="H378" s="25">
        <f>IF(OR($A378="",'04 Prices'!H378="",'04 Prices'!H379=""),"",LN('04 Prices'!H379/'04 Prices'!H378))</f>
        <v/>
      </c>
    </row>
    <row r="379">
      <c r="A379" s="23">
        <f>IF('04 Prices'!A380="","",'04 Prices'!A380)</f>
        <v/>
      </c>
      <c r="B379" s="25">
        <f>IF(OR($A379="",'04 Prices'!B379="",'04 Prices'!B380=""),"",LN('04 Prices'!B380/'04 Prices'!B379))</f>
        <v/>
      </c>
      <c r="C379" s="25">
        <f>IF(OR($A379="",'04 Prices'!C379="",'04 Prices'!C380=""),"",LN('04 Prices'!C380/'04 Prices'!C379))</f>
        <v/>
      </c>
      <c r="D379" s="25">
        <f>IF(OR($A379="",'04 Prices'!D379="",'04 Prices'!D380=""),"",LN('04 Prices'!D380/'04 Prices'!D379))</f>
        <v/>
      </c>
      <c r="E379" s="25">
        <f>IF(OR($A379="",'04 Prices'!E379="",'04 Prices'!E380=""),"",LN('04 Prices'!E380/'04 Prices'!E379))</f>
        <v/>
      </c>
      <c r="F379" s="25">
        <f>IF(OR($A379="",'04 Prices'!F379="",'04 Prices'!F380=""),"",LN('04 Prices'!F380/'04 Prices'!F379))</f>
        <v/>
      </c>
      <c r="G379" s="25">
        <f>IF(OR($A379="",'04 Prices'!G379="",'04 Prices'!G380=""),"",LN('04 Prices'!G380/'04 Prices'!G379))</f>
        <v/>
      </c>
      <c r="H379" s="25">
        <f>IF(OR($A379="",'04 Prices'!H379="",'04 Prices'!H380=""),"",LN('04 Prices'!H380/'04 Prices'!H379))</f>
        <v/>
      </c>
    </row>
    <row r="380">
      <c r="A380" s="23">
        <f>IF('04 Prices'!A381="","",'04 Prices'!A381)</f>
        <v/>
      </c>
      <c r="B380" s="25">
        <f>IF(OR($A380="",'04 Prices'!B380="",'04 Prices'!B381=""),"",LN('04 Prices'!B381/'04 Prices'!B380))</f>
        <v/>
      </c>
      <c r="C380" s="25">
        <f>IF(OR($A380="",'04 Prices'!C380="",'04 Prices'!C381=""),"",LN('04 Prices'!C381/'04 Prices'!C380))</f>
        <v/>
      </c>
      <c r="D380" s="25">
        <f>IF(OR($A380="",'04 Prices'!D380="",'04 Prices'!D381=""),"",LN('04 Prices'!D381/'04 Prices'!D380))</f>
        <v/>
      </c>
      <c r="E380" s="25">
        <f>IF(OR($A380="",'04 Prices'!E380="",'04 Prices'!E381=""),"",LN('04 Prices'!E381/'04 Prices'!E380))</f>
        <v/>
      </c>
      <c r="F380" s="25">
        <f>IF(OR($A380="",'04 Prices'!F380="",'04 Prices'!F381=""),"",LN('04 Prices'!F381/'04 Prices'!F380))</f>
        <v/>
      </c>
      <c r="G380" s="25">
        <f>IF(OR($A380="",'04 Prices'!G380="",'04 Prices'!G381=""),"",LN('04 Prices'!G381/'04 Prices'!G380))</f>
        <v/>
      </c>
      <c r="H380" s="25">
        <f>IF(OR($A380="",'04 Prices'!H380="",'04 Prices'!H381=""),"",LN('04 Prices'!H381/'04 Prices'!H380))</f>
        <v/>
      </c>
    </row>
    <row r="381">
      <c r="A381" s="23">
        <f>IF('04 Prices'!A382="","",'04 Prices'!A382)</f>
        <v/>
      </c>
      <c r="B381" s="25">
        <f>IF(OR($A381="",'04 Prices'!B381="",'04 Prices'!B382=""),"",LN('04 Prices'!B382/'04 Prices'!B381))</f>
        <v/>
      </c>
      <c r="C381" s="25">
        <f>IF(OR($A381="",'04 Prices'!C381="",'04 Prices'!C382=""),"",LN('04 Prices'!C382/'04 Prices'!C381))</f>
        <v/>
      </c>
      <c r="D381" s="25">
        <f>IF(OR($A381="",'04 Prices'!D381="",'04 Prices'!D382=""),"",LN('04 Prices'!D382/'04 Prices'!D381))</f>
        <v/>
      </c>
      <c r="E381" s="25">
        <f>IF(OR($A381="",'04 Prices'!E381="",'04 Prices'!E382=""),"",LN('04 Prices'!E382/'04 Prices'!E381))</f>
        <v/>
      </c>
      <c r="F381" s="25">
        <f>IF(OR($A381="",'04 Prices'!F381="",'04 Prices'!F382=""),"",LN('04 Prices'!F382/'04 Prices'!F381))</f>
        <v/>
      </c>
      <c r="G381" s="25">
        <f>IF(OR($A381="",'04 Prices'!G381="",'04 Prices'!G382=""),"",LN('04 Prices'!G382/'04 Prices'!G381))</f>
        <v/>
      </c>
      <c r="H381" s="25">
        <f>IF(OR($A381="",'04 Prices'!H381="",'04 Prices'!H382=""),"",LN('04 Prices'!H382/'04 Prices'!H381))</f>
        <v/>
      </c>
    </row>
    <row r="382">
      <c r="A382" s="23">
        <f>IF('04 Prices'!A383="","",'04 Prices'!A383)</f>
        <v/>
      </c>
      <c r="B382" s="25">
        <f>IF(OR($A382="",'04 Prices'!B382="",'04 Prices'!B383=""),"",LN('04 Prices'!B383/'04 Prices'!B382))</f>
        <v/>
      </c>
      <c r="C382" s="25">
        <f>IF(OR($A382="",'04 Prices'!C382="",'04 Prices'!C383=""),"",LN('04 Prices'!C383/'04 Prices'!C382))</f>
        <v/>
      </c>
      <c r="D382" s="25">
        <f>IF(OR($A382="",'04 Prices'!D382="",'04 Prices'!D383=""),"",LN('04 Prices'!D383/'04 Prices'!D382))</f>
        <v/>
      </c>
      <c r="E382" s="25">
        <f>IF(OR($A382="",'04 Prices'!E382="",'04 Prices'!E383=""),"",LN('04 Prices'!E383/'04 Prices'!E382))</f>
        <v/>
      </c>
      <c r="F382" s="25">
        <f>IF(OR($A382="",'04 Prices'!F382="",'04 Prices'!F383=""),"",LN('04 Prices'!F383/'04 Prices'!F382))</f>
        <v/>
      </c>
      <c r="G382" s="25">
        <f>IF(OR($A382="",'04 Prices'!G382="",'04 Prices'!G383=""),"",LN('04 Prices'!G383/'04 Prices'!G382))</f>
        <v/>
      </c>
      <c r="H382" s="25">
        <f>IF(OR($A382="",'04 Prices'!H382="",'04 Prices'!H383=""),"",LN('04 Prices'!H383/'04 Prices'!H382))</f>
        <v/>
      </c>
    </row>
    <row r="383">
      <c r="A383" s="23">
        <f>IF('04 Prices'!A384="","",'04 Prices'!A384)</f>
        <v/>
      </c>
      <c r="B383" s="25">
        <f>IF(OR($A383="",'04 Prices'!B383="",'04 Prices'!B384=""),"",LN('04 Prices'!B384/'04 Prices'!B383))</f>
        <v/>
      </c>
      <c r="C383" s="25">
        <f>IF(OR($A383="",'04 Prices'!C383="",'04 Prices'!C384=""),"",LN('04 Prices'!C384/'04 Prices'!C383))</f>
        <v/>
      </c>
      <c r="D383" s="25">
        <f>IF(OR($A383="",'04 Prices'!D383="",'04 Prices'!D384=""),"",LN('04 Prices'!D384/'04 Prices'!D383))</f>
        <v/>
      </c>
      <c r="E383" s="25">
        <f>IF(OR($A383="",'04 Prices'!E383="",'04 Prices'!E384=""),"",LN('04 Prices'!E384/'04 Prices'!E383))</f>
        <v/>
      </c>
      <c r="F383" s="25">
        <f>IF(OR($A383="",'04 Prices'!F383="",'04 Prices'!F384=""),"",LN('04 Prices'!F384/'04 Prices'!F383))</f>
        <v/>
      </c>
      <c r="G383" s="25">
        <f>IF(OR($A383="",'04 Prices'!G383="",'04 Prices'!G384=""),"",LN('04 Prices'!G384/'04 Prices'!G383))</f>
        <v/>
      </c>
      <c r="H383" s="25">
        <f>IF(OR($A383="",'04 Prices'!H383="",'04 Prices'!H384=""),"",LN('04 Prices'!H384/'04 Prices'!H383))</f>
        <v/>
      </c>
    </row>
    <row r="384">
      <c r="A384" s="23">
        <f>IF('04 Prices'!A385="","",'04 Prices'!A385)</f>
        <v/>
      </c>
      <c r="B384" s="25">
        <f>IF(OR($A384="",'04 Prices'!B384="",'04 Prices'!B385=""),"",LN('04 Prices'!B385/'04 Prices'!B384))</f>
        <v/>
      </c>
      <c r="C384" s="25">
        <f>IF(OR($A384="",'04 Prices'!C384="",'04 Prices'!C385=""),"",LN('04 Prices'!C385/'04 Prices'!C384))</f>
        <v/>
      </c>
      <c r="D384" s="25">
        <f>IF(OR($A384="",'04 Prices'!D384="",'04 Prices'!D385=""),"",LN('04 Prices'!D385/'04 Prices'!D384))</f>
        <v/>
      </c>
      <c r="E384" s="25">
        <f>IF(OR($A384="",'04 Prices'!E384="",'04 Prices'!E385=""),"",LN('04 Prices'!E385/'04 Prices'!E384))</f>
        <v/>
      </c>
      <c r="F384" s="25">
        <f>IF(OR($A384="",'04 Prices'!F384="",'04 Prices'!F385=""),"",LN('04 Prices'!F385/'04 Prices'!F384))</f>
        <v/>
      </c>
      <c r="G384" s="25">
        <f>IF(OR($A384="",'04 Prices'!G384="",'04 Prices'!G385=""),"",LN('04 Prices'!G385/'04 Prices'!G384))</f>
        <v/>
      </c>
      <c r="H384" s="25">
        <f>IF(OR($A384="",'04 Prices'!H384="",'04 Prices'!H385=""),"",LN('04 Prices'!H385/'04 Prices'!H384))</f>
        <v/>
      </c>
    </row>
    <row r="385">
      <c r="A385" s="23">
        <f>IF('04 Prices'!A386="","",'04 Prices'!A386)</f>
        <v/>
      </c>
      <c r="B385" s="25">
        <f>IF(OR($A385="",'04 Prices'!B385="",'04 Prices'!B386=""),"",LN('04 Prices'!B386/'04 Prices'!B385))</f>
        <v/>
      </c>
      <c r="C385" s="25">
        <f>IF(OR($A385="",'04 Prices'!C385="",'04 Prices'!C386=""),"",LN('04 Prices'!C386/'04 Prices'!C385))</f>
        <v/>
      </c>
      <c r="D385" s="25">
        <f>IF(OR($A385="",'04 Prices'!D385="",'04 Prices'!D386=""),"",LN('04 Prices'!D386/'04 Prices'!D385))</f>
        <v/>
      </c>
      <c r="E385" s="25">
        <f>IF(OR($A385="",'04 Prices'!E385="",'04 Prices'!E386=""),"",LN('04 Prices'!E386/'04 Prices'!E385))</f>
        <v/>
      </c>
      <c r="F385" s="25">
        <f>IF(OR($A385="",'04 Prices'!F385="",'04 Prices'!F386=""),"",LN('04 Prices'!F386/'04 Prices'!F385))</f>
        <v/>
      </c>
      <c r="G385" s="25">
        <f>IF(OR($A385="",'04 Prices'!G385="",'04 Prices'!G386=""),"",LN('04 Prices'!G386/'04 Prices'!G385))</f>
        <v/>
      </c>
      <c r="H385" s="25">
        <f>IF(OR($A385="",'04 Prices'!H385="",'04 Prices'!H386=""),"",LN('04 Prices'!H386/'04 Prices'!H385))</f>
        <v/>
      </c>
    </row>
    <row r="386">
      <c r="A386" s="23">
        <f>IF('04 Prices'!A387="","",'04 Prices'!A387)</f>
        <v/>
      </c>
      <c r="B386" s="25">
        <f>IF(OR($A386="",'04 Prices'!B386="",'04 Prices'!B387=""),"",LN('04 Prices'!B387/'04 Prices'!B386))</f>
        <v/>
      </c>
      <c r="C386" s="25">
        <f>IF(OR($A386="",'04 Prices'!C386="",'04 Prices'!C387=""),"",LN('04 Prices'!C387/'04 Prices'!C386))</f>
        <v/>
      </c>
      <c r="D386" s="25">
        <f>IF(OR($A386="",'04 Prices'!D386="",'04 Prices'!D387=""),"",LN('04 Prices'!D387/'04 Prices'!D386))</f>
        <v/>
      </c>
      <c r="E386" s="25">
        <f>IF(OR($A386="",'04 Prices'!E386="",'04 Prices'!E387=""),"",LN('04 Prices'!E387/'04 Prices'!E386))</f>
        <v/>
      </c>
      <c r="F386" s="25">
        <f>IF(OR($A386="",'04 Prices'!F386="",'04 Prices'!F387=""),"",LN('04 Prices'!F387/'04 Prices'!F386))</f>
        <v/>
      </c>
      <c r="G386" s="25">
        <f>IF(OR($A386="",'04 Prices'!G386="",'04 Prices'!G387=""),"",LN('04 Prices'!G387/'04 Prices'!G386))</f>
        <v/>
      </c>
      <c r="H386" s="25">
        <f>IF(OR($A386="",'04 Prices'!H386="",'04 Prices'!H387=""),"",LN('04 Prices'!H387/'04 Prices'!H386))</f>
        <v/>
      </c>
    </row>
    <row r="387">
      <c r="A387" s="23">
        <f>IF('04 Prices'!A388="","",'04 Prices'!A388)</f>
        <v/>
      </c>
      <c r="B387" s="25">
        <f>IF(OR($A387="",'04 Prices'!B387="",'04 Prices'!B388=""),"",LN('04 Prices'!B388/'04 Prices'!B387))</f>
        <v/>
      </c>
      <c r="C387" s="25">
        <f>IF(OR($A387="",'04 Prices'!C387="",'04 Prices'!C388=""),"",LN('04 Prices'!C388/'04 Prices'!C387))</f>
        <v/>
      </c>
      <c r="D387" s="25">
        <f>IF(OR($A387="",'04 Prices'!D387="",'04 Prices'!D388=""),"",LN('04 Prices'!D388/'04 Prices'!D387))</f>
        <v/>
      </c>
      <c r="E387" s="25">
        <f>IF(OR($A387="",'04 Prices'!E387="",'04 Prices'!E388=""),"",LN('04 Prices'!E388/'04 Prices'!E387))</f>
        <v/>
      </c>
      <c r="F387" s="25">
        <f>IF(OR($A387="",'04 Prices'!F387="",'04 Prices'!F388=""),"",LN('04 Prices'!F388/'04 Prices'!F387))</f>
        <v/>
      </c>
      <c r="G387" s="25">
        <f>IF(OR($A387="",'04 Prices'!G387="",'04 Prices'!G388=""),"",LN('04 Prices'!G388/'04 Prices'!G387))</f>
        <v/>
      </c>
      <c r="H387" s="25">
        <f>IF(OR($A387="",'04 Prices'!H387="",'04 Prices'!H388=""),"",LN('04 Prices'!H388/'04 Prices'!H387))</f>
        <v/>
      </c>
    </row>
    <row r="388">
      <c r="A388" s="23">
        <f>IF('04 Prices'!A389="","",'04 Prices'!A389)</f>
        <v/>
      </c>
      <c r="B388" s="25">
        <f>IF(OR($A388="",'04 Prices'!B388="",'04 Prices'!B389=""),"",LN('04 Prices'!B389/'04 Prices'!B388))</f>
        <v/>
      </c>
      <c r="C388" s="25">
        <f>IF(OR($A388="",'04 Prices'!C388="",'04 Prices'!C389=""),"",LN('04 Prices'!C389/'04 Prices'!C388))</f>
        <v/>
      </c>
      <c r="D388" s="25">
        <f>IF(OR($A388="",'04 Prices'!D388="",'04 Prices'!D389=""),"",LN('04 Prices'!D389/'04 Prices'!D388))</f>
        <v/>
      </c>
      <c r="E388" s="25">
        <f>IF(OR($A388="",'04 Prices'!E388="",'04 Prices'!E389=""),"",LN('04 Prices'!E389/'04 Prices'!E388))</f>
        <v/>
      </c>
      <c r="F388" s="25">
        <f>IF(OR($A388="",'04 Prices'!F388="",'04 Prices'!F389=""),"",LN('04 Prices'!F389/'04 Prices'!F388))</f>
        <v/>
      </c>
      <c r="G388" s="25">
        <f>IF(OR($A388="",'04 Prices'!G388="",'04 Prices'!G389=""),"",LN('04 Prices'!G389/'04 Prices'!G388))</f>
        <v/>
      </c>
      <c r="H388" s="25">
        <f>IF(OR($A388="",'04 Prices'!H388="",'04 Prices'!H389=""),"",LN('04 Prices'!H389/'04 Prices'!H388))</f>
        <v/>
      </c>
    </row>
    <row r="389">
      <c r="A389" s="23">
        <f>IF('04 Prices'!A390="","",'04 Prices'!A390)</f>
        <v/>
      </c>
      <c r="B389" s="25">
        <f>IF(OR($A389="",'04 Prices'!B389="",'04 Prices'!B390=""),"",LN('04 Prices'!B390/'04 Prices'!B389))</f>
        <v/>
      </c>
      <c r="C389" s="25">
        <f>IF(OR($A389="",'04 Prices'!C389="",'04 Prices'!C390=""),"",LN('04 Prices'!C390/'04 Prices'!C389))</f>
        <v/>
      </c>
      <c r="D389" s="25">
        <f>IF(OR($A389="",'04 Prices'!D389="",'04 Prices'!D390=""),"",LN('04 Prices'!D390/'04 Prices'!D389))</f>
        <v/>
      </c>
      <c r="E389" s="25">
        <f>IF(OR($A389="",'04 Prices'!E389="",'04 Prices'!E390=""),"",LN('04 Prices'!E390/'04 Prices'!E389))</f>
        <v/>
      </c>
      <c r="F389" s="25">
        <f>IF(OR($A389="",'04 Prices'!F389="",'04 Prices'!F390=""),"",LN('04 Prices'!F390/'04 Prices'!F389))</f>
        <v/>
      </c>
      <c r="G389" s="25">
        <f>IF(OR($A389="",'04 Prices'!G389="",'04 Prices'!G390=""),"",LN('04 Prices'!G390/'04 Prices'!G389))</f>
        <v/>
      </c>
      <c r="H389" s="25">
        <f>IF(OR($A389="",'04 Prices'!H389="",'04 Prices'!H390=""),"",LN('04 Prices'!H390/'04 Prices'!H389))</f>
        <v/>
      </c>
    </row>
    <row r="390">
      <c r="A390" s="23">
        <f>IF('04 Prices'!A391="","",'04 Prices'!A391)</f>
        <v/>
      </c>
      <c r="B390" s="25">
        <f>IF(OR($A390="",'04 Prices'!B390="",'04 Prices'!B391=""),"",LN('04 Prices'!B391/'04 Prices'!B390))</f>
        <v/>
      </c>
      <c r="C390" s="25">
        <f>IF(OR($A390="",'04 Prices'!C390="",'04 Prices'!C391=""),"",LN('04 Prices'!C391/'04 Prices'!C390))</f>
        <v/>
      </c>
      <c r="D390" s="25">
        <f>IF(OR($A390="",'04 Prices'!D390="",'04 Prices'!D391=""),"",LN('04 Prices'!D391/'04 Prices'!D390))</f>
        <v/>
      </c>
      <c r="E390" s="25">
        <f>IF(OR($A390="",'04 Prices'!E390="",'04 Prices'!E391=""),"",LN('04 Prices'!E391/'04 Prices'!E390))</f>
        <v/>
      </c>
      <c r="F390" s="25">
        <f>IF(OR($A390="",'04 Prices'!F390="",'04 Prices'!F391=""),"",LN('04 Prices'!F391/'04 Prices'!F390))</f>
        <v/>
      </c>
      <c r="G390" s="25">
        <f>IF(OR($A390="",'04 Prices'!G390="",'04 Prices'!G391=""),"",LN('04 Prices'!G391/'04 Prices'!G390))</f>
        <v/>
      </c>
      <c r="H390" s="25">
        <f>IF(OR($A390="",'04 Prices'!H390="",'04 Prices'!H391=""),"",LN('04 Prices'!H391/'04 Prices'!H390))</f>
        <v/>
      </c>
    </row>
    <row r="391">
      <c r="A391" s="23">
        <f>IF('04 Prices'!A392="","",'04 Prices'!A392)</f>
        <v/>
      </c>
      <c r="B391" s="25">
        <f>IF(OR($A391="",'04 Prices'!B391="",'04 Prices'!B392=""),"",LN('04 Prices'!B392/'04 Prices'!B391))</f>
        <v/>
      </c>
      <c r="C391" s="25">
        <f>IF(OR($A391="",'04 Prices'!C391="",'04 Prices'!C392=""),"",LN('04 Prices'!C392/'04 Prices'!C391))</f>
        <v/>
      </c>
      <c r="D391" s="25">
        <f>IF(OR($A391="",'04 Prices'!D391="",'04 Prices'!D392=""),"",LN('04 Prices'!D392/'04 Prices'!D391))</f>
        <v/>
      </c>
      <c r="E391" s="25">
        <f>IF(OR($A391="",'04 Prices'!E391="",'04 Prices'!E392=""),"",LN('04 Prices'!E392/'04 Prices'!E391))</f>
        <v/>
      </c>
      <c r="F391" s="25">
        <f>IF(OR($A391="",'04 Prices'!F391="",'04 Prices'!F392=""),"",LN('04 Prices'!F392/'04 Prices'!F391))</f>
        <v/>
      </c>
      <c r="G391" s="25">
        <f>IF(OR($A391="",'04 Prices'!G391="",'04 Prices'!G392=""),"",LN('04 Prices'!G392/'04 Prices'!G391))</f>
        <v/>
      </c>
      <c r="H391" s="25">
        <f>IF(OR($A391="",'04 Prices'!H391="",'04 Prices'!H392=""),"",LN('04 Prices'!H392/'04 Prices'!H391))</f>
        <v/>
      </c>
    </row>
    <row r="392">
      <c r="A392" s="23">
        <f>IF('04 Prices'!A393="","",'04 Prices'!A393)</f>
        <v/>
      </c>
      <c r="B392" s="25">
        <f>IF(OR($A392="",'04 Prices'!B392="",'04 Prices'!B393=""),"",LN('04 Prices'!B393/'04 Prices'!B392))</f>
        <v/>
      </c>
      <c r="C392" s="25">
        <f>IF(OR($A392="",'04 Prices'!C392="",'04 Prices'!C393=""),"",LN('04 Prices'!C393/'04 Prices'!C392))</f>
        <v/>
      </c>
      <c r="D392" s="25">
        <f>IF(OR($A392="",'04 Prices'!D392="",'04 Prices'!D393=""),"",LN('04 Prices'!D393/'04 Prices'!D392))</f>
        <v/>
      </c>
      <c r="E392" s="25">
        <f>IF(OR($A392="",'04 Prices'!E392="",'04 Prices'!E393=""),"",LN('04 Prices'!E393/'04 Prices'!E392))</f>
        <v/>
      </c>
      <c r="F392" s="25">
        <f>IF(OR($A392="",'04 Prices'!F392="",'04 Prices'!F393=""),"",LN('04 Prices'!F393/'04 Prices'!F392))</f>
        <v/>
      </c>
      <c r="G392" s="25">
        <f>IF(OR($A392="",'04 Prices'!G392="",'04 Prices'!G393=""),"",LN('04 Prices'!G393/'04 Prices'!G392))</f>
        <v/>
      </c>
      <c r="H392" s="25">
        <f>IF(OR($A392="",'04 Prices'!H392="",'04 Prices'!H393=""),"",LN('04 Prices'!H393/'04 Prices'!H392))</f>
        <v/>
      </c>
    </row>
    <row r="393">
      <c r="A393" s="23">
        <f>IF('04 Prices'!A394="","",'04 Prices'!A394)</f>
        <v/>
      </c>
      <c r="B393" s="25">
        <f>IF(OR($A393="",'04 Prices'!B393="",'04 Prices'!B394=""),"",LN('04 Prices'!B394/'04 Prices'!B393))</f>
        <v/>
      </c>
      <c r="C393" s="25">
        <f>IF(OR($A393="",'04 Prices'!C393="",'04 Prices'!C394=""),"",LN('04 Prices'!C394/'04 Prices'!C393))</f>
        <v/>
      </c>
      <c r="D393" s="25">
        <f>IF(OR($A393="",'04 Prices'!D393="",'04 Prices'!D394=""),"",LN('04 Prices'!D394/'04 Prices'!D393))</f>
        <v/>
      </c>
      <c r="E393" s="25">
        <f>IF(OR($A393="",'04 Prices'!E393="",'04 Prices'!E394=""),"",LN('04 Prices'!E394/'04 Prices'!E393))</f>
        <v/>
      </c>
      <c r="F393" s="25">
        <f>IF(OR($A393="",'04 Prices'!F393="",'04 Prices'!F394=""),"",LN('04 Prices'!F394/'04 Prices'!F393))</f>
        <v/>
      </c>
      <c r="G393" s="25">
        <f>IF(OR($A393="",'04 Prices'!G393="",'04 Prices'!G394=""),"",LN('04 Prices'!G394/'04 Prices'!G393))</f>
        <v/>
      </c>
      <c r="H393" s="25">
        <f>IF(OR($A393="",'04 Prices'!H393="",'04 Prices'!H394=""),"",LN('04 Prices'!H394/'04 Prices'!H393))</f>
        <v/>
      </c>
    </row>
    <row r="394">
      <c r="A394" s="23">
        <f>IF('04 Prices'!A395="","",'04 Prices'!A395)</f>
        <v/>
      </c>
      <c r="B394" s="25">
        <f>IF(OR($A394="",'04 Prices'!B394="",'04 Prices'!B395=""),"",LN('04 Prices'!B395/'04 Prices'!B394))</f>
        <v/>
      </c>
      <c r="C394" s="25">
        <f>IF(OR($A394="",'04 Prices'!C394="",'04 Prices'!C395=""),"",LN('04 Prices'!C395/'04 Prices'!C394))</f>
        <v/>
      </c>
      <c r="D394" s="25">
        <f>IF(OR($A394="",'04 Prices'!D394="",'04 Prices'!D395=""),"",LN('04 Prices'!D395/'04 Prices'!D394))</f>
        <v/>
      </c>
      <c r="E394" s="25">
        <f>IF(OR($A394="",'04 Prices'!E394="",'04 Prices'!E395=""),"",LN('04 Prices'!E395/'04 Prices'!E394))</f>
        <v/>
      </c>
      <c r="F394" s="25">
        <f>IF(OR($A394="",'04 Prices'!F394="",'04 Prices'!F395=""),"",LN('04 Prices'!F395/'04 Prices'!F394))</f>
        <v/>
      </c>
      <c r="G394" s="25">
        <f>IF(OR($A394="",'04 Prices'!G394="",'04 Prices'!G395=""),"",LN('04 Prices'!G395/'04 Prices'!G394))</f>
        <v/>
      </c>
      <c r="H394" s="25">
        <f>IF(OR($A394="",'04 Prices'!H394="",'04 Prices'!H395=""),"",LN('04 Prices'!H395/'04 Prices'!H394))</f>
        <v/>
      </c>
    </row>
    <row r="395">
      <c r="A395" s="23">
        <f>IF('04 Prices'!A396="","",'04 Prices'!A396)</f>
        <v/>
      </c>
      <c r="B395" s="25">
        <f>IF(OR($A395="",'04 Prices'!B395="",'04 Prices'!B396=""),"",LN('04 Prices'!B396/'04 Prices'!B395))</f>
        <v/>
      </c>
      <c r="C395" s="25">
        <f>IF(OR($A395="",'04 Prices'!C395="",'04 Prices'!C396=""),"",LN('04 Prices'!C396/'04 Prices'!C395))</f>
        <v/>
      </c>
      <c r="D395" s="25">
        <f>IF(OR($A395="",'04 Prices'!D395="",'04 Prices'!D396=""),"",LN('04 Prices'!D396/'04 Prices'!D395))</f>
        <v/>
      </c>
      <c r="E395" s="25">
        <f>IF(OR($A395="",'04 Prices'!E395="",'04 Prices'!E396=""),"",LN('04 Prices'!E396/'04 Prices'!E395))</f>
        <v/>
      </c>
      <c r="F395" s="25">
        <f>IF(OR($A395="",'04 Prices'!F395="",'04 Prices'!F396=""),"",LN('04 Prices'!F396/'04 Prices'!F395))</f>
        <v/>
      </c>
      <c r="G395" s="25">
        <f>IF(OR($A395="",'04 Prices'!G395="",'04 Prices'!G396=""),"",LN('04 Prices'!G396/'04 Prices'!G395))</f>
        <v/>
      </c>
      <c r="H395" s="25">
        <f>IF(OR($A395="",'04 Prices'!H395="",'04 Prices'!H396=""),"",LN('04 Prices'!H396/'04 Prices'!H395))</f>
        <v/>
      </c>
    </row>
    <row r="396">
      <c r="A396" s="23">
        <f>IF('04 Prices'!A397="","",'04 Prices'!A397)</f>
        <v/>
      </c>
      <c r="B396" s="25">
        <f>IF(OR($A396="",'04 Prices'!B396="",'04 Prices'!B397=""),"",LN('04 Prices'!B397/'04 Prices'!B396))</f>
        <v/>
      </c>
      <c r="C396" s="25">
        <f>IF(OR($A396="",'04 Prices'!C396="",'04 Prices'!C397=""),"",LN('04 Prices'!C397/'04 Prices'!C396))</f>
        <v/>
      </c>
      <c r="D396" s="25">
        <f>IF(OR($A396="",'04 Prices'!D396="",'04 Prices'!D397=""),"",LN('04 Prices'!D397/'04 Prices'!D396))</f>
        <v/>
      </c>
      <c r="E396" s="25">
        <f>IF(OR($A396="",'04 Prices'!E396="",'04 Prices'!E397=""),"",LN('04 Prices'!E397/'04 Prices'!E396))</f>
        <v/>
      </c>
      <c r="F396" s="25">
        <f>IF(OR($A396="",'04 Prices'!F396="",'04 Prices'!F397=""),"",LN('04 Prices'!F397/'04 Prices'!F396))</f>
        <v/>
      </c>
      <c r="G396" s="25">
        <f>IF(OR($A396="",'04 Prices'!G396="",'04 Prices'!G397=""),"",LN('04 Prices'!G397/'04 Prices'!G396))</f>
        <v/>
      </c>
      <c r="H396" s="25">
        <f>IF(OR($A396="",'04 Prices'!H396="",'04 Prices'!H397=""),"",LN('04 Prices'!H397/'04 Prices'!H396))</f>
        <v/>
      </c>
    </row>
    <row r="397">
      <c r="A397" s="23">
        <f>IF('04 Prices'!A398="","",'04 Prices'!A398)</f>
        <v/>
      </c>
      <c r="B397" s="25">
        <f>IF(OR($A397="",'04 Prices'!B397="",'04 Prices'!B398=""),"",LN('04 Prices'!B398/'04 Prices'!B397))</f>
        <v/>
      </c>
      <c r="C397" s="25">
        <f>IF(OR($A397="",'04 Prices'!C397="",'04 Prices'!C398=""),"",LN('04 Prices'!C398/'04 Prices'!C397))</f>
        <v/>
      </c>
      <c r="D397" s="25">
        <f>IF(OR($A397="",'04 Prices'!D397="",'04 Prices'!D398=""),"",LN('04 Prices'!D398/'04 Prices'!D397))</f>
        <v/>
      </c>
      <c r="E397" s="25">
        <f>IF(OR($A397="",'04 Prices'!E397="",'04 Prices'!E398=""),"",LN('04 Prices'!E398/'04 Prices'!E397))</f>
        <v/>
      </c>
      <c r="F397" s="25">
        <f>IF(OR($A397="",'04 Prices'!F397="",'04 Prices'!F398=""),"",LN('04 Prices'!F398/'04 Prices'!F397))</f>
        <v/>
      </c>
      <c r="G397" s="25">
        <f>IF(OR($A397="",'04 Prices'!G397="",'04 Prices'!G398=""),"",LN('04 Prices'!G398/'04 Prices'!G397))</f>
        <v/>
      </c>
      <c r="H397" s="25">
        <f>IF(OR($A397="",'04 Prices'!H397="",'04 Prices'!H398=""),"",LN('04 Prices'!H398/'04 Prices'!H397))</f>
        <v/>
      </c>
    </row>
    <row r="398">
      <c r="A398" s="23">
        <f>IF('04 Prices'!A399="","",'04 Prices'!A399)</f>
        <v/>
      </c>
      <c r="B398" s="25">
        <f>IF(OR($A398="",'04 Prices'!B398="",'04 Prices'!B399=""),"",LN('04 Prices'!B399/'04 Prices'!B398))</f>
        <v/>
      </c>
      <c r="C398" s="25">
        <f>IF(OR($A398="",'04 Prices'!C398="",'04 Prices'!C399=""),"",LN('04 Prices'!C399/'04 Prices'!C398))</f>
        <v/>
      </c>
      <c r="D398" s="25">
        <f>IF(OR($A398="",'04 Prices'!D398="",'04 Prices'!D399=""),"",LN('04 Prices'!D399/'04 Prices'!D398))</f>
        <v/>
      </c>
      <c r="E398" s="25">
        <f>IF(OR($A398="",'04 Prices'!E398="",'04 Prices'!E399=""),"",LN('04 Prices'!E399/'04 Prices'!E398))</f>
        <v/>
      </c>
      <c r="F398" s="25">
        <f>IF(OR($A398="",'04 Prices'!F398="",'04 Prices'!F399=""),"",LN('04 Prices'!F399/'04 Prices'!F398))</f>
        <v/>
      </c>
      <c r="G398" s="25">
        <f>IF(OR($A398="",'04 Prices'!G398="",'04 Prices'!G399=""),"",LN('04 Prices'!G399/'04 Prices'!G398))</f>
        <v/>
      </c>
      <c r="H398" s="25">
        <f>IF(OR($A398="",'04 Prices'!H398="",'04 Prices'!H399=""),"",LN('04 Prices'!H399/'04 Prices'!H398))</f>
        <v/>
      </c>
    </row>
    <row r="399">
      <c r="A399" s="23">
        <f>IF('04 Prices'!A400="","",'04 Prices'!A400)</f>
        <v/>
      </c>
      <c r="B399" s="25">
        <f>IF(OR($A399="",'04 Prices'!B399="",'04 Prices'!B400=""),"",LN('04 Prices'!B400/'04 Prices'!B399))</f>
        <v/>
      </c>
      <c r="C399" s="25">
        <f>IF(OR($A399="",'04 Prices'!C399="",'04 Prices'!C400=""),"",LN('04 Prices'!C400/'04 Prices'!C399))</f>
        <v/>
      </c>
      <c r="D399" s="25">
        <f>IF(OR($A399="",'04 Prices'!D399="",'04 Prices'!D400=""),"",LN('04 Prices'!D400/'04 Prices'!D399))</f>
        <v/>
      </c>
      <c r="E399" s="25">
        <f>IF(OR($A399="",'04 Prices'!E399="",'04 Prices'!E400=""),"",LN('04 Prices'!E400/'04 Prices'!E399))</f>
        <v/>
      </c>
      <c r="F399" s="25">
        <f>IF(OR($A399="",'04 Prices'!F399="",'04 Prices'!F400=""),"",LN('04 Prices'!F400/'04 Prices'!F399))</f>
        <v/>
      </c>
      <c r="G399" s="25">
        <f>IF(OR($A399="",'04 Prices'!G399="",'04 Prices'!G400=""),"",LN('04 Prices'!G400/'04 Prices'!G399))</f>
        <v/>
      </c>
      <c r="H399" s="25">
        <f>IF(OR($A399="",'04 Prices'!H399="",'04 Prices'!H400=""),"",LN('04 Prices'!H400/'04 Prices'!H399))</f>
        <v/>
      </c>
    </row>
    <row r="400">
      <c r="A400" s="23">
        <f>IF('04 Prices'!A401="","",'04 Prices'!A401)</f>
        <v/>
      </c>
      <c r="B400" s="25">
        <f>IF(OR($A400="",'04 Prices'!B400="",'04 Prices'!B401=""),"",LN('04 Prices'!B401/'04 Prices'!B400))</f>
        <v/>
      </c>
      <c r="C400" s="25">
        <f>IF(OR($A400="",'04 Prices'!C400="",'04 Prices'!C401=""),"",LN('04 Prices'!C401/'04 Prices'!C400))</f>
        <v/>
      </c>
      <c r="D400" s="25">
        <f>IF(OR($A400="",'04 Prices'!D400="",'04 Prices'!D401=""),"",LN('04 Prices'!D401/'04 Prices'!D400))</f>
        <v/>
      </c>
      <c r="E400" s="25">
        <f>IF(OR($A400="",'04 Prices'!E400="",'04 Prices'!E401=""),"",LN('04 Prices'!E401/'04 Prices'!E400))</f>
        <v/>
      </c>
      <c r="F400" s="25">
        <f>IF(OR($A400="",'04 Prices'!F400="",'04 Prices'!F401=""),"",LN('04 Prices'!F401/'04 Prices'!F400))</f>
        <v/>
      </c>
      <c r="G400" s="25">
        <f>IF(OR($A400="",'04 Prices'!G400="",'04 Prices'!G401=""),"",LN('04 Prices'!G401/'04 Prices'!G400))</f>
        <v/>
      </c>
      <c r="H400" s="25">
        <f>IF(OR($A400="",'04 Prices'!H400="",'04 Prices'!H401=""),"",LN('04 Prices'!H401/'04 Prices'!H400))</f>
        <v/>
      </c>
    </row>
    <row r="401">
      <c r="A401" s="23">
        <f>IF('04 Prices'!A402="","",'04 Prices'!A402)</f>
        <v/>
      </c>
      <c r="B401" s="25">
        <f>IF(OR($A401="",'04 Prices'!B401="",'04 Prices'!B402=""),"",LN('04 Prices'!B402/'04 Prices'!B401))</f>
        <v/>
      </c>
      <c r="C401" s="25">
        <f>IF(OR($A401="",'04 Prices'!C401="",'04 Prices'!C402=""),"",LN('04 Prices'!C402/'04 Prices'!C401))</f>
        <v/>
      </c>
      <c r="D401" s="25">
        <f>IF(OR($A401="",'04 Prices'!D401="",'04 Prices'!D402=""),"",LN('04 Prices'!D402/'04 Prices'!D401))</f>
        <v/>
      </c>
      <c r="E401" s="25">
        <f>IF(OR($A401="",'04 Prices'!E401="",'04 Prices'!E402=""),"",LN('04 Prices'!E402/'04 Prices'!E401))</f>
        <v/>
      </c>
      <c r="F401" s="25">
        <f>IF(OR($A401="",'04 Prices'!F401="",'04 Prices'!F402=""),"",LN('04 Prices'!F402/'04 Prices'!F401))</f>
        <v/>
      </c>
      <c r="G401" s="25">
        <f>IF(OR($A401="",'04 Prices'!G401="",'04 Prices'!G402=""),"",LN('04 Prices'!G402/'04 Prices'!G401))</f>
        <v/>
      </c>
      <c r="H401" s="25">
        <f>IF(OR($A401="",'04 Prices'!H401="",'04 Prices'!H402=""),"",LN('04 Prices'!H402/'04 Prices'!H401))</f>
        <v/>
      </c>
    </row>
    <row r="402">
      <c r="A402" s="23">
        <f>IF('04 Prices'!A403="","",'04 Prices'!A403)</f>
        <v/>
      </c>
      <c r="B402" s="25">
        <f>IF(OR($A402="",'04 Prices'!B402="",'04 Prices'!B403=""),"",LN('04 Prices'!B403/'04 Prices'!B402))</f>
        <v/>
      </c>
      <c r="C402" s="25">
        <f>IF(OR($A402="",'04 Prices'!C402="",'04 Prices'!C403=""),"",LN('04 Prices'!C403/'04 Prices'!C402))</f>
        <v/>
      </c>
      <c r="D402" s="25">
        <f>IF(OR($A402="",'04 Prices'!D402="",'04 Prices'!D403=""),"",LN('04 Prices'!D403/'04 Prices'!D402))</f>
        <v/>
      </c>
      <c r="E402" s="25">
        <f>IF(OR($A402="",'04 Prices'!E402="",'04 Prices'!E403=""),"",LN('04 Prices'!E403/'04 Prices'!E402))</f>
        <v/>
      </c>
      <c r="F402" s="25">
        <f>IF(OR($A402="",'04 Prices'!F402="",'04 Prices'!F403=""),"",LN('04 Prices'!F403/'04 Prices'!F402))</f>
        <v/>
      </c>
      <c r="G402" s="25">
        <f>IF(OR($A402="",'04 Prices'!G402="",'04 Prices'!G403=""),"",LN('04 Prices'!G403/'04 Prices'!G402))</f>
        <v/>
      </c>
      <c r="H402" s="25">
        <f>IF(OR($A402="",'04 Prices'!H402="",'04 Prices'!H403=""),"",LN('04 Prices'!H403/'04 Prices'!H402))</f>
        <v/>
      </c>
    </row>
    <row r="403">
      <c r="A403" s="23">
        <f>IF('04 Prices'!A404="","",'04 Prices'!A404)</f>
        <v/>
      </c>
      <c r="B403" s="25">
        <f>IF(OR($A403="",'04 Prices'!B403="",'04 Prices'!B404=""),"",LN('04 Prices'!B404/'04 Prices'!B403))</f>
        <v/>
      </c>
      <c r="C403" s="25">
        <f>IF(OR($A403="",'04 Prices'!C403="",'04 Prices'!C404=""),"",LN('04 Prices'!C404/'04 Prices'!C403))</f>
        <v/>
      </c>
      <c r="D403" s="25">
        <f>IF(OR($A403="",'04 Prices'!D403="",'04 Prices'!D404=""),"",LN('04 Prices'!D404/'04 Prices'!D403))</f>
        <v/>
      </c>
      <c r="E403" s="25">
        <f>IF(OR($A403="",'04 Prices'!E403="",'04 Prices'!E404=""),"",LN('04 Prices'!E404/'04 Prices'!E403))</f>
        <v/>
      </c>
      <c r="F403" s="25">
        <f>IF(OR($A403="",'04 Prices'!F403="",'04 Prices'!F404=""),"",LN('04 Prices'!F404/'04 Prices'!F403))</f>
        <v/>
      </c>
      <c r="G403" s="25">
        <f>IF(OR($A403="",'04 Prices'!G403="",'04 Prices'!G404=""),"",LN('04 Prices'!G404/'04 Prices'!G403))</f>
        <v/>
      </c>
      <c r="H403" s="25">
        <f>IF(OR($A403="",'04 Prices'!H403="",'04 Prices'!H404=""),"",LN('04 Prices'!H404/'04 Prices'!H403))</f>
        <v/>
      </c>
    </row>
    <row r="404">
      <c r="A404" s="23">
        <f>IF('04 Prices'!A405="","",'04 Prices'!A405)</f>
        <v/>
      </c>
      <c r="B404" s="25">
        <f>IF(OR($A404="",'04 Prices'!B404="",'04 Prices'!B405=""),"",LN('04 Prices'!B405/'04 Prices'!B404))</f>
        <v/>
      </c>
      <c r="C404" s="25">
        <f>IF(OR($A404="",'04 Prices'!C404="",'04 Prices'!C405=""),"",LN('04 Prices'!C405/'04 Prices'!C404))</f>
        <v/>
      </c>
      <c r="D404" s="25">
        <f>IF(OR($A404="",'04 Prices'!D404="",'04 Prices'!D405=""),"",LN('04 Prices'!D405/'04 Prices'!D404))</f>
        <v/>
      </c>
      <c r="E404" s="25">
        <f>IF(OR($A404="",'04 Prices'!E404="",'04 Prices'!E405=""),"",LN('04 Prices'!E405/'04 Prices'!E404))</f>
        <v/>
      </c>
      <c r="F404" s="25">
        <f>IF(OR($A404="",'04 Prices'!F404="",'04 Prices'!F405=""),"",LN('04 Prices'!F405/'04 Prices'!F404))</f>
        <v/>
      </c>
      <c r="G404" s="25">
        <f>IF(OR($A404="",'04 Prices'!G404="",'04 Prices'!G405=""),"",LN('04 Prices'!G405/'04 Prices'!G404))</f>
        <v/>
      </c>
      <c r="H404" s="25">
        <f>IF(OR($A404="",'04 Prices'!H404="",'04 Prices'!H405=""),"",LN('04 Prices'!H405/'04 Prices'!H404))</f>
        <v/>
      </c>
    </row>
    <row r="405">
      <c r="A405" s="23">
        <f>IF('04 Prices'!A406="","",'04 Prices'!A406)</f>
        <v/>
      </c>
      <c r="B405" s="25">
        <f>IF(OR($A405="",'04 Prices'!B405="",'04 Prices'!B406=""),"",LN('04 Prices'!B406/'04 Prices'!B405))</f>
        <v/>
      </c>
      <c r="C405" s="25">
        <f>IF(OR($A405="",'04 Prices'!C405="",'04 Prices'!C406=""),"",LN('04 Prices'!C406/'04 Prices'!C405))</f>
        <v/>
      </c>
      <c r="D405" s="25">
        <f>IF(OR($A405="",'04 Prices'!D405="",'04 Prices'!D406=""),"",LN('04 Prices'!D406/'04 Prices'!D405))</f>
        <v/>
      </c>
      <c r="E405" s="25">
        <f>IF(OR($A405="",'04 Prices'!E405="",'04 Prices'!E406=""),"",LN('04 Prices'!E406/'04 Prices'!E405))</f>
        <v/>
      </c>
      <c r="F405" s="25">
        <f>IF(OR($A405="",'04 Prices'!F405="",'04 Prices'!F406=""),"",LN('04 Prices'!F406/'04 Prices'!F405))</f>
        <v/>
      </c>
      <c r="G405" s="25">
        <f>IF(OR($A405="",'04 Prices'!G405="",'04 Prices'!G406=""),"",LN('04 Prices'!G406/'04 Prices'!G405))</f>
        <v/>
      </c>
      <c r="H405" s="25">
        <f>IF(OR($A405="",'04 Prices'!H405="",'04 Prices'!H406=""),"",LN('04 Prices'!H406/'04 Prices'!H405))</f>
        <v/>
      </c>
    </row>
    <row r="406">
      <c r="A406" s="23">
        <f>IF('04 Prices'!A407="","",'04 Prices'!A407)</f>
        <v/>
      </c>
      <c r="B406" s="25">
        <f>IF(OR($A406="",'04 Prices'!B406="",'04 Prices'!B407=""),"",LN('04 Prices'!B407/'04 Prices'!B406))</f>
        <v/>
      </c>
      <c r="C406" s="25">
        <f>IF(OR($A406="",'04 Prices'!C406="",'04 Prices'!C407=""),"",LN('04 Prices'!C407/'04 Prices'!C406))</f>
        <v/>
      </c>
      <c r="D406" s="25">
        <f>IF(OR($A406="",'04 Prices'!D406="",'04 Prices'!D407=""),"",LN('04 Prices'!D407/'04 Prices'!D406))</f>
        <v/>
      </c>
      <c r="E406" s="25">
        <f>IF(OR($A406="",'04 Prices'!E406="",'04 Prices'!E407=""),"",LN('04 Prices'!E407/'04 Prices'!E406))</f>
        <v/>
      </c>
      <c r="F406" s="25">
        <f>IF(OR($A406="",'04 Prices'!F406="",'04 Prices'!F407=""),"",LN('04 Prices'!F407/'04 Prices'!F406))</f>
        <v/>
      </c>
      <c r="G406" s="25">
        <f>IF(OR($A406="",'04 Prices'!G406="",'04 Prices'!G407=""),"",LN('04 Prices'!G407/'04 Prices'!G406))</f>
        <v/>
      </c>
      <c r="H406" s="25">
        <f>IF(OR($A406="",'04 Prices'!H406="",'04 Prices'!H407=""),"",LN('04 Prices'!H407/'04 Prices'!H406))</f>
        <v/>
      </c>
    </row>
    <row r="407">
      <c r="A407" s="23">
        <f>IF('04 Prices'!A408="","",'04 Prices'!A408)</f>
        <v/>
      </c>
      <c r="B407" s="25">
        <f>IF(OR($A407="",'04 Prices'!B407="",'04 Prices'!B408=""),"",LN('04 Prices'!B408/'04 Prices'!B407))</f>
        <v/>
      </c>
      <c r="C407" s="25">
        <f>IF(OR($A407="",'04 Prices'!C407="",'04 Prices'!C408=""),"",LN('04 Prices'!C408/'04 Prices'!C407))</f>
        <v/>
      </c>
      <c r="D407" s="25">
        <f>IF(OR($A407="",'04 Prices'!D407="",'04 Prices'!D408=""),"",LN('04 Prices'!D408/'04 Prices'!D407))</f>
        <v/>
      </c>
      <c r="E407" s="25">
        <f>IF(OR($A407="",'04 Prices'!E407="",'04 Prices'!E408=""),"",LN('04 Prices'!E408/'04 Prices'!E407))</f>
        <v/>
      </c>
      <c r="F407" s="25">
        <f>IF(OR($A407="",'04 Prices'!F407="",'04 Prices'!F408=""),"",LN('04 Prices'!F408/'04 Prices'!F407))</f>
        <v/>
      </c>
      <c r="G407" s="25">
        <f>IF(OR($A407="",'04 Prices'!G407="",'04 Prices'!G408=""),"",LN('04 Prices'!G408/'04 Prices'!G407))</f>
        <v/>
      </c>
      <c r="H407" s="25">
        <f>IF(OR($A407="",'04 Prices'!H407="",'04 Prices'!H408=""),"",LN('04 Prices'!H408/'04 Prices'!H407))</f>
        <v/>
      </c>
    </row>
    <row r="408">
      <c r="A408" s="23">
        <f>IF('04 Prices'!A409="","",'04 Prices'!A409)</f>
        <v/>
      </c>
      <c r="B408" s="25">
        <f>IF(OR($A408="",'04 Prices'!B408="",'04 Prices'!B409=""),"",LN('04 Prices'!B409/'04 Prices'!B408))</f>
        <v/>
      </c>
      <c r="C408" s="25">
        <f>IF(OR($A408="",'04 Prices'!C408="",'04 Prices'!C409=""),"",LN('04 Prices'!C409/'04 Prices'!C408))</f>
        <v/>
      </c>
      <c r="D408" s="25">
        <f>IF(OR($A408="",'04 Prices'!D408="",'04 Prices'!D409=""),"",LN('04 Prices'!D409/'04 Prices'!D408))</f>
        <v/>
      </c>
      <c r="E408" s="25">
        <f>IF(OR($A408="",'04 Prices'!E408="",'04 Prices'!E409=""),"",LN('04 Prices'!E409/'04 Prices'!E408))</f>
        <v/>
      </c>
      <c r="F408" s="25">
        <f>IF(OR($A408="",'04 Prices'!F408="",'04 Prices'!F409=""),"",LN('04 Prices'!F409/'04 Prices'!F408))</f>
        <v/>
      </c>
      <c r="G408" s="25">
        <f>IF(OR($A408="",'04 Prices'!G408="",'04 Prices'!G409=""),"",LN('04 Prices'!G409/'04 Prices'!G408))</f>
        <v/>
      </c>
      <c r="H408" s="25">
        <f>IF(OR($A408="",'04 Prices'!H408="",'04 Prices'!H409=""),"",LN('04 Prices'!H409/'04 Prices'!H408))</f>
        <v/>
      </c>
    </row>
    <row r="409">
      <c r="A409" s="23">
        <f>IF('04 Prices'!A410="","",'04 Prices'!A410)</f>
        <v/>
      </c>
      <c r="B409" s="25">
        <f>IF(OR($A409="",'04 Prices'!B409="",'04 Prices'!B410=""),"",LN('04 Prices'!B410/'04 Prices'!B409))</f>
        <v/>
      </c>
      <c r="C409" s="25">
        <f>IF(OR($A409="",'04 Prices'!C409="",'04 Prices'!C410=""),"",LN('04 Prices'!C410/'04 Prices'!C409))</f>
        <v/>
      </c>
      <c r="D409" s="25">
        <f>IF(OR($A409="",'04 Prices'!D409="",'04 Prices'!D410=""),"",LN('04 Prices'!D410/'04 Prices'!D409))</f>
        <v/>
      </c>
      <c r="E409" s="25">
        <f>IF(OR($A409="",'04 Prices'!E409="",'04 Prices'!E410=""),"",LN('04 Prices'!E410/'04 Prices'!E409))</f>
        <v/>
      </c>
      <c r="F409" s="25">
        <f>IF(OR($A409="",'04 Prices'!F409="",'04 Prices'!F410=""),"",LN('04 Prices'!F410/'04 Prices'!F409))</f>
        <v/>
      </c>
      <c r="G409" s="25">
        <f>IF(OR($A409="",'04 Prices'!G409="",'04 Prices'!G410=""),"",LN('04 Prices'!G410/'04 Prices'!G409))</f>
        <v/>
      </c>
      <c r="H409" s="25">
        <f>IF(OR($A409="",'04 Prices'!H409="",'04 Prices'!H410=""),"",LN('04 Prices'!H410/'04 Prices'!H409))</f>
        <v/>
      </c>
    </row>
    <row r="410">
      <c r="A410" s="23">
        <f>IF('04 Prices'!A411="","",'04 Prices'!A411)</f>
        <v/>
      </c>
      <c r="B410" s="25">
        <f>IF(OR($A410="",'04 Prices'!B410="",'04 Prices'!B411=""),"",LN('04 Prices'!B411/'04 Prices'!B410))</f>
        <v/>
      </c>
      <c r="C410" s="25">
        <f>IF(OR($A410="",'04 Prices'!C410="",'04 Prices'!C411=""),"",LN('04 Prices'!C411/'04 Prices'!C410))</f>
        <v/>
      </c>
      <c r="D410" s="25">
        <f>IF(OR($A410="",'04 Prices'!D410="",'04 Prices'!D411=""),"",LN('04 Prices'!D411/'04 Prices'!D410))</f>
        <v/>
      </c>
      <c r="E410" s="25">
        <f>IF(OR($A410="",'04 Prices'!E410="",'04 Prices'!E411=""),"",LN('04 Prices'!E411/'04 Prices'!E410))</f>
        <v/>
      </c>
      <c r="F410" s="25">
        <f>IF(OR($A410="",'04 Prices'!F410="",'04 Prices'!F411=""),"",LN('04 Prices'!F411/'04 Prices'!F410))</f>
        <v/>
      </c>
      <c r="G410" s="25">
        <f>IF(OR($A410="",'04 Prices'!G410="",'04 Prices'!G411=""),"",LN('04 Prices'!G411/'04 Prices'!G410))</f>
        <v/>
      </c>
      <c r="H410" s="25">
        <f>IF(OR($A410="",'04 Prices'!H410="",'04 Prices'!H411=""),"",LN('04 Prices'!H411/'04 Prices'!H410))</f>
        <v/>
      </c>
    </row>
    <row r="411">
      <c r="A411" s="23">
        <f>IF('04 Prices'!A412="","",'04 Prices'!A412)</f>
        <v/>
      </c>
      <c r="B411" s="25">
        <f>IF(OR($A411="",'04 Prices'!B411="",'04 Prices'!B412=""),"",LN('04 Prices'!B412/'04 Prices'!B411))</f>
        <v/>
      </c>
      <c r="C411" s="25">
        <f>IF(OR($A411="",'04 Prices'!C411="",'04 Prices'!C412=""),"",LN('04 Prices'!C412/'04 Prices'!C411))</f>
        <v/>
      </c>
      <c r="D411" s="25">
        <f>IF(OR($A411="",'04 Prices'!D411="",'04 Prices'!D412=""),"",LN('04 Prices'!D412/'04 Prices'!D411))</f>
        <v/>
      </c>
      <c r="E411" s="25">
        <f>IF(OR($A411="",'04 Prices'!E411="",'04 Prices'!E412=""),"",LN('04 Prices'!E412/'04 Prices'!E411))</f>
        <v/>
      </c>
      <c r="F411" s="25">
        <f>IF(OR($A411="",'04 Prices'!F411="",'04 Prices'!F412=""),"",LN('04 Prices'!F412/'04 Prices'!F411))</f>
        <v/>
      </c>
      <c r="G411" s="25">
        <f>IF(OR($A411="",'04 Prices'!G411="",'04 Prices'!G412=""),"",LN('04 Prices'!G412/'04 Prices'!G411))</f>
        <v/>
      </c>
      <c r="H411" s="25">
        <f>IF(OR($A411="",'04 Prices'!H411="",'04 Prices'!H412=""),"",LN('04 Prices'!H412/'04 Prices'!H411))</f>
        <v/>
      </c>
    </row>
    <row r="412">
      <c r="A412" s="23">
        <f>IF('04 Prices'!A413="","",'04 Prices'!A413)</f>
        <v/>
      </c>
      <c r="B412" s="25">
        <f>IF(OR($A412="",'04 Prices'!B412="",'04 Prices'!B413=""),"",LN('04 Prices'!B413/'04 Prices'!B412))</f>
        <v/>
      </c>
      <c r="C412" s="25">
        <f>IF(OR($A412="",'04 Prices'!C412="",'04 Prices'!C413=""),"",LN('04 Prices'!C413/'04 Prices'!C412))</f>
        <v/>
      </c>
      <c r="D412" s="25">
        <f>IF(OR($A412="",'04 Prices'!D412="",'04 Prices'!D413=""),"",LN('04 Prices'!D413/'04 Prices'!D412))</f>
        <v/>
      </c>
      <c r="E412" s="25">
        <f>IF(OR($A412="",'04 Prices'!E412="",'04 Prices'!E413=""),"",LN('04 Prices'!E413/'04 Prices'!E412))</f>
        <v/>
      </c>
      <c r="F412" s="25">
        <f>IF(OR($A412="",'04 Prices'!F412="",'04 Prices'!F413=""),"",LN('04 Prices'!F413/'04 Prices'!F412))</f>
        <v/>
      </c>
      <c r="G412" s="25">
        <f>IF(OR($A412="",'04 Prices'!G412="",'04 Prices'!G413=""),"",LN('04 Prices'!G413/'04 Prices'!G412))</f>
        <v/>
      </c>
      <c r="H412" s="25">
        <f>IF(OR($A412="",'04 Prices'!H412="",'04 Prices'!H413=""),"",LN('04 Prices'!H413/'04 Prices'!H412))</f>
        <v/>
      </c>
    </row>
    <row r="413">
      <c r="A413" s="23">
        <f>IF('04 Prices'!A414="","",'04 Prices'!A414)</f>
        <v/>
      </c>
      <c r="B413" s="25">
        <f>IF(OR($A413="",'04 Prices'!B413="",'04 Prices'!B414=""),"",LN('04 Prices'!B414/'04 Prices'!B413))</f>
        <v/>
      </c>
      <c r="C413" s="25">
        <f>IF(OR($A413="",'04 Prices'!C413="",'04 Prices'!C414=""),"",LN('04 Prices'!C414/'04 Prices'!C413))</f>
        <v/>
      </c>
      <c r="D413" s="25">
        <f>IF(OR($A413="",'04 Prices'!D413="",'04 Prices'!D414=""),"",LN('04 Prices'!D414/'04 Prices'!D413))</f>
        <v/>
      </c>
      <c r="E413" s="25">
        <f>IF(OR($A413="",'04 Prices'!E413="",'04 Prices'!E414=""),"",LN('04 Prices'!E414/'04 Prices'!E413))</f>
        <v/>
      </c>
      <c r="F413" s="25">
        <f>IF(OR($A413="",'04 Prices'!F413="",'04 Prices'!F414=""),"",LN('04 Prices'!F414/'04 Prices'!F413))</f>
        <v/>
      </c>
      <c r="G413" s="25">
        <f>IF(OR($A413="",'04 Prices'!G413="",'04 Prices'!G414=""),"",LN('04 Prices'!G414/'04 Prices'!G413))</f>
        <v/>
      </c>
      <c r="H413" s="25">
        <f>IF(OR($A413="",'04 Prices'!H413="",'04 Prices'!H414=""),"",LN('04 Prices'!H414/'04 Prices'!H413))</f>
        <v/>
      </c>
    </row>
    <row r="414">
      <c r="A414" s="23">
        <f>IF('04 Prices'!A415="","",'04 Prices'!A415)</f>
        <v/>
      </c>
      <c r="B414" s="25">
        <f>IF(OR($A414="",'04 Prices'!B414="",'04 Prices'!B415=""),"",LN('04 Prices'!B415/'04 Prices'!B414))</f>
        <v/>
      </c>
      <c r="C414" s="25">
        <f>IF(OR($A414="",'04 Prices'!C414="",'04 Prices'!C415=""),"",LN('04 Prices'!C415/'04 Prices'!C414))</f>
        <v/>
      </c>
      <c r="D414" s="25">
        <f>IF(OR($A414="",'04 Prices'!D414="",'04 Prices'!D415=""),"",LN('04 Prices'!D415/'04 Prices'!D414))</f>
        <v/>
      </c>
      <c r="E414" s="25">
        <f>IF(OR($A414="",'04 Prices'!E414="",'04 Prices'!E415=""),"",LN('04 Prices'!E415/'04 Prices'!E414))</f>
        <v/>
      </c>
      <c r="F414" s="25">
        <f>IF(OR($A414="",'04 Prices'!F414="",'04 Prices'!F415=""),"",LN('04 Prices'!F415/'04 Prices'!F414))</f>
        <v/>
      </c>
      <c r="G414" s="25">
        <f>IF(OR($A414="",'04 Prices'!G414="",'04 Prices'!G415=""),"",LN('04 Prices'!G415/'04 Prices'!G414))</f>
        <v/>
      </c>
      <c r="H414" s="25">
        <f>IF(OR($A414="",'04 Prices'!H414="",'04 Prices'!H415=""),"",LN('04 Prices'!H415/'04 Prices'!H414))</f>
        <v/>
      </c>
    </row>
    <row r="415">
      <c r="A415" s="23">
        <f>IF('04 Prices'!A416="","",'04 Prices'!A416)</f>
        <v/>
      </c>
      <c r="B415" s="25">
        <f>IF(OR($A415="",'04 Prices'!B415="",'04 Prices'!B416=""),"",LN('04 Prices'!B416/'04 Prices'!B415))</f>
        <v/>
      </c>
      <c r="C415" s="25">
        <f>IF(OR($A415="",'04 Prices'!C415="",'04 Prices'!C416=""),"",LN('04 Prices'!C416/'04 Prices'!C415))</f>
        <v/>
      </c>
      <c r="D415" s="25">
        <f>IF(OR($A415="",'04 Prices'!D415="",'04 Prices'!D416=""),"",LN('04 Prices'!D416/'04 Prices'!D415))</f>
        <v/>
      </c>
      <c r="E415" s="25">
        <f>IF(OR($A415="",'04 Prices'!E415="",'04 Prices'!E416=""),"",LN('04 Prices'!E416/'04 Prices'!E415))</f>
        <v/>
      </c>
      <c r="F415" s="25">
        <f>IF(OR($A415="",'04 Prices'!F415="",'04 Prices'!F416=""),"",LN('04 Prices'!F416/'04 Prices'!F415))</f>
        <v/>
      </c>
      <c r="G415" s="25">
        <f>IF(OR($A415="",'04 Prices'!G415="",'04 Prices'!G416=""),"",LN('04 Prices'!G416/'04 Prices'!G415))</f>
        <v/>
      </c>
      <c r="H415" s="25">
        <f>IF(OR($A415="",'04 Prices'!H415="",'04 Prices'!H416=""),"",LN('04 Prices'!H416/'04 Prices'!H415))</f>
        <v/>
      </c>
    </row>
    <row r="416">
      <c r="A416" s="23">
        <f>IF('04 Prices'!A417="","",'04 Prices'!A417)</f>
        <v/>
      </c>
      <c r="B416" s="25">
        <f>IF(OR($A416="",'04 Prices'!B416="",'04 Prices'!B417=""),"",LN('04 Prices'!B417/'04 Prices'!B416))</f>
        <v/>
      </c>
      <c r="C416" s="25">
        <f>IF(OR($A416="",'04 Prices'!C416="",'04 Prices'!C417=""),"",LN('04 Prices'!C417/'04 Prices'!C416))</f>
        <v/>
      </c>
      <c r="D416" s="25">
        <f>IF(OR($A416="",'04 Prices'!D416="",'04 Prices'!D417=""),"",LN('04 Prices'!D417/'04 Prices'!D416))</f>
        <v/>
      </c>
      <c r="E416" s="25">
        <f>IF(OR($A416="",'04 Prices'!E416="",'04 Prices'!E417=""),"",LN('04 Prices'!E417/'04 Prices'!E416))</f>
        <v/>
      </c>
      <c r="F416" s="25">
        <f>IF(OR($A416="",'04 Prices'!F416="",'04 Prices'!F417=""),"",LN('04 Prices'!F417/'04 Prices'!F416))</f>
        <v/>
      </c>
      <c r="G416" s="25">
        <f>IF(OR($A416="",'04 Prices'!G416="",'04 Prices'!G417=""),"",LN('04 Prices'!G417/'04 Prices'!G416))</f>
        <v/>
      </c>
      <c r="H416" s="25">
        <f>IF(OR($A416="",'04 Prices'!H416="",'04 Prices'!H417=""),"",LN('04 Prices'!H417/'04 Prices'!H416))</f>
        <v/>
      </c>
    </row>
    <row r="417">
      <c r="A417" s="23">
        <f>IF('04 Prices'!A418="","",'04 Prices'!A418)</f>
        <v/>
      </c>
      <c r="B417" s="25">
        <f>IF(OR($A417="",'04 Prices'!B417="",'04 Prices'!B418=""),"",LN('04 Prices'!B418/'04 Prices'!B417))</f>
        <v/>
      </c>
      <c r="C417" s="25">
        <f>IF(OR($A417="",'04 Prices'!C417="",'04 Prices'!C418=""),"",LN('04 Prices'!C418/'04 Prices'!C417))</f>
        <v/>
      </c>
      <c r="D417" s="25">
        <f>IF(OR($A417="",'04 Prices'!D417="",'04 Prices'!D418=""),"",LN('04 Prices'!D418/'04 Prices'!D417))</f>
        <v/>
      </c>
      <c r="E417" s="25">
        <f>IF(OR($A417="",'04 Prices'!E417="",'04 Prices'!E418=""),"",LN('04 Prices'!E418/'04 Prices'!E417))</f>
        <v/>
      </c>
      <c r="F417" s="25">
        <f>IF(OR($A417="",'04 Prices'!F417="",'04 Prices'!F418=""),"",LN('04 Prices'!F418/'04 Prices'!F417))</f>
        <v/>
      </c>
      <c r="G417" s="25">
        <f>IF(OR($A417="",'04 Prices'!G417="",'04 Prices'!G418=""),"",LN('04 Prices'!G418/'04 Prices'!G417))</f>
        <v/>
      </c>
      <c r="H417" s="25">
        <f>IF(OR($A417="",'04 Prices'!H417="",'04 Prices'!H418=""),"",LN('04 Prices'!H418/'04 Prices'!H417))</f>
        <v/>
      </c>
    </row>
    <row r="418">
      <c r="A418" s="23">
        <f>IF('04 Prices'!A419="","",'04 Prices'!A419)</f>
        <v/>
      </c>
      <c r="B418" s="25">
        <f>IF(OR($A418="",'04 Prices'!B418="",'04 Prices'!B419=""),"",LN('04 Prices'!B419/'04 Prices'!B418))</f>
        <v/>
      </c>
      <c r="C418" s="25">
        <f>IF(OR($A418="",'04 Prices'!C418="",'04 Prices'!C419=""),"",LN('04 Prices'!C419/'04 Prices'!C418))</f>
        <v/>
      </c>
      <c r="D418" s="25">
        <f>IF(OR($A418="",'04 Prices'!D418="",'04 Prices'!D419=""),"",LN('04 Prices'!D419/'04 Prices'!D418))</f>
        <v/>
      </c>
      <c r="E418" s="25">
        <f>IF(OR($A418="",'04 Prices'!E418="",'04 Prices'!E419=""),"",LN('04 Prices'!E419/'04 Prices'!E418))</f>
        <v/>
      </c>
      <c r="F418" s="25">
        <f>IF(OR($A418="",'04 Prices'!F418="",'04 Prices'!F419=""),"",LN('04 Prices'!F419/'04 Prices'!F418))</f>
        <v/>
      </c>
      <c r="G418" s="25">
        <f>IF(OR($A418="",'04 Prices'!G418="",'04 Prices'!G419=""),"",LN('04 Prices'!G419/'04 Prices'!G418))</f>
        <v/>
      </c>
      <c r="H418" s="25">
        <f>IF(OR($A418="",'04 Prices'!H418="",'04 Prices'!H419=""),"",LN('04 Prices'!H419/'04 Prices'!H418))</f>
        <v/>
      </c>
    </row>
    <row r="419">
      <c r="A419" s="23">
        <f>IF('04 Prices'!A420="","",'04 Prices'!A420)</f>
        <v/>
      </c>
      <c r="B419" s="25">
        <f>IF(OR($A419="",'04 Prices'!B419="",'04 Prices'!B420=""),"",LN('04 Prices'!B420/'04 Prices'!B419))</f>
        <v/>
      </c>
      <c r="C419" s="25">
        <f>IF(OR($A419="",'04 Prices'!C419="",'04 Prices'!C420=""),"",LN('04 Prices'!C420/'04 Prices'!C419))</f>
        <v/>
      </c>
      <c r="D419" s="25">
        <f>IF(OR($A419="",'04 Prices'!D419="",'04 Prices'!D420=""),"",LN('04 Prices'!D420/'04 Prices'!D419))</f>
        <v/>
      </c>
      <c r="E419" s="25">
        <f>IF(OR($A419="",'04 Prices'!E419="",'04 Prices'!E420=""),"",LN('04 Prices'!E420/'04 Prices'!E419))</f>
        <v/>
      </c>
      <c r="F419" s="25">
        <f>IF(OR($A419="",'04 Prices'!F419="",'04 Prices'!F420=""),"",LN('04 Prices'!F420/'04 Prices'!F419))</f>
        <v/>
      </c>
      <c r="G419" s="25">
        <f>IF(OR($A419="",'04 Prices'!G419="",'04 Prices'!G420=""),"",LN('04 Prices'!G420/'04 Prices'!G419))</f>
        <v/>
      </c>
      <c r="H419" s="25">
        <f>IF(OR($A419="",'04 Prices'!H419="",'04 Prices'!H420=""),"",LN('04 Prices'!H420/'04 Prices'!H419))</f>
        <v/>
      </c>
    </row>
    <row r="420">
      <c r="A420" s="23">
        <f>IF('04 Prices'!A421="","",'04 Prices'!A421)</f>
        <v/>
      </c>
      <c r="B420" s="25">
        <f>IF(OR($A420="",'04 Prices'!B420="",'04 Prices'!B421=""),"",LN('04 Prices'!B421/'04 Prices'!B420))</f>
        <v/>
      </c>
      <c r="C420" s="25">
        <f>IF(OR($A420="",'04 Prices'!C420="",'04 Prices'!C421=""),"",LN('04 Prices'!C421/'04 Prices'!C420))</f>
        <v/>
      </c>
      <c r="D420" s="25">
        <f>IF(OR($A420="",'04 Prices'!D420="",'04 Prices'!D421=""),"",LN('04 Prices'!D421/'04 Prices'!D420))</f>
        <v/>
      </c>
      <c r="E420" s="25">
        <f>IF(OR($A420="",'04 Prices'!E420="",'04 Prices'!E421=""),"",LN('04 Prices'!E421/'04 Prices'!E420))</f>
        <v/>
      </c>
      <c r="F420" s="25">
        <f>IF(OR($A420="",'04 Prices'!F420="",'04 Prices'!F421=""),"",LN('04 Prices'!F421/'04 Prices'!F420))</f>
        <v/>
      </c>
      <c r="G420" s="25">
        <f>IF(OR($A420="",'04 Prices'!G420="",'04 Prices'!G421=""),"",LN('04 Prices'!G421/'04 Prices'!G420))</f>
        <v/>
      </c>
      <c r="H420" s="25">
        <f>IF(OR($A420="",'04 Prices'!H420="",'04 Prices'!H421=""),"",LN('04 Prices'!H421/'04 Prices'!H420))</f>
        <v/>
      </c>
    </row>
    <row r="421">
      <c r="A421" s="23">
        <f>IF('04 Prices'!A422="","",'04 Prices'!A422)</f>
        <v/>
      </c>
      <c r="B421" s="25">
        <f>IF(OR($A421="",'04 Prices'!B421="",'04 Prices'!B422=""),"",LN('04 Prices'!B422/'04 Prices'!B421))</f>
        <v/>
      </c>
      <c r="C421" s="25">
        <f>IF(OR($A421="",'04 Prices'!C421="",'04 Prices'!C422=""),"",LN('04 Prices'!C422/'04 Prices'!C421))</f>
        <v/>
      </c>
      <c r="D421" s="25">
        <f>IF(OR($A421="",'04 Prices'!D421="",'04 Prices'!D422=""),"",LN('04 Prices'!D422/'04 Prices'!D421))</f>
        <v/>
      </c>
      <c r="E421" s="25">
        <f>IF(OR($A421="",'04 Prices'!E421="",'04 Prices'!E422=""),"",LN('04 Prices'!E422/'04 Prices'!E421))</f>
        <v/>
      </c>
      <c r="F421" s="25">
        <f>IF(OR($A421="",'04 Prices'!F421="",'04 Prices'!F422=""),"",LN('04 Prices'!F422/'04 Prices'!F421))</f>
        <v/>
      </c>
      <c r="G421" s="25">
        <f>IF(OR($A421="",'04 Prices'!G421="",'04 Prices'!G422=""),"",LN('04 Prices'!G422/'04 Prices'!G421))</f>
        <v/>
      </c>
      <c r="H421" s="25">
        <f>IF(OR($A421="",'04 Prices'!H421="",'04 Prices'!H422=""),"",LN('04 Prices'!H422/'04 Prices'!H421))</f>
        <v/>
      </c>
    </row>
    <row r="422">
      <c r="A422" s="23">
        <f>IF('04 Prices'!A423="","",'04 Prices'!A423)</f>
        <v/>
      </c>
      <c r="B422" s="25">
        <f>IF(OR($A422="",'04 Prices'!B422="",'04 Prices'!B423=""),"",LN('04 Prices'!B423/'04 Prices'!B422))</f>
        <v/>
      </c>
      <c r="C422" s="25">
        <f>IF(OR($A422="",'04 Prices'!C422="",'04 Prices'!C423=""),"",LN('04 Prices'!C423/'04 Prices'!C422))</f>
        <v/>
      </c>
      <c r="D422" s="25">
        <f>IF(OR($A422="",'04 Prices'!D422="",'04 Prices'!D423=""),"",LN('04 Prices'!D423/'04 Prices'!D422))</f>
        <v/>
      </c>
      <c r="E422" s="25">
        <f>IF(OR($A422="",'04 Prices'!E422="",'04 Prices'!E423=""),"",LN('04 Prices'!E423/'04 Prices'!E422))</f>
        <v/>
      </c>
      <c r="F422" s="25">
        <f>IF(OR($A422="",'04 Prices'!F422="",'04 Prices'!F423=""),"",LN('04 Prices'!F423/'04 Prices'!F422))</f>
        <v/>
      </c>
      <c r="G422" s="25">
        <f>IF(OR($A422="",'04 Prices'!G422="",'04 Prices'!G423=""),"",LN('04 Prices'!G423/'04 Prices'!G422))</f>
        <v/>
      </c>
      <c r="H422" s="25">
        <f>IF(OR($A422="",'04 Prices'!H422="",'04 Prices'!H423=""),"",LN('04 Prices'!H423/'04 Prices'!H422))</f>
        <v/>
      </c>
    </row>
    <row r="423">
      <c r="A423" s="23">
        <f>IF('04 Prices'!A424="","",'04 Prices'!A424)</f>
        <v/>
      </c>
      <c r="B423" s="25">
        <f>IF(OR($A423="",'04 Prices'!B423="",'04 Prices'!B424=""),"",LN('04 Prices'!B424/'04 Prices'!B423))</f>
        <v/>
      </c>
      <c r="C423" s="25">
        <f>IF(OR($A423="",'04 Prices'!C423="",'04 Prices'!C424=""),"",LN('04 Prices'!C424/'04 Prices'!C423))</f>
        <v/>
      </c>
      <c r="D423" s="25">
        <f>IF(OR($A423="",'04 Prices'!D423="",'04 Prices'!D424=""),"",LN('04 Prices'!D424/'04 Prices'!D423))</f>
        <v/>
      </c>
      <c r="E423" s="25">
        <f>IF(OR($A423="",'04 Prices'!E423="",'04 Prices'!E424=""),"",LN('04 Prices'!E424/'04 Prices'!E423))</f>
        <v/>
      </c>
      <c r="F423" s="25">
        <f>IF(OR($A423="",'04 Prices'!F423="",'04 Prices'!F424=""),"",LN('04 Prices'!F424/'04 Prices'!F423))</f>
        <v/>
      </c>
      <c r="G423" s="25">
        <f>IF(OR($A423="",'04 Prices'!G423="",'04 Prices'!G424=""),"",LN('04 Prices'!G424/'04 Prices'!G423))</f>
        <v/>
      </c>
      <c r="H423" s="25">
        <f>IF(OR($A423="",'04 Prices'!H423="",'04 Prices'!H424=""),"",LN('04 Prices'!H424/'04 Prices'!H423))</f>
        <v/>
      </c>
    </row>
    <row r="424">
      <c r="A424" s="23">
        <f>IF('04 Prices'!A425="","",'04 Prices'!A425)</f>
        <v/>
      </c>
      <c r="B424" s="25">
        <f>IF(OR($A424="",'04 Prices'!B424="",'04 Prices'!B425=""),"",LN('04 Prices'!B425/'04 Prices'!B424))</f>
        <v/>
      </c>
      <c r="C424" s="25">
        <f>IF(OR($A424="",'04 Prices'!C424="",'04 Prices'!C425=""),"",LN('04 Prices'!C425/'04 Prices'!C424))</f>
        <v/>
      </c>
      <c r="D424" s="25">
        <f>IF(OR($A424="",'04 Prices'!D424="",'04 Prices'!D425=""),"",LN('04 Prices'!D425/'04 Prices'!D424))</f>
        <v/>
      </c>
      <c r="E424" s="25">
        <f>IF(OR($A424="",'04 Prices'!E424="",'04 Prices'!E425=""),"",LN('04 Prices'!E425/'04 Prices'!E424))</f>
        <v/>
      </c>
      <c r="F424" s="25">
        <f>IF(OR($A424="",'04 Prices'!F424="",'04 Prices'!F425=""),"",LN('04 Prices'!F425/'04 Prices'!F424))</f>
        <v/>
      </c>
      <c r="G424" s="25">
        <f>IF(OR($A424="",'04 Prices'!G424="",'04 Prices'!G425=""),"",LN('04 Prices'!G425/'04 Prices'!G424))</f>
        <v/>
      </c>
      <c r="H424" s="25">
        <f>IF(OR($A424="",'04 Prices'!H424="",'04 Prices'!H425=""),"",LN('04 Prices'!H425/'04 Prices'!H424))</f>
        <v/>
      </c>
    </row>
    <row r="425">
      <c r="A425" s="23">
        <f>IF('04 Prices'!A426="","",'04 Prices'!A426)</f>
        <v/>
      </c>
      <c r="B425" s="25">
        <f>IF(OR($A425="",'04 Prices'!B425="",'04 Prices'!B426=""),"",LN('04 Prices'!B426/'04 Prices'!B425))</f>
        <v/>
      </c>
      <c r="C425" s="25">
        <f>IF(OR($A425="",'04 Prices'!C425="",'04 Prices'!C426=""),"",LN('04 Prices'!C426/'04 Prices'!C425))</f>
        <v/>
      </c>
      <c r="D425" s="25">
        <f>IF(OR($A425="",'04 Prices'!D425="",'04 Prices'!D426=""),"",LN('04 Prices'!D426/'04 Prices'!D425))</f>
        <v/>
      </c>
      <c r="E425" s="25">
        <f>IF(OR($A425="",'04 Prices'!E425="",'04 Prices'!E426=""),"",LN('04 Prices'!E426/'04 Prices'!E425))</f>
        <v/>
      </c>
      <c r="F425" s="25">
        <f>IF(OR($A425="",'04 Prices'!F425="",'04 Prices'!F426=""),"",LN('04 Prices'!F426/'04 Prices'!F425))</f>
        <v/>
      </c>
      <c r="G425" s="25">
        <f>IF(OR($A425="",'04 Prices'!G425="",'04 Prices'!G426=""),"",LN('04 Prices'!G426/'04 Prices'!G425))</f>
        <v/>
      </c>
      <c r="H425" s="25">
        <f>IF(OR($A425="",'04 Prices'!H425="",'04 Prices'!H426=""),"",LN('04 Prices'!H426/'04 Prices'!H425))</f>
        <v/>
      </c>
    </row>
    <row r="426">
      <c r="A426" s="23">
        <f>IF('04 Prices'!A427="","",'04 Prices'!A427)</f>
        <v/>
      </c>
      <c r="B426" s="25">
        <f>IF(OR($A426="",'04 Prices'!B426="",'04 Prices'!B427=""),"",LN('04 Prices'!B427/'04 Prices'!B426))</f>
        <v/>
      </c>
      <c r="C426" s="25">
        <f>IF(OR($A426="",'04 Prices'!C426="",'04 Prices'!C427=""),"",LN('04 Prices'!C427/'04 Prices'!C426))</f>
        <v/>
      </c>
      <c r="D426" s="25">
        <f>IF(OR($A426="",'04 Prices'!D426="",'04 Prices'!D427=""),"",LN('04 Prices'!D427/'04 Prices'!D426))</f>
        <v/>
      </c>
      <c r="E426" s="25">
        <f>IF(OR($A426="",'04 Prices'!E426="",'04 Prices'!E427=""),"",LN('04 Prices'!E427/'04 Prices'!E426))</f>
        <v/>
      </c>
      <c r="F426" s="25">
        <f>IF(OR($A426="",'04 Prices'!F426="",'04 Prices'!F427=""),"",LN('04 Prices'!F427/'04 Prices'!F426))</f>
        <v/>
      </c>
      <c r="G426" s="25">
        <f>IF(OR($A426="",'04 Prices'!G426="",'04 Prices'!G427=""),"",LN('04 Prices'!G427/'04 Prices'!G426))</f>
        <v/>
      </c>
      <c r="H426" s="25">
        <f>IF(OR($A426="",'04 Prices'!H426="",'04 Prices'!H427=""),"",LN('04 Prices'!H427/'04 Prices'!H426))</f>
        <v/>
      </c>
    </row>
    <row r="427">
      <c r="A427" s="23">
        <f>IF('04 Prices'!A428="","",'04 Prices'!A428)</f>
        <v/>
      </c>
      <c r="B427" s="25">
        <f>IF(OR($A427="",'04 Prices'!B427="",'04 Prices'!B428=""),"",LN('04 Prices'!B428/'04 Prices'!B427))</f>
        <v/>
      </c>
      <c r="C427" s="25">
        <f>IF(OR($A427="",'04 Prices'!C427="",'04 Prices'!C428=""),"",LN('04 Prices'!C428/'04 Prices'!C427))</f>
        <v/>
      </c>
      <c r="D427" s="25">
        <f>IF(OR($A427="",'04 Prices'!D427="",'04 Prices'!D428=""),"",LN('04 Prices'!D428/'04 Prices'!D427))</f>
        <v/>
      </c>
      <c r="E427" s="25">
        <f>IF(OR($A427="",'04 Prices'!E427="",'04 Prices'!E428=""),"",LN('04 Prices'!E428/'04 Prices'!E427))</f>
        <v/>
      </c>
      <c r="F427" s="25">
        <f>IF(OR($A427="",'04 Prices'!F427="",'04 Prices'!F428=""),"",LN('04 Prices'!F428/'04 Prices'!F427))</f>
        <v/>
      </c>
      <c r="G427" s="25">
        <f>IF(OR($A427="",'04 Prices'!G427="",'04 Prices'!G428=""),"",LN('04 Prices'!G428/'04 Prices'!G427))</f>
        <v/>
      </c>
      <c r="H427" s="25">
        <f>IF(OR($A427="",'04 Prices'!H427="",'04 Prices'!H428=""),"",LN('04 Prices'!H428/'04 Prices'!H427))</f>
        <v/>
      </c>
    </row>
    <row r="428">
      <c r="A428" s="23">
        <f>IF('04 Prices'!A429="","",'04 Prices'!A429)</f>
        <v/>
      </c>
      <c r="B428" s="25">
        <f>IF(OR($A428="",'04 Prices'!B428="",'04 Prices'!B429=""),"",LN('04 Prices'!B429/'04 Prices'!B428))</f>
        <v/>
      </c>
      <c r="C428" s="25">
        <f>IF(OR($A428="",'04 Prices'!C428="",'04 Prices'!C429=""),"",LN('04 Prices'!C429/'04 Prices'!C428))</f>
        <v/>
      </c>
      <c r="D428" s="25">
        <f>IF(OR($A428="",'04 Prices'!D428="",'04 Prices'!D429=""),"",LN('04 Prices'!D429/'04 Prices'!D428))</f>
        <v/>
      </c>
      <c r="E428" s="25">
        <f>IF(OR($A428="",'04 Prices'!E428="",'04 Prices'!E429=""),"",LN('04 Prices'!E429/'04 Prices'!E428))</f>
        <v/>
      </c>
      <c r="F428" s="25">
        <f>IF(OR($A428="",'04 Prices'!F428="",'04 Prices'!F429=""),"",LN('04 Prices'!F429/'04 Prices'!F428))</f>
        <v/>
      </c>
      <c r="G428" s="25">
        <f>IF(OR($A428="",'04 Prices'!G428="",'04 Prices'!G429=""),"",LN('04 Prices'!G429/'04 Prices'!G428))</f>
        <v/>
      </c>
      <c r="H428" s="25">
        <f>IF(OR($A428="",'04 Prices'!H428="",'04 Prices'!H429=""),"",LN('04 Prices'!H429/'04 Prices'!H428))</f>
        <v/>
      </c>
    </row>
    <row r="429">
      <c r="A429" s="23">
        <f>IF('04 Prices'!A430="","",'04 Prices'!A430)</f>
        <v/>
      </c>
      <c r="B429" s="25">
        <f>IF(OR($A429="",'04 Prices'!B429="",'04 Prices'!B430=""),"",LN('04 Prices'!B430/'04 Prices'!B429))</f>
        <v/>
      </c>
      <c r="C429" s="25">
        <f>IF(OR($A429="",'04 Prices'!C429="",'04 Prices'!C430=""),"",LN('04 Prices'!C430/'04 Prices'!C429))</f>
        <v/>
      </c>
      <c r="D429" s="25">
        <f>IF(OR($A429="",'04 Prices'!D429="",'04 Prices'!D430=""),"",LN('04 Prices'!D430/'04 Prices'!D429))</f>
        <v/>
      </c>
      <c r="E429" s="25">
        <f>IF(OR($A429="",'04 Prices'!E429="",'04 Prices'!E430=""),"",LN('04 Prices'!E430/'04 Prices'!E429))</f>
        <v/>
      </c>
      <c r="F429" s="25">
        <f>IF(OR($A429="",'04 Prices'!F429="",'04 Prices'!F430=""),"",LN('04 Prices'!F430/'04 Prices'!F429))</f>
        <v/>
      </c>
      <c r="G429" s="25">
        <f>IF(OR($A429="",'04 Prices'!G429="",'04 Prices'!G430=""),"",LN('04 Prices'!G430/'04 Prices'!G429))</f>
        <v/>
      </c>
      <c r="H429" s="25">
        <f>IF(OR($A429="",'04 Prices'!H429="",'04 Prices'!H430=""),"",LN('04 Prices'!H430/'04 Prices'!H429))</f>
        <v/>
      </c>
    </row>
    <row r="430">
      <c r="A430" s="23">
        <f>IF('04 Prices'!A431="","",'04 Prices'!A431)</f>
        <v/>
      </c>
      <c r="B430" s="25">
        <f>IF(OR($A430="",'04 Prices'!B430="",'04 Prices'!B431=""),"",LN('04 Prices'!B431/'04 Prices'!B430))</f>
        <v/>
      </c>
      <c r="C430" s="25">
        <f>IF(OR($A430="",'04 Prices'!C430="",'04 Prices'!C431=""),"",LN('04 Prices'!C431/'04 Prices'!C430))</f>
        <v/>
      </c>
      <c r="D430" s="25">
        <f>IF(OR($A430="",'04 Prices'!D430="",'04 Prices'!D431=""),"",LN('04 Prices'!D431/'04 Prices'!D430))</f>
        <v/>
      </c>
      <c r="E430" s="25">
        <f>IF(OR($A430="",'04 Prices'!E430="",'04 Prices'!E431=""),"",LN('04 Prices'!E431/'04 Prices'!E430))</f>
        <v/>
      </c>
      <c r="F430" s="25">
        <f>IF(OR($A430="",'04 Prices'!F430="",'04 Prices'!F431=""),"",LN('04 Prices'!F431/'04 Prices'!F430))</f>
        <v/>
      </c>
      <c r="G430" s="25">
        <f>IF(OR($A430="",'04 Prices'!G430="",'04 Prices'!G431=""),"",LN('04 Prices'!G431/'04 Prices'!G430))</f>
        <v/>
      </c>
      <c r="H430" s="25">
        <f>IF(OR($A430="",'04 Prices'!H430="",'04 Prices'!H431=""),"",LN('04 Prices'!H431/'04 Prices'!H430))</f>
        <v/>
      </c>
    </row>
    <row r="431">
      <c r="A431" s="23">
        <f>IF('04 Prices'!A432="","",'04 Prices'!A432)</f>
        <v/>
      </c>
      <c r="B431" s="25">
        <f>IF(OR($A431="",'04 Prices'!B431="",'04 Prices'!B432=""),"",LN('04 Prices'!B432/'04 Prices'!B431))</f>
        <v/>
      </c>
      <c r="C431" s="25">
        <f>IF(OR($A431="",'04 Prices'!C431="",'04 Prices'!C432=""),"",LN('04 Prices'!C432/'04 Prices'!C431))</f>
        <v/>
      </c>
      <c r="D431" s="25">
        <f>IF(OR($A431="",'04 Prices'!D431="",'04 Prices'!D432=""),"",LN('04 Prices'!D432/'04 Prices'!D431))</f>
        <v/>
      </c>
      <c r="E431" s="25">
        <f>IF(OR($A431="",'04 Prices'!E431="",'04 Prices'!E432=""),"",LN('04 Prices'!E432/'04 Prices'!E431))</f>
        <v/>
      </c>
      <c r="F431" s="25">
        <f>IF(OR($A431="",'04 Prices'!F431="",'04 Prices'!F432=""),"",LN('04 Prices'!F432/'04 Prices'!F431))</f>
        <v/>
      </c>
      <c r="G431" s="25">
        <f>IF(OR($A431="",'04 Prices'!G431="",'04 Prices'!G432=""),"",LN('04 Prices'!G432/'04 Prices'!G431))</f>
        <v/>
      </c>
      <c r="H431" s="25">
        <f>IF(OR($A431="",'04 Prices'!H431="",'04 Prices'!H432=""),"",LN('04 Prices'!H432/'04 Prices'!H431))</f>
        <v/>
      </c>
    </row>
    <row r="432">
      <c r="A432" s="23">
        <f>IF('04 Prices'!A433="","",'04 Prices'!A433)</f>
        <v/>
      </c>
      <c r="B432" s="25">
        <f>IF(OR($A432="",'04 Prices'!B432="",'04 Prices'!B433=""),"",LN('04 Prices'!B433/'04 Prices'!B432))</f>
        <v/>
      </c>
      <c r="C432" s="25">
        <f>IF(OR($A432="",'04 Prices'!C432="",'04 Prices'!C433=""),"",LN('04 Prices'!C433/'04 Prices'!C432))</f>
        <v/>
      </c>
      <c r="D432" s="25">
        <f>IF(OR($A432="",'04 Prices'!D432="",'04 Prices'!D433=""),"",LN('04 Prices'!D433/'04 Prices'!D432))</f>
        <v/>
      </c>
      <c r="E432" s="25">
        <f>IF(OR($A432="",'04 Prices'!E432="",'04 Prices'!E433=""),"",LN('04 Prices'!E433/'04 Prices'!E432))</f>
        <v/>
      </c>
      <c r="F432" s="25">
        <f>IF(OR($A432="",'04 Prices'!F432="",'04 Prices'!F433=""),"",LN('04 Prices'!F433/'04 Prices'!F432))</f>
        <v/>
      </c>
      <c r="G432" s="25">
        <f>IF(OR($A432="",'04 Prices'!G432="",'04 Prices'!G433=""),"",LN('04 Prices'!G433/'04 Prices'!G432))</f>
        <v/>
      </c>
      <c r="H432" s="25">
        <f>IF(OR($A432="",'04 Prices'!H432="",'04 Prices'!H433=""),"",LN('04 Prices'!H433/'04 Prices'!H432))</f>
        <v/>
      </c>
    </row>
    <row r="433">
      <c r="A433" s="23">
        <f>IF('04 Prices'!A434="","",'04 Prices'!A434)</f>
        <v/>
      </c>
      <c r="B433" s="25">
        <f>IF(OR($A433="",'04 Prices'!B433="",'04 Prices'!B434=""),"",LN('04 Prices'!B434/'04 Prices'!B433))</f>
        <v/>
      </c>
      <c r="C433" s="25">
        <f>IF(OR($A433="",'04 Prices'!C433="",'04 Prices'!C434=""),"",LN('04 Prices'!C434/'04 Prices'!C433))</f>
        <v/>
      </c>
      <c r="D433" s="25">
        <f>IF(OR($A433="",'04 Prices'!D433="",'04 Prices'!D434=""),"",LN('04 Prices'!D434/'04 Prices'!D433))</f>
        <v/>
      </c>
      <c r="E433" s="25">
        <f>IF(OR($A433="",'04 Prices'!E433="",'04 Prices'!E434=""),"",LN('04 Prices'!E434/'04 Prices'!E433))</f>
        <v/>
      </c>
      <c r="F433" s="25">
        <f>IF(OR($A433="",'04 Prices'!F433="",'04 Prices'!F434=""),"",LN('04 Prices'!F434/'04 Prices'!F433))</f>
        <v/>
      </c>
      <c r="G433" s="25">
        <f>IF(OR($A433="",'04 Prices'!G433="",'04 Prices'!G434=""),"",LN('04 Prices'!G434/'04 Prices'!G433))</f>
        <v/>
      </c>
      <c r="H433" s="25">
        <f>IF(OR($A433="",'04 Prices'!H433="",'04 Prices'!H434=""),"",LN('04 Prices'!H434/'04 Prices'!H433))</f>
        <v/>
      </c>
    </row>
    <row r="434">
      <c r="A434" s="23">
        <f>IF('04 Prices'!A435="","",'04 Prices'!A435)</f>
        <v/>
      </c>
      <c r="B434" s="25">
        <f>IF(OR($A434="",'04 Prices'!B434="",'04 Prices'!B435=""),"",LN('04 Prices'!B435/'04 Prices'!B434))</f>
        <v/>
      </c>
      <c r="C434" s="25">
        <f>IF(OR($A434="",'04 Prices'!C434="",'04 Prices'!C435=""),"",LN('04 Prices'!C435/'04 Prices'!C434))</f>
        <v/>
      </c>
      <c r="D434" s="25">
        <f>IF(OR($A434="",'04 Prices'!D434="",'04 Prices'!D435=""),"",LN('04 Prices'!D435/'04 Prices'!D434))</f>
        <v/>
      </c>
      <c r="E434" s="25">
        <f>IF(OR($A434="",'04 Prices'!E434="",'04 Prices'!E435=""),"",LN('04 Prices'!E435/'04 Prices'!E434))</f>
        <v/>
      </c>
      <c r="F434" s="25">
        <f>IF(OR($A434="",'04 Prices'!F434="",'04 Prices'!F435=""),"",LN('04 Prices'!F435/'04 Prices'!F434))</f>
        <v/>
      </c>
      <c r="G434" s="25">
        <f>IF(OR($A434="",'04 Prices'!G434="",'04 Prices'!G435=""),"",LN('04 Prices'!G435/'04 Prices'!G434))</f>
        <v/>
      </c>
      <c r="H434" s="25">
        <f>IF(OR($A434="",'04 Prices'!H434="",'04 Prices'!H435=""),"",LN('04 Prices'!H435/'04 Prices'!H434))</f>
        <v/>
      </c>
    </row>
    <row r="435">
      <c r="A435" s="23">
        <f>IF('04 Prices'!A436="","",'04 Prices'!A436)</f>
        <v/>
      </c>
      <c r="B435" s="25">
        <f>IF(OR($A435="",'04 Prices'!B435="",'04 Prices'!B436=""),"",LN('04 Prices'!B436/'04 Prices'!B435))</f>
        <v/>
      </c>
      <c r="C435" s="25">
        <f>IF(OR($A435="",'04 Prices'!C435="",'04 Prices'!C436=""),"",LN('04 Prices'!C436/'04 Prices'!C435))</f>
        <v/>
      </c>
      <c r="D435" s="25">
        <f>IF(OR($A435="",'04 Prices'!D435="",'04 Prices'!D436=""),"",LN('04 Prices'!D436/'04 Prices'!D435))</f>
        <v/>
      </c>
      <c r="E435" s="25">
        <f>IF(OR($A435="",'04 Prices'!E435="",'04 Prices'!E436=""),"",LN('04 Prices'!E436/'04 Prices'!E435))</f>
        <v/>
      </c>
      <c r="F435" s="25">
        <f>IF(OR($A435="",'04 Prices'!F435="",'04 Prices'!F436=""),"",LN('04 Prices'!F436/'04 Prices'!F435))</f>
        <v/>
      </c>
      <c r="G435" s="25">
        <f>IF(OR($A435="",'04 Prices'!G435="",'04 Prices'!G436=""),"",LN('04 Prices'!G436/'04 Prices'!G435))</f>
        <v/>
      </c>
      <c r="H435" s="25">
        <f>IF(OR($A435="",'04 Prices'!H435="",'04 Prices'!H436=""),"",LN('04 Prices'!H436/'04 Prices'!H435))</f>
        <v/>
      </c>
    </row>
    <row r="436">
      <c r="A436" s="23">
        <f>IF('04 Prices'!A437="","",'04 Prices'!A437)</f>
        <v/>
      </c>
      <c r="B436" s="25">
        <f>IF(OR($A436="",'04 Prices'!B436="",'04 Prices'!B437=""),"",LN('04 Prices'!B437/'04 Prices'!B436))</f>
        <v/>
      </c>
      <c r="C436" s="25">
        <f>IF(OR($A436="",'04 Prices'!C436="",'04 Prices'!C437=""),"",LN('04 Prices'!C437/'04 Prices'!C436))</f>
        <v/>
      </c>
      <c r="D436" s="25">
        <f>IF(OR($A436="",'04 Prices'!D436="",'04 Prices'!D437=""),"",LN('04 Prices'!D437/'04 Prices'!D436))</f>
        <v/>
      </c>
      <c r="E436" s="25">
        <f>IF(OR($A436="",'04 Prices'!E436="",'04 Prices'!E437=""),"",LN('04 Prices'!E437/'04 Prices'!E436))</f>
        <v/>
      </c>
      <c r="F436" s="25">
        <f>IF(OR($A436="",'04 Prices'!F436="",'04 Prices'!F437=""),"",LN('04 Prices'!F437/'04 Prices'!F436))</f>
        <v/>
      </c>
      <c r="G436" s="25">
        <f>IF(OR($A436="",'04 Prices'!G436="",'04 Prices'!G437=""),"",LN('04 Prices'!G437/'04 Prices'!G436))</f>
        <v/>
      </c>
      <c r="H436" s="25">
        <f>IF(OR($A436="",'04 Prices'!H436="",'04 Prices'!H437=""),"",LN('04 Prices'!H437/'04 Prices'!H436))</f>
        <v/>
      </c>
    </row>
    <row r="437">
      <c r="A437" s="23">
        <f>IF('04 Prices'!A438="","",'04 Prices'!A438)</f>
        <v/>
      </c>
      <c r="B437" s="25">
        <f>IF(OR($A437="",'04 Prices'!B437="",'04 Prices'!B438=""),"",LN('04 Prices'!B438/'04 Prices'!B437))</f>
        <v/>
      </c>
      <c r="C437" s="25">
        <f>IF(OR($A437="",'04 Prices'!C437="",'04 Prices'!C438=""),"",LN('04 Prices'!C438/'04 Prices'!C437))</f>
        <v/>
      </c>
      <c r="D437" s="25">
        <f>IF(OR($A437="",'04 Prices'!D437="",'04 Prices'!D438=""),"",LN('04 Prices'!D438/'04 Prices'!D437))</f>
        <v/>
      </c>
      <c r="E437" s="25">
        <f>IF(OR($A437="",'04 Prices'!E437="",'04 Prices'!E438=""),"",LN('04 Prices'!E438/'04 Prices'!E437))</f>
        <v/>
      </c>
      <c r="F437" s="25">
        <f>IF(OR($A437="",'04 Prices'!F437="",'04 Prices'!F438=""),"",LN('04 Prices'!F438/'04 Prices'!F437))</f>
        <v/>
      </c>
      <c r="G437" s="25">
        <f>IF(OR($A437="",'04 Prices'!G437="",'04 Prices'!G438=""),"",LN('04 Prices'!G438/'04 Prices'!G437))</f>
        <v/>
      </c>
      <c r="H437" s="25">
        <f>IF(OR($A437="",'04 Prices'!H437="",'04 Prices'!H438=""),"",LN('04 Prices'!H438/'04 Prices'!H437))</f>
        <v/>
      </c>
    </row>
    <row r="438">
      <c r="A438" s="23">
        <f>IF('04 Prices'!A439="","",'04 Prices'!A439)</f>
        <v/>
      </c>
      <c r="B438" s="25">
        <f>IF(OR($A438="",'04 Prices'!B438="",'04 Prices'!B439=""),"",LN('04 Prices'!B439/'04 Prices'!B438))</f>
        <v/>
      </c>
      <c r="C438" s="25">
        <f>IF(OR($A438="",'04 Prices'!C438="",'04 Prices'!C439=""),"",LN('04 Prices'!C439/'04 Prices'!C438))</f>
        <v/>
      </c>
      <c r="D438" s="25">
        <f>IF(OR($A438="",'04 Prices'!D438="",'04 Prices'!D439=""),"",LN('04 Prices'!D439/'04 Prices'!D438))</f>
        <v/>
      </c>
      <c r="E438" s="25">
        <f>IF(OR($A438="",'04 Prices'!E438="",'04 Prices'!E439=""),"",LN('04 Prices'!E439/'04 Prices'!E438))</f>
        <v/>
      </c>
      <c r="F438" s="25">
        <f>IF(OR($A438="",'04 Prices'!F438="",'04 Prices'!F439=""),"",LN('04 Prices'!F439/'04 Prices'!F438))</f>
        <v/>
      </c>
      <c r="G438" s="25">
        <f>IF(OR($A438="",'04 Prices'!G438="",'04 Prices'!G439=""),"",LN('04 Prices'!G439/'04 Prices'!G438))</f>
        <v/>
      </c>
      <c r="H438" s="25">
        <f>IF(OR($A438="",'04 Prices'!H438="",'04 Prices'!H439=""),"",LN('04 Prices'!H439/'04 Prices'!H438))</f>
        <v/>
      </c>
    </row>
    <row r="439">
      <c r="A439" s="23">
        <f>IF('04 Prices'!A440="","",'04 Prices'!A440)</f>
        <v/>
      </c>
      <c r="B439" s="25">
        <f>IF(OR($A439="",'04 Prices'!B439="",'04 Prices'!B440=""),"",LN('04 Prices'!B440/'04 Prices'!B439))</f>
        <v/>
      </c>
      <c r="C439" s="25">
        <f>IF(OR($A439="",'04 Prices'!C439="",'04 Prices'!C440=""),"",LN('04 Prices'!C440/'04 Prices'!C439))</f>
        <v/>
      </c>
      <c r="D439" s="25">
        <f>IF(OR($A439="",'04 Prices'!D439="",'04 Prices'!D440=""),"",LN('04 Prices'!D440/'04 Prices'!D439))</f>
        <v/>
      </c>
      <c r="E439" s="25">
        <f>IF(OR($A439="",'04 Prices'!E439="",'04 Prices'!E440=""),"",LN('04 Prices'!E440/'04 Prices'!E439))</f>
        <v/>
      </c>
      <c r="F439" s="25">
        <f>IF(OR($A439="",'04 Prices'!F439="",'04 Prices'!F440=""),"",LN('04 Prices'!F440/'04 Prices'!F439))</f>
        <v/>
      </c>
      <c r="G439" s="25">
        <f>IF(OR($A439="",'04 Prices'!G439="",'04 Prices'!G440=""),"",LN('04 Prices'!G440/'04 Prices'!G439))</f>
        <v/>
      </c>
      <c r="H439" s="25">
        <f>IF(OR($A439="",'04 Prices'!H439="",'04 Prices'!H440=""),"",LN('04 Prices'!H440/'04 Prices'!H439))</f>
        <v/>
      </c>
    </row>
    <row r="440">
      <c r="A440" s="23">
        <f>IF('04 Prices'!A441="","",'04 Prices'!A441)</f>
        <v/>
      </c>
      <c r="B440" s="25">
        <f>IF(OR($A440="",'04 Prices'!B440="",'04 Prices'!B441=""),"",LN('04 Prices'!B441/'04 Prices'!B440))</f>
        <v/>
      </c>
      <c r="C440" s="25">
        <f>IF(OR($A440="",'04 Prices'!C440="",'04 Prices'!C441=""),"",LN('04 Prices'!C441/'04 Prices'!C440))</f>
        <v/>
      </c>
      <c r="D440" s="25">
        <f>IF(OR($A440="",'04 Prices'!D440="",'04 Prices'!D441=""),"",LN('04 Prices'!D441/'04 Prices'!D440))</f>
        <v/>
      </c>
      <c r="E440" s="25">
        <f>IF(OR($A440="",'04 Prices'!E440="",'04 Prices'!E441=""),"",LN('04 Prices'!E441/'04 Prices'!E440))</f>
        <v/>
      </c>
      <c r="F440" s="25">
        <f>IF(OR($A440="",'04 Prices'!F440="",'04 Prices'!F441=""),"",LN('04 Prices'!F441/'04 Prices'!F440))</f>
        <v/>
      </c>
      <c r="G440" s="25">
        <f>IF(OR($A440="",'04 Prices'!G440="",'04 Prices'!G441=""),"",LN('04 Prices'!G441/'04 Prices'!G440))</f>
        <v/>
      </c>
      <c r="H440" s="25">
        <f>IF(OR($A440="",'04 Prices'!H440="",'04 Prices'!H441=""),"",LN('04 Prices'!H441/'04 Prices'!H440))</f>
        <v/>
      </c>
    </row>
    <row r="441">
      <c r="A441" s="23">
        <f>IF('04 Prices'!A442="","",'04 Prices'!A442)</f>
        <v/>
      </c>
      <c r="B441" s="25">
        <f>IF(OR($A441="",'04 Prices'!B441="",'04 Prices'!B442=""),"",LN('04 Prices'!B442/'04 Prices'!B441))</f>
        <v/>
      </c>
      <c r="C441" s="25">
        <f>IF(OR($A441="",'04 Prices'!C441="",'04 Prices'!C442=""),"",LN('04 Prices'!C442/'04 Prices'!C441))</f>
        <v/>
      </c>
      <c r="D441" s="25">
        <f>IF(OR($A441="",'04 Prices'!D441="",'04 Prices'!D442=""),"",LN('04 Prices'!D442/'04 Prices'!D441))</f>
        <v/>
      </c>
      <c r="E441" s="25">
        <f>IF(OR($A441="",'04 Prices'!E441="",'04 Prices'!E442=""),"",LN('04 Prices'!E442/'04 Prices'!E441))</f>
        <v/>
      </c>
      <c r="F441" s="25">
        <f>IF(OR($A441="",'04 Prices'!F441="",'04 Prices'!F442=""),"",LN('04 Prices'!F442/'04 Prices'!F441))</f>
        <v/>
      </c>
      <c r="G441" s="25">
        <f>IF(OR($A441="",'04 Prices'!G441="",'04 Prices'!G442=""),"",LN('04 Prices'!G442/'04 Prices'!G441))</f>
        <v/>
      </c>
      <c r="H441" s="25">
        <f>IF(OR($A441="",'04 Prices'!H441="",'04 Prices'!H442=""),"",LN('04 Prices'!H442/'04 Prices'!H441))</f>
        <v/>
      </c>
    </row>
    <row r="442">
      <c r="A442" s="23">
        <f>IF('04 Prices'!A443="","",'04 Prices'!A443)</f>
        <v/>
      </c>
      <c r="B442" s="25">
        <f>IF(OR($A442="",'04 Prices'!B442="",'04 Prices'!B443=""),"",LN('04 Prices'!B443/'04 Prices'!B442))</f>
        <v/>
      </c>
      <c r="C442" s="25">
        <f>IF(OR($A442="",'04 Prices'!C442="",'04 Prices'!C443=""),"",LN('04 Prices'!C443/'04 Prices'!C442))</f>
        <v/>
      </c>
      <c r="D442" s="25">
        <f>IF(OR($A442="",'04 Prices'!D442="",'04 Prices'!D443=""),"",LN('04 Prices'!D443/'04 Prices'!D442))</f>
        <v/>
      </c>
      <c r="E442" s="25">
        <f>IF(OR($A442="",'04 Prices'!E442="",'04 Prices'!E443=""),"",LN('04 Prices'!E443/'04 Prices'!E442))</f>
        <v/>
      </c>
      <c r="F442" s="25">
        <f>IF(OR($A442="",'04 Prices'!F442="",'04 Prices'!F443=""),"",LN('04 Prices'!F443/'04 Prices'!F442))</f>
        <v/>
      </c>
      <c r="G442" s="25">
        <f>IF(OR($A442="",'04 Prices'!G442="",'04 Prices'!G443=""),"",LN('04 Prices'!G443/'04 Prices'!G442))</f>
        <v/>
      </c>
      <c r="H442" s="25">
        <f>IF(OR($A442="",'04 Prices'!H442="",'04 Prices'!H443=""),"",LN('04 Prices'!H443/'04 Prices'!H442))</f>
        <v/>
      </c>
    </row>
    <row r="443">
      <c r="A443" s="23">
        <f>IF('04 Prices'!A444="","",'04 Prices'!A444)</f>
        <v/>
      </c>
      <c r="B443" s="25">
        <f>IF(OR($A443="",'04 Prices'!B443="",'04 Prices'!B444=""),"",LN('04 Prices'!B444/'04 Prices'!B443))</f>
        <v/>
      </c>
      <c r="C443" s="25">
        <f>IF(OR($A443="",'04 Prices'!C443="",'04 Prices'!C444=""),"",LN('04 Prices'!C444/'04 Prices'!C443))</f>
        <v/>
      </c>
      <c r="D443" s="25">
        <f>IF(OR($A443="",'04 Prices'!D443="",'04 Prices'!D444=""),"",LN('04 Prices'!D444/'04 Prices'!D443))</f>
        <v/>
      </c>
      <c r="E443" s="25">
        <f>IF(OR($A443="",'04 Prices'!E443="",'04 Prices'!E444=""),"",LN('04 Prices'!E444/'04 Prices'!E443))</f>
        <v/>
      </c>
      <c r="F443" s="25">
        <f>IF(OR($A443="",'04 Prices'!F443="",'04 Prices'!F444=""),"",LN('04 Prices'!F444/'04 Prices'!F443))</f>
        <v/>
      </c>
      <c r="G443" s="25">
        <f>IF(OR($A443="",'04 Prices'!G443="",'04 Prices'!G444=""),"",LN('04 Prices'!G444/'04 Prices'!G443))</f>
        <v/>
      </c>
      <c r="H443" s="25">
        <f>IF(OR($A443="",'04 Prices'!H443="",'04 Prices'!H444=""),"",LN('04 Prices'!H444/'04 Prices'!H443))</f>
        <v/>
      </c>
    </row>
    <row r="444">
      <c r="A444" s="23">
        <f>IF('04 Prices'!A445="","",'04 Prices'!A445)</f>
        <v/>
      </c>
      <c r="B444" s="25">
        <f>IF(OR($A444="",'04 Prices'!B444="",'04 Prices'!B445=""),"",LN('04 Prices'!B445/'04 Prices'!B444))</f>
        <v/>
      </c>
      <c r="C444" s="25">
        <f>IF(OR($A444="",'04 Prices'!C444="",'04 Prices'!C445=""),"",LN('04 Prices'!C445/'04 Prices'!C444))</f>
        <v/>
      </c>
      <c r="D444" s="25">
        <f>IF(OR($A444="",'04 Prices'!D444="",'04 Prices'!D445=""),"",LN('04 Prices'!D445/'04 Prices'!D444))</f>
        <v/>
      </c>
      <c r="E444" s="25">
        <f>IF(OR($A444="",'04 Prices'!E444="",'04 Prices'!E445=""),"",LN('04 Prices'!E445/'04 Prices'!E444))</f>
        <v/>
      </c>
      <c r="F444" s="25">
        <f>IF(OR($A444="",'04 Prices'!F444="",'04 Prices'!F445=""),"",LN('04 Prices'!F445/'04 Prices'!F444))</f>
        <v/>
      </c>
      <c r="G444" s="25">
        <f>IF(OR($A444="",'04 Prices'!G444="",'04 Prices'!G445=""),"",LN('04 Prices'!G445/'04 Prices'!G444))</f>
        <v/>
      </c>
      <c r="H444" s="25">
        <f>IF(OR($A444="",'04 Prices'!H444="",'04 Prices'!H445=""),"",LN('04 Prices'!H445/'04 Prices'!H444))</f>
        <v/>
      </c>
    </row>
    <row r="445">
      <c r="A445" s="23">
        <f>IF('04 Prices'!A446="","",'04 Prices'!A446)</f>
        <v/>
      </c>
      <c r="B445" s="25">
        <f>IF(OR($A445="",'04 Prices'!B445="",'04 Prices'!B446=""),"",LN('04 Prices'!B446/'04 Prices'!B445))</f>
        <v/>
      </c>
      <c r="C445" s="25">
        <f>IF(OR($A445="",'04 Prices'!C445="",'04 Prices'!C446=""),"",LN('04 Prices'!C446/'04 Prices'!C445))</f>
        <v/>
      </c>
      <c r="D445" s="25">
        <f>IF(OR($A445="",'04 Prices'!D445="",'04 Prices'!D446=""),"",LN('04 Prices'!D446/'04 Prices'!D445))</f>
        <v/>
      </c>
      <c r="E445" s="25">
        <f>IF(OR($A445="",'04 Prices'!E445="",'04 Prices'!E446=""),"",LN('04 Prices'!E446/'04 Prices'!E445))</f>
        <v/>
      </c>
      <c r="F445" s="25">
        <f>IF(OR($A445="",'04 Prices'!F445="",'04 Prices'!F446=""),"",LN('04 Prices'!F446/'04 Prices'!F445))</f>
        <v/>
      </c>
      <c r="G445" s="25">
        <f>IF(OR($A445="",'04 Prices'!G445="",'04 Prices'!G446=""),"",LN('04 Prices'!G446/'04 Prices'!G445))</f>
        <v/>
      </c>
      <c r="H445" s="25">
        <f>IF(OR($A445="",'04 Prices'!H445="",'04 Prices'!H446=""),"",LN('04 Prices'!H446/'04 Prices'!H445))</f>
        <v/>
      </c>
    </row>
    <row r="446">
      <c r="A446" s="23">
        <f>IF('04 Prices'!A447="","",'04 Prices'!A447)</f>
        <v/>
      </c>
      <c r="B446" s="25">
        <f>IF(OR($A446="",'04 Prices'!B446="",'04 Prices'!B447=""),"",LN('04 Prices'!B447/'04 Prices'!B446))</f>
        <v/>
      </c>
      <c r="C446" s="25">
        <f>IF(OR($A446="",'04 Prices'!C446="",'04 Prices'!C447=""),"",LN('04 Prices'!C447/'04 Prices'!C446))</f>
        <v/>
      </c>
      <c r="D446" s="25">
        <f>IF(OR($A446="",'04 Prices'!D446="",'04 Prices'!D447=""),"",LN('04 Prices'!D447/'04 Prices'!D446))</f>
        <v/>
      </c>
      <c r="E446" s="25">
        <f>IF(OR($A446="",'04 Prices'!E446="",'04 Prices'!E447=""),"",LN('04 Prices'!E447/'04 Prices'!E446))</f>
        <v/>
      </c>
      <c r="F446" s="25">
        <f>IF(OR($A446="",'04 Prices'!F446="",'04 Prices'!F447=""),"",LN('04 Prices'!F447/'04 Prices'!F446))</f>
        <v/>
      </c>
      <c r="G446" s="25">
        <f>IF(OR($A446="",'04 Prices'!G446="",'04 Prices'!G447=""),"",LN('04 Prices'!G447/'04 Prices'!G446))</f>
        <v/>
      </c>
      <c r="H446" s="25">
        <f>IF(OR($A446="",'04 Prices'!H446="",'04 Prices'!H447=""),"",LN('04 Prices'!H447/'04 Prices'!H446))</f>
        <v/>
      </c>
    </row>
    <row r="447">
      <c r="A447" s="23">
        <f>IF('04 Prices'!A448="","",'04 Prices'!A448)</f>
        <v/>
      </c>
      <c r="B447" s="25">
        <f>IF(OR($A447="",'04 Prices'!B447="",'04 Prices'!B448=""),"",LN('04 Prices'!B448/'04 Prices'!B447))</f>
        <v/>
      </c>
      <c r="C447" s="25">
        <f>IF(OR($A447="",'04 Prices'!C447="",'04 Prices'!C448=""),"",LN('04 Prices'!C448/'04 Prices'!C447))</f>
        <v/>
      </c>
      <c r="D447" s="25">
        <f>IF(OR($A447="",'04 Prices'!D447="",'04 Prices'!D448=""),"",LN('04 Prices'!D448/'04 Prices'!D447))</f>
        <v/>
      </c>
      <c r="E447" s="25">
        <f>IF(OR($A447="",'04 Prices'!E447="",'04 Prices'!E448=""),"",LN('04 Prices'!E448/'04 Prices'!E447))</f>
        <v/>
      </c>
      <c r="F447" s="25">
        <f>IF(OR($A447="",'04 Prices'!F447="",'04 Prices'!F448=""),"",LN('04 Prices'!F448/'04 Prices'!F447))</f>
        <v/>
      </c>
      <c r="G447" s="25">
        <f>IF(OR($A447="",'04 Prices'!G447="",'04 Prices'!G448=""),"",LN('04 Prices'!G448/'04 Prices'!G447))</f>
        <v/>
      </c>
      <c r="H447" s="25">
        <f>IF(OR($A447="",'04 Prices'!H447="",'04 Prices'!H448=""),"",LN('04 Prices'!H448/'04 Prices'!H447))</f>
        <v/>
      </c>
    </row>
    <row r="448">
      <c r="A448" s="23">
        <f>IF('04 Prices'!A449="","",'04 Prices'!A449)</f>
        <v/>
      </c>
      <c r="B448" s="25">
        <f>IF(OR($A448="",'04 Prices'!B448="",'04 Prices'!B449=""),"",LN('04 Prices'!B449/'04 Prices'!B448))</f>
        <v/>
      </c>
      <c r="C448" s="25">
        <f>IF(OR($A448="",'04 Prices'!C448="",'04 Prices'!C449=""),"",LN('04 Prices'!C449/'04 Prices'!C448))</f>
        <v/>
      </c>
      <c r="D448" s="25">
        <f>IF(OR($A448="",'04 Prices'!D448="",'04 Prices'!D449=""),"",LN('04 Prices'!D449/'04 Prices'!D448))</f>
        <v/>
      </c>
      <c r="E448" s="25">
        <f>IF(OR($A448="",'04 Prices'!E448="",'04 Prices'!E449=""),"",LN('04 Prices'!E449/'04 Prices'!E448))</f>
        <v/>
      </c>
      <c r="F448" s="25">
        <f>IF(OR($A448="",'04 Prices'!F448="",'04 Prices'!F449=""),"",LN('04 Prices'!F449/'04 Prices'!F448))</f>
        <v/>
      </c>
      <c r="G448" s="25">
        <f>IF(OR($A448="",'04 Prices'!G448="",'04 Prices'!G449=""),"",LN('04 Prices'!G449/'04 Prices'!G448))</f>
        <v/>
      </c>
      <c r="H448" s="25">
        <f>IF(OR($A448="",'04 Prices'!H448="",'04 Prices'!H449=""),"",LN('04 Prices'!H449/'04 Prices'!H448))</f>
        <v/>
      </c>
    </row>
    <row r="449">
      <c r="A449" s="23">
        <f>IF('04 Prices'!A450="","",'04 Prices'!A450)</f>
        <v/>
      </c>
      <c r="B449" s="25">
        <f>IF(OR($A449="",'04 Prices'!B449="",'04 Prices'!B450=""),"",LN('04 Prices'!B450/'04 Prices'!B449))</f>
        <v/>
      </c>
      <c r="C449" s="25">
        <f>IF(OR($A449="",'04 Prices'!C449="",'04 Prices'!C450=""),"",LN('04 Prices'!C450/'04 Prices'!C449))</f>
        <v/>
      </c>
      <c r="D449" s="25">
        <f>IF(OR($A449="",'04 Prices'!D449="",'04 Prices'!D450=""),"",LN('04 Prices'!D450/'04 Prices'!D449))</f>
        <v/>
      </c>
      <c r="E449" s="25">
        <f>IF(OR($A449="",'04 Prices'!E449="",'04 Prices'!E450=""),"",LN('04 Prices'!E450/'04 Prices'!E449))</f>
        <v/>
      </c>
      <c r="F449" s="25">
        <f>IF(OR($A449="",'04 Prices'!F449="",'04 Prices'!F450=""),"",LN('04 Prices'!F450/'04 Prices'!F449))</f>
        <v/>
      </c>
      <c r="G449" s="25">
        <f>IF(OR($A449="",'04 Prices'!G449="",'04 Prices'!G450=""),"",LN('04 Prices'!G450/'04 Prices'!G449))</f>
        <v/>
      </c>
      <c r="H449" s="25">
        <f>IF(OR($A449="",'04 Prices'!H449="",'04 Prices'!H450=""),"",LN('04 Prices'!H450/'04 Prices'!H449))</f>
        <v/>
      </c>
    </row>
    <row r="450">
      <c r="A450" s="23">
        <f>IF('04 Prices'!A451="","",'04 Prices'!A451)</f>
        <v/>
      </c>
      <c r="B450" s="25">
        <f>IF(OR($A450="",'04 Prices'!B450="",'04 Prices'!B451=""),"",LN('04 Prices'!B451/'04 Prices'!B450))</f>
        <v/>
      </c>
      <c r="C450" s="25">
        <f>IF(OR($A450="",'04 Prices'!C450="",'04 Prices'!C451=""),"",LN('04 Prices'!C451/'04 Prices'!C450))</f>
        <v/>
      </c>
      <c r="D450" s="25">
        <f>IF(OR($A450="",'04 Prices'!D450="",'04 Prices'!D451=""),"",LN('04 Prices'!D451/'04 Prices'!D450))</f>
        <v/>
      </c>
      <c r="E450" s="25">
        <f>IF(OR($A450="",'04 Prices'!E450="",'04 Prices'!E451=""),"",LN('04 Prices'!E451/'04 Prices'!E450))</f>
        <v/>
      </c>
      <c r="F450" s="25">
        <f>IF(OR($A450="",'04 Prices'!F450="",'04 Prices'!F451=""),"",LN('04 Prices'!F451/'04 Prices'!F450))</f>
        <v/>
      </c>
      <c r="G450" s="25">
        <f>IF(OR($A450="",'04 Prices'!G450="",'04 Prices'!G451=""),"",LN('04 Prices'!G451/'04 Prices'!G450))</f>
        <v/>
      </c>
      <c r="H450" s="25">
        <f>IF(OR($A450="",'04 Prices'!H450="",'04 Prices'!H451=""),"",LN('04 Prices'!H451/'04 Prices'!H450))</f>
        <v/>
      </c>
    </row>
    <row r="451">
      <c r="A451" s="23">
        <f>IF('04 Prices'!A452="","",'04 Prices'!A452)</f>
        <v/>
      </c>
      <c r="B451" s="25">
        <f>IF(OR($A451="",'04 Prices'!B451="",'04 Prices'!B452=""),"",LN('04 Prices'!B452/'04 Prices'!B451))</f>
        <v/>
      </c>
      <c r="C451" s="25">
        <f>IF(OR($A451="",'04 Prices'!C451="",'04 Prices'!C452=""),"",LN('04 Prices'!C452/'04 Prices'!C451))</f>
        <v/>
      </c>
      <c r="D451" s="25">
        <f>IF(OR($A451="",'04 Prices'!D451="",'04 Prices'!D452=""),"",LN('04 Prices'!D452/'04 Prices'!D451))</f>
        <v/>
      </c>
      <c r="E451" s="25">
        <f>IF(OR($A451="",'04 Prices'!E451="",'04 Prices'!E452=""),"",LN('04 Prices'!E452/'04 Prices'!E451))</f>
        <v/>
      </c>
      <c r="F451" s="25">
        <f>IF(OR($A451="",'04 Prices'!F451="",'04 Prices'!F452=""),"",LN('04 Prices'!F452/'04 Prices'!F451))</f>
        <v/>
      </c>
      <c r="G451" s="25">
        <f>IF(OR($A451="",'04 Prices'!G451="",'04 Prices'!G452=""),"",LN('04 Prices'!G452/'04 Prices'!G451))</f>
        <v/>
      </c>
      <c r="H451" s="25">
        <f>IF(OR($A451="",'04 Prices'!H451="",'04 Prices'!H452=""),"",LN('04 Prices'!H452/'04 Prices'!H451))</f>
        <v/>
      </c>
    </row>
    <row r="452">
      <c r="A452" s="23">
        <f>IF('04 Prices'!A453="","",'04 Prices'!A453)</f>
        <v/>
      </c>
      <c r="B452" s="25">
        <f>IF(OR($A452="",'04 Prices'!B452="",'04 Prices'!B453=""),"",LN('04 Prices'!B453/'04 Prices'!B452))</f>
        <v/>
      </c>
      <c r="C452" s="25">
        <f>IF(OR($A452="",'04 Prices'!C452="",'04 Prices'!C453=""),"",LN('04 Prices'!C453/'04 Prices'!C452))</f>
        <v/>
      </c>
      <c r="D452" s="25">
        <f>IF(OR($A452="",'04 Prices'!D452="",'04 Prices'!D453=""),"",LN('04 Prices'!D453/'04 Prices'!D452))</f>
        <v/>
      </c>
      <c r="E452" s="25">
        <f>IF(OR($A452="",'04 Prices'!E452="",'04 Prices'!E453=""),"",LN('04 Prices'!E453/'04 Prices'!E452))</f>
        <v/>
      </c>
      <c r="F452" s="25">
        <f>IF(OR($A452="",'04 Prices'!F452="",'04 Prices'!F453=""),"",LN('04 Prices'!F453/'04 Prices'!F452))</f>
        <v/>
      </c>
      <c r="G452" s="25">
        <f>IF(OR($A452="",'04 Prices'!G452="",'04 Prices'!G453=""),"",LN('04 Prices'!G453/'04 Prices'!G452))</f>
        <v/>
      </c>
      <c r="H452" s="25">
        <f>IF(OR($A452="",'04 Prices'!H452="",'04 Prices'!H453=""),"",LN('04 Prices'!H453/'04 Prices'!H452))</f>
        <v/>
      </c>
    </row>
    <row r="453">
      <c r="A453" s="23">
        <f>IF('04 Prices'!A454="","",'04 Prices'!A454)</f>
        <v/>
      </c>
      <c r="B453" s="25">
        <f>IF(OR($A453="",'04 Prices'!B453="",'04 Prices'!B454=""),"",LN('04 Prices'!B454/'04 Prices'!B453))</f>
        <v/>
      </c>
      <c r="C453" s="25">
        <f>IF(OR($A453="",'04 Prices'!C453="",'04 Prices'!C454=""),"",LN('04 Prices'!C454/'04 Prices'!C453))</f>
        <v/>
      </c>
      <c r="D453" s="25">
        <f>IF(OR($A453="",'04 Prices'!D453="",'04 Prices'!D454=""),"",LN('04 Prices'!D454/'04 Prices'!D453))</f>
        <v/>
      </c>
      <c r="E453" s="25">
        <f>IF(OR($A453="",'04 Prices'!E453="",'04 Prices'!E454=""),"",LN('04 Prices'!E454/'04 Prices'!E453))</f>
        <v/>
      </c>
      <c r="F453" s="25">
        <f>IF(OR($A453="",'04 Prices'!F453="",'04 Prices'!F454=""),"",LN('04 Prices'!F454/'04 Prices'!F453))</f>
        <v/>
      </c>
      <c r="G453" s="25">
        <f>IF(OR($A453="",'04 Prices'!G453="",'04 Prices'!G454=""),"",LN('04 Prices'!G454/'04 Prices'!G453))</f>
        <v/>
      </c>
      <c r="H453" s="25">
        <f>IF(OR($A453="",'04 Prices'!H453="",'04 Prices'!H454=""),"",LN('04 Prices'!H454/'04 Prices'!H453))</f>
        <v/>
      </c>
    </row>
    <row r="454">
      <c r="A454" s="23">
        <f>IF('04 Prices'!A455="","",'04 Prices'!A455)</f>
        <v/>
      </c>
      <c r="B454" s="25">
        <f>IF(OR($A454="",'04 Prices'!B454="",'04 Prices'!B455=""),"",LN('04 Prices'!B455/'04 Prices'!B454))</f>
        <v/>
      </c>
      <c r="C454" s="25">
        <f>IF(OR($A454="",'04 Prices'!C454="",'04 Prices'!C455=""),"",LN('04 Prices'!C455/'04 Prices'!C454))</f>
        <v/>
      </c>
      <c r="D454" s="25">
        <f>IF(OR($A454="",'04 Prices'!D454="",'04 Prices'!D455=""),"",LN('04 Prices'!D455/'04 Prices'!D454))</f>
        <v/>
      </c>
      <c r="E454" s="25">
        <f>IF(OR($A454="",'04 Prices'!E454="",'04 Prices'!E455=""),"",LN('04 Prices'!E455/'04 Prices'!E454))</f>
        <v/>
      </c>
      <c r="F454" s="25">
        <f>IF(OR($A454="",'04 Prices'!F454="",'04 Prices'!F455=""),"",LN('04 Prices'!F455/'04 Prices'!F454))</f>
        <v/>
      </c>
      <c r="G454" s="25">
        <f>IF(OR($A454="",'04 Prices'!G454="",'04 Prices'!G455=""),"",LN('04 Prices'!G455/'04 Prices'!G454))</f>
        <v/>
      </c>
      <c r="H454" s="25">
        <f>IF(OR($A454="",'04 Prices'!H454="",'04 Prices'!H455=""),"",LN('04 Prices'!H455/'04 Prices'!H454))</f>
        <v/>
      </c>
    </row>
    <row r="455">
      <c r="A455" s="23">
        <f>IF('04 Prices'!A456="","",'04 Prices'!A456)</f>
        <v/>
      </c>
      <c r="B455" s="25">
        <f>IF(OR($A455="",'04 Prices'!B455="",'04 Prices'!B456=""),"",LN('04 Prices'!B456/'04 Prices'!B455))</f>
        <v/>
      </c>
      <c r="C455" s="25">
        <f>IF(OR($A455="",'04 Prices'!C455="",'04 Prices'!C456=""),"",LN('04 Prices'!C456/'04 Prices'!C455))</f>
        <v/>
      </c>
      <c r="D455" s="25">
        <f>IF(OR($A455="",'04 Prices'!D455="",'04 Prices'!D456=""),"",LN('04 Prices'!D456/'04 Prices'!D455))</f>
        <v/>
      </c>
      <c r="E455" s="25">
        <f>IF(OR($A455="",'04 Prices'!E455="",'04 Prices'!E456=""),"",LN('04 Prices'!E456/'04 Prices'!E455))</f>
        <v/>
      </c>
      <c r="F455" s="25">
        <f>IF(OR($A455="",'04 Prices'!F455="",'04 Prices'!F456=""),"",LN('04 Prices'!F456/'04 Prices'!F455))</f>
        <v/>
      </c>
      <c r="G455" s="25">
        <f>IF(OR($A455="",'04 Prices'!G455="",'04 Prices'!G456=""),"",LN('04 Prices'!G456/'04 Prices'!G455))</f>
        <v/>
      </c>
      <c r="H455" s="25">
        <f>IF(OR($A455="",'04 Prices'!H455="",'04 Prices'!H456=""),"",LN('04 Prices'!H456/'04 Prices'!H455))</f>
        <v/>
      </c>
    </row>
    <row r="456">
      <c r="A456" s="23">
        <f>IF('04 Prices'!A457="","",'04 Prices'!A457)</f>
        <v/>
      </c>
      <c r="B456" s="25">
        <f>IF(OR($A456="",'04 Prices'!B456="",'04 Prices'!B457=""),"",LN('04 Prices'!B457/'04 Prices'!B456))</f>
        <v/>
      </c>
      <c r="C456" s="25">
        <f>IF(OR($A456="",'04 Prices'!C456="",'04 Prices'!C457=""),"",LN('04 Prices'!C457/'04 Prices'!C456))</f>
        <v/>
      </c>
      <c r="D456" s="25">
        <f>IF(OR($A456="",'04 Prices'!D456="",'04 Prices'!D457=""),"",LN('04 Prices'!D457/'04 Prices'!D456))</f>
        <v/>
      </c>
      <c r="E456" s="25">
        <f>IF(OR($A456="",'04 Prices'!E456="",'04 Prices'!E457=""),"",LN('04 Prices'!E457/'04 Prices'!E456))</f>
        <v/>
      </c>
      <c r="F456" s="25">
        <f>IF(OR($A456="",'04 Prices'!F456="",'04 Prices'!F457=""),"",LN('04 Prices'!F457/'04 Prices'!F456))</f>
        <v/>
      </c>
      <c r="G456" s="25">
        <f>IF(OR($A456="",'04 Prices'!G456="",'04 Prices'!G457=""),"",LN('04 Prices'!G457/'04 Prices'!G456))</f>
        <v/>
      </c>
      <c r="H456" s="25">
        <f>IF(OR($A456="",'04 Prices'!H456="",'04 Prices'!H457=""),"",LN('04 Prices'!H457/'04 Prices'!H456))</f>
        <v/>
      </c>
    </row>
    <row r="457">
      <c r="A457" s="23">
        <f>IF('04 Prices'!A458="","",'04 Prices'!A458)</f>
        <v/>
      </c>
      <c r="B457" s="25">
        <f>IF(OR($A457="",'04 Prices'!B457="",'04 Prices'!B458=""),"",LN('04 Prices'!B458/'04 Prices'!B457))</f>
        <v/>
      </c>
      <c r="C457" s="25">
        <f>IF(OR($A457="",'04 Prices'!C457="",'04 Prices'!C458=""),"",LN('04 Prices'!C458/'04 Prices'!C457))</f>
        <v/>
      </c>
      <c r="D457" s="25">
        <f>IF(OR($A457="",'04 Prices'!D457="",'04 Prices'!D458=""),"",LN('04 Prices'!D458/'04 Prices'!D457))</f>
        <v/>
      </c>
      <c r="E457" s="25">
        <f>IF(OR($A457="",'04 Prices'!E457="",'04 Prices'!E458=""),"",LN('04 Prices'!E458/'04 Prices'!E457))</f>
        <v/>
      </c>
      <c r="F457" s="25">
        <f>IF(OR($A457="",'04 Prices'!F457="",'04 Prices'!F458=""),"",LN('04 Prices'!F458/'04 Prices'!F457))</f>
        <v/>
      </c>
      <c r="G457" s="25">
        <f>IF(OR($A457="",'04 Prices'!G457="",'04 Prices'!G458=""),"",LN('04 Prices'!G458/'04 Prices'!G457))</f>
        <v/>
      </c>
      <c r="H457" s="25">
        <f>IF(OR($A457="",'04 Prices'!H457="",'04 Prices'!H458=""),"",LN('04 Prices'!H458/'04 Prices'!H457))</f>
        <v/>
      </c>
    </row>
    <row r="458">
      <c r="A458" s="23">
        <f>IF('04 Prices'!A459="","",'04 Prices'!A459)</f>
        <v/>
      </c>
      <c r="B458" s="25">
        <f>IF(OR($A458="",'04 Prices'!B458="",'04 Prices'!B459=""),"",LN('04 Prices'!B459/'04 Prices'!B458))</f>
        <v/>
      </c>
      <c r="C458" s="25">
        <f>IF(OR($A458="",'04 Prices'!C458="",'04 Prices'!C459=""),"",LN('04 Prices'!C459/'04 Prices'!C458))</f>
        <v/>
      </c>
      <c r="D458" s="25">
        <f>IF(OR($A458="",'04 Prices'!D458="",'04 Prices'!D459=""),"",LN('04 Prices'!D459/'04 Prices'!D458))</f>
        <v/>
      </c>
      <c r="E458" s="25">
        <f>IF(OR($A458="",'04 Prices'!E458="",'04 Prices'!E459=""),"",LN('04 Prices'!E459/'04 Prices'!E458))</f>
        <v/>
      </c>
      <c r="F458" s="25">
        <f>IF(OR($A458="",'04 Prices'!F458="",'04 Prices'!F459=""),"",LN('04 Prices'!F459/'04 Prices'!F458))</f>
        <v/>
      </c>
      <c r="G458" s="25">
        <f>IF(OR($A458="",'04 Prices'!G458="",'04 Prices'!G459=""),"",LN('04 Prices'!G459/'04 Prices'!G458))</f>
        <v/>
      </c>
      <c r="H458" s="25">
        <f>IF(OR($A458="",'04 Prices'!H458="",'04 Prices'!H459=""),"",LN('04 Prices'!H459/'04 Prices'!H458))</f>
        <v/>
      </c>
    </row>
    <row r="459">
      <c r="A459" s="23">
        <f>IF('04 Prices'!A460="","",'04 Prices'!A460)</f>
        <v/>
      </c>
      <c r="B459" s="25">
        <f>IF(OR($A459="",'04 Prices'!B459="",'04 Prices'!B460=""),"",LN('04 Prices'!B460/'04 Prices'!B459))</f>
        <v/>
      </c>
      <c r="C459" s="25">
        <f>IF(OR($A459="",'04 Prices'!C459="",'04 Prices'!C460=""),"",LN('04 Prices'!C460/'04 Prices'!C459))</f>
        <v/>
      </c>
      <c r="D459" s="25">
        <f>IF(OR($A459="",'04 Prices'!D459="",'04 Prices'!D460=""),"",LN('04 Prices'!D460/'04 Prices'!D459))</f>
        <v/>
      </c>
      <c r="E459" s="25">
        <f>IF(OR($A459="",'04 Prices'!E459="",'04 Prices'!E460=""),"",LN('04 Prices'!E460/'04 Prices'!E459))</f>
        <v/>
      </c>
      <c r="F459" s="25">
        <f>IF(OR($A459="",'04 Prices'!F459="",'04 Prices'!F460=""),"",LN('04 Prices'!F460/'04 Prices'!F459))</f>
        <v/>
      </c>
      <c r="G459" s="25">
        <f>IF(OR($A459="",'04 Prices'!G459="",'04 Prices'!G460=""),"",LN('04 Prices'!G460/'04 Prices'!G459))</f>
        <v/>
      </c>
      <c r="H459" s="25">
        <f>IF(OR($A459="",'04 Prices'!H459="",'04 Prices'!H460=""),"",LN('04 Prices'!H460/'04 Prices'!H459))</f>
        <v/>
      </c>
    </row>
    <row r="460">
      <c r="A460" s="23">
        <f>IF('04 Prices'!A461="","",'04 Prices'!A461)</f>
        <v/>
      </c>
      <c r="B460" s="25">
        <f>IF(OR($A460="",'04 Prices'!B460="",'04 Prices'!B461=""),"",LN('04 Prices'!B461/'04 Prices'!B460))</f>
        <v/>
      </c>
      <c r="C460" s="25">
        <f>IF(OR($A460="",'04 Prices'!C460="",'04 Prices'!C461=""),"",LN('04 Prices'!C461/'04 Prices'!C460))</f>
        <v/>
      </c>
      <c r="D460" s="25">
        <f>IF(OR($A460="",'04 Prices'!D460="",'04 Prices'!D461=""),"",LN('04 Prices'!D461/'04 Prices'!D460))</f>
        <v/>
      </c>
      <c r="E460" s="25">
        <f>IF(OR($A460="",'04 Prices'!E460="",'04 Prices'!E461=""),"",LN('04 Prices'!E461/'04 Prices'!E460))</f>
        <v/>
      </c>
      <c r="F460" s="25">
        <f>IF(OR($A460="",'04 Prices'!F460="",'04 Prices'!F461=""),"",LN('04 Prices'!F461/'04 Prices'!F460))</f>
        <v/>
      </c>
      <c r="G460" s="25">
        <f>IF(OR($A460="",'04 Prices'!G460="",'04 Prices'!G461=""),"",LN('04 Prices'!G461/'04 Prices'!G460))</f>
        <v/>
      </c>
      <c r="H460" s="25">
        <f>IF(OR($A460="",'04 Prices'!H460="",'04 Prices'!H461=""),"",LN('04 Prices'!H461/'04 Prices'!H460))</f>
        <v/>
      </c>
    </row>
    <row r="461">
      <c r="A461" s="23">
        <f>IF('04 Prices'!A462="","",'04 Prices'!A462)</f>
        <v/>
      </c>
      <c r="B461" s="25">
        <f>IF(OR($A461="",'04 Prices'!B461="",'04 Prices'!B462=""),"",LN('04 Prices'!B462/'04 Prices'!B461))</f>
        <v/>
      </c>
      <c r="C461" s="25">
        <f>IF(OR($A461="",'04 Prices'!C461="",'04 Prices'!C462=""),"",LN('04 Prices'!C462/'04 Prices'!C461))</f>
        <v/>
      </c>
      <c r="D461" s="25">
        <f>IF(OR($A461="",'04 Prices'!D461="",'04 Prices'!D462=""),"",LN('04 Prices'!D462/'04 Prices'!D461))</f>
        <v/>
      </c>
      <c r="E461" s="25">
        <f>IF(OR($A461="",'04 Prices'!E461="",'04 Prices'!E462=""),"",LN('04 Prices'!E462/'04 Prices'!E461))</f>
        <v/>
      </c>
      <c r="F461" s="25">
        <f>IF(OR($A461="",'04 Prices'!F461="",'04 Prices'!F462=""),"",LN('04 Prices'!F462/'04 Prices'!F461))</f>
        <v/>
      </c>
      <c r="G461" s="25">
        <f>IF(OR($A461="",'04 Prices'!G461="",'04 Prices'!G462=""),"",LN('04 Prices'!G462/'04 Prices'!G461))</f>
        <v/>
      </c>
      <c r="H461" s="25">
        <f>IF(OR($A461="",'04 Prices'!H461="",'04 Prices'!H462=""),"",LN('04 Prices'!H462/'04 Prices'!H461))</f>
        <v/>
      </c>
    </row>
    <row r="462">
      <c r="A462" s="23">
        <f>IF('04 Prices'!A463="","",'04 Prices'!A463)</f>
        <v/>
      </c>
      <c r="B462" s="25">
        <f>IF(OR($A462="",'04 Prices'!B462="",'04 Prices'!B463=""),"",LN('04 Prices'!B463/'04 Prices'!B462))</f>
        <v/>
      </c>
      <c r="C462" s="25">
        <f>IF(OR($A462="",'04 Prices'!C462="",'04 Prices'!C463=""),"",LN('04 Prices'!C463/'04 Prices'!C462))</f>
        <v/>
      </c>
      <c r="D462" s="25">
        <f>IF(OR($A462="",'04 Prices'!D462="",'04 Prices'!D463=""),"",LN('04 Prices'!D463/'04 Prices'!D462))</f>
        <v/>
      </c>
      <c r="E462" s="25">
        <f>IF(OR($A462="",'04 Prices'!E462="",'04 Prices'!E463=""),"",LN('04 Prices'!E463/'04 Prices'!E462))</f>
        <v/>
      </c>
      <c r="F462" s="25">
        <f>IF(OR($A462="",'04 Prices'!F462="",'04 Prices'!F463=""),"",LN('04 Prices'!F463/'04 Prices'!F462))</f>
        <v/>
      </c>
      <c r="G462" s="25">
        <f>IF(OR($A462="",'04 Prices'!G462="",'04 Prices'!G463=""),"",LN('04 Prices'!G463/'04 Prices'!G462))</f>
        <v/>
      </c>
      <c r="H462" s="25">
        <f>IF(OR($A462="",'04 Prices'!H462="",'04 Prices'!H463=""),"",LN('04 Prices'!H463/'04 Prices'!H462))</f>
        <v/>
      </c>
    </row>
    <row r="463">
      <c r="A463" s="23">
        <f>IF('04 Prices'!A464="","",'04 Prices'!A464)</f>
        <v/>
      </c>
      <c r="B463" s="25">
        <f>IF(OR($A463="",'04 Prices'!B463="",'04 Prices'!B464=""),"",LN('04 Prices'!B464/'04 Prices'!B463))</f>
        <v/>
      </c>
      <c r="C463" s="25">
        <f>IF(OR($A463="",'04 Prices'!C463="",'04 Prices'!C464=""),"",LN('04 Prices'!C464/'04 Prices'!C463))</f>
        <v/>
      </c>
      <c r="D463" s="25">
        <f>IF(OR($A463="",'04 Prices'!D463="",'04 Prices'!D464=""),"",LN('04 Prices'!D464/'04 Prices'!D463))</f>
        <v/>
      </c>
      <c r="E463" s="25">
        <f>IF(OR($A463="",'04 Prices'!E463="",'04 Prices'!E464=""),"",LN('04 Prices'!E464/'04 Prices'!E463))</f>
        <v/>
      </c>
      <c r="F463" s="25">
        <f>IF(OR($A463="",'04 Prices'!F463="",'04 Prices'!F464=""),"",LN('04 Prices'!F464/'04 Prices'!F463))</f>
        <v/>
      </c>
      <c r="G463" s="25">
        <f>IF(OR($A463="",'04 Prices'!G463="",'04 Prices'!G464=""),"",LN('04 Prices'!G464/'04 Prices'!G463))</f>
        <v/>
      </c>
      <c r="H463" s="25">
        <f>IF(OR($A463="",'04 Prices'!H463="",'04 Prices'!H464=""),"",LN('04 Prices'!H464/'04 Prices'!H463))</f>
        <v/>
      </c>
    </row>
    <row r="464">
      <c r="A464" s="23">
        <f>IF('04 Prices'!A465="","",'04 Prices'!A465)</f>
        <v/>
      </c>
      <c r="B464" s="25">
        <f>IF(OR($A464="",'04 Prices'!B464="",'04 Prices'!B465=""),"",LN('04 Prices'!B465/'04 Prices'!B464))</f>
        <v/>
      </c>
      <c r="C464" s="25">
        <f>IF(OR($A464="",'04 Prices'!C464="",'04 Prices'!C465=""),"",LN('04 Prices'!C465/'04 Prices'!C464))</f>
        <v/>
      </c>
      <c r="D464" s="25">
        <f>IF(OR($A464="",'04 Prices'!D464="",'04 Prices'!D465=""),"",LN('04 Prices'!D465/'04 Prices'!D464))</f>
        <v/>
      </c>
      <c r="E464" s="25">
        <f>IF(OR($A464="",'04 Prices'!E464="",'04 Prices'!E465=""),"",LN('04 Prices'!E465/'04 Prices'!E464))</f>
        <v/>
      </c>
      <c r="F464" s="25">
        <f>IF(OR($A464="",'04 Prices'!F464="",'04 Prices'!F465=""),"",LN('04 Prices'!F465/'04 Prices'!F464))</f>
        <v/>
      </c>
      <c r="G464" s="25">
        <f>IF(OR($A464="",'04 Prices'!G464="",'04 Prices'!G465=""),"",LN('04 Prices'!G465/'04 Prices'!G464))</f>
        <v/>
      </c>
      <c r="H464" s="25">
        <f>IF(OR($A464="",'04 Prices'!H464="",'04 Prices'!H465=""),"",LN('04 Prices'!H465/'04 Prices'!H464))</f>
        <v/>
      </c>
    </row>
    <row r="465">
      <c r="A465" s="23">
        <f>IF('04 Prices'!A466="","",'04 Prices'!A466)</f>
        <v/>
      </c>
      <c r="B465" s="25">
        <f>IF(OR($A465="",'04 Prices'!B465="",'04 Prices'!B466=""),"",LN('04 Prices'!B466/'04 Prices'!B465))</f>
        <v/>
      </c>
      <c r="C465" s="25">
        <f>IF(OR($A465="",'04 Prices'!C465="",'04 Prices'!C466=""),"",LN('04 Prices'!C466/'04 Prices'!C465))</f>
        <v/>
      </c>
      <c r="D465" s="25">
        <f>IF(OR($A465="",'04 Prices'!D465="",'04 Prices'!D466=""),"",LN('04 Prices'!D466/'04 Prices'!D465))</f>
        <v/>
      </c>
      <c r="E465" s="25">
        <f>IF(OR($A465="",'04 Prices'!E465="",'04 Prices'!E466=""),"",LN('04 Prices'!E466/'04 Prices'!E465))</f>
        <v/>
      </c>
      <c r="F465" s="25">
        <f>IF(OR($A465="",'04 Prices'!F465="",'04 Prices'!F466=""),"",LN('04 Prices'!F466/'04 Prices'!F465))</f>
        <v/>
      </c>
      <c r="G465" s="25">
        <f>IF(OR($A465="",'04 Prices'!G465="",'04 Prices'!G466=""),"",LN('04 Prices'!G466/'04 Prices'!G465))</f>
        <v/>
      </c>
      <c r="H465" s="25">
        <f>IF(OR($A465="",'04 Prices'!H465="",'04 Prices'!H466=""),"",LN('04 Prices'!H466/'04 Prices'!H465))</f>
        <v/>
      </c>
    </row>
    <row r="466">
      <c r="A466" s="23">
        <f>IF('04 Prices'!A467="","",'04 Prices'!A467)</f>
        <v/>
      </c>
      <c r="B466" s="25">
        <f>IF(OR($A466="",'04 Prices'!B466="",'04 Prices'!B467=""),"",LN('04 Prices'!B467/'04 Prices'!B466))</f>
        <v/>
      </c>
      <c r="C466" s="25">
        <f>IF(OR($A466="",'04 Prices'!C466="",'04 Prices'!C467=""),"",LN('04 Prices'!C467/'04 Prices'!C466))</f>
        <v/>
      </c>
      <c r="D466" s="25">
        <f>IF(OR($A466="",'04 Prices'!D466="",'04 Prices'!D467=""),"",LN('04 Prices'!D467/'04 Prices'!D466))</f>
        <v/>
      </c>
      <c r="E466" s="25">
        <f>IF(OR($A466="",'04 Prices'!E466="",'04 Prices'!E467=""),"",LN('04 Prices'!E467/'04 Prices'!E466))</f>
        <v/>
      </c>
      <c r="F466" s="25">
        <f>IF(OR($A466="",'04 Prices'!F466="",'04 Prices'!F467=""),"",LN('04 Prices'!F467/'04 Prices'!F466))</f>
        <v/>
      </c>
      <c r="G466" s="25">
        <f>IF(OR($A466="",'04 Prices'!G466="",'04 Prices'!G467=""),"",LN('04 Prices'!G467/'04 Prices'!G466))</f>
        <v/>
      </c>
      <c r="H466" s="25">
        <f>IF(OR($A466="",'04 Prices'!H466="",'04 Prices'!H467=""),"",LN('04 Prices'!H467/'04 Prices'!H466))</f>
        <v/>
      </c>
    </row>
    <row r="467">
      <c r="A467" s="23">
        <f>IF('04 Prices'!A468="","",'04 Prices'!A468)</f>
        <v/>
      </c>
      <c r="B467" s="25">
        <f>IF(OR($A467="",'04 Prices'!B467="",'04 Prices'!B468=""),"",LN('04 Prices'!B468/'04 Prices'!B467))</f>
        <v/>
      </c>
      <c r="C467" s="25">
        <f>IF(OR($A467="",'04 Prices'!C467="",'04 Prices'!C468=""),"",LN('04 Prices'!C468/'04 Prices'!C467))</f>
        <v/>
      </c>
      <c r="D467" s="25">
        <f>IF(OR($A467="",'04 Prices'!D467="",'04 Prices'!D468=""),"",LN('04 Prices'!D468/'04 Prices'!D467))</f>
        <v/>
      </c>
      <c r="E467" s="25">
        <f>IF(OR($A467="",'04 Prices'!E467="",'04 Prices'!E468=""),"",LN('04 Prices'!E468/'04 Prices'!E467))</f>
        <v/>
      </c>
      <c r="F467" s="25">
        <f>IF(OR($A467="",'04 Prices'!F467="",'04 Prices'!F468=""),"",LN('04 Prices'!F468/'04 Prices'!F467))</f>
        <v/>
      </c>
      <c r="G467" s="25">
        <f>IF(OR($A467="",'04 Prices'!G467="",'04 Prices'!G468=""),"",LN('04 Prices'!G468/'04 Prices'!G467))</f>
        <v/>
      </c>
      <c r="H467" s="25">
        <f>IF(OR($A467="",'04 Prices'!H467="",'04 Prices'!H468=""),"",LN('04 Prices'!H468/'04 Prices'!H467))</f>
        <v/>
      </c>
    </row>
    <row r="468">
      <c r="A468" s="23">
        <f>IF('04 Prices'!A469="","",'04 Prices'!A469)</f>
        <v/>
      </c>
      <c r="B468" s="25">
        <f>IF(OR($A468="",'04 Prices'!B468="",'04 Prices'!B469=""),"",LN('04 Prices'!B469/'04 Prices'!B468))</f>
        <v/>
      </c>
      <c r="C468" s="25">
        <f>IF(OR($A468="",'04 Prices'!C468="",'04 Prices'!C469=""),"",LN('04 Prices'!C469/'04 Prices'!C468))</f>
        <v/>
      </c>
      <c r="D468" s="25">
        <f>IF(OR($A468="",'04 Prices'!D468="",'04 Prices'!D469=""),"",LN('04 Prices'!D469/'04 Prices'!D468))</f>
        <v/>
      </c>
      <c r="E468" s="25">
        <f>IF(OR($A468="",'04 Prices'!E468="",'04 Prices'!E469=""),"",LN('04 Prices'!E469/'04 Prices'!E468))</f>
        <v/>
      </c>
      <c r="F468" s="25">
        <f>IF(OR($A468="",'04 Prices'!F468="",'04 Prices'!F469=""),"",LN('04 Prices'!F469/'04 Prices'!F468))</f>
        <v/>
      </c>
      <c r="G468" s="25">
        <f>IF(OR($A468="",'04 Prices'!G468="",'04 Prices'!G469=""),"",LN('04 Prices'!G469/'04 Prices'!G468))</f>
        <v/>
      </c>
      <c r="H468" s="25">
        <f>IF(OR($A468="",'04 Prices'!H468="",'04 Prices'!H469=""),"",LN('04 Prices'!H469/'04 Prices'!H468))</f>
        <v/>
      </c>
    </row>
    <row r="469">
      <c r="A469" s="23">
        <f>IF('04 Prices'!A470="","",'04 Prices'!A470)</f>
        <v/>
      </c>
      <c r="B469" s="25">
        <f>IF(OR($A469="",'04 Prices'!B469="",'04 Prices'!B470=""),"",LN('04 Prices'!B470/'04 Prices'!B469))</f>
        <v/>
      </c>
      <c r="C469" s="25">
        <f>IF(OR($A469="",'04 Prices'!C469="",'04 Prices'!C470=""),"",LN('04 Prices'!C470/'04 Prices'!C469))</f>
        <v/>
      </c>
      <c r="D469" s="25">
        <f>IF(OR($A469="",'04 Prices'!D469="",'04 Prices'!D470=""),"",LN('04 Prices'!D470/'04 Prices'!D469))</f>
        <v/>
      </c>
      <c r="E469" s="25">
        <f>IF(OR($A469="",'04 Prices'!E469="",'04 Prices'!E470=""),"",LN('04 Prices'!E470/'04 Prices'!E469))</f>
        <v/>
      </c>
      <c r="F469" s="25">
        <f>IF(OR($A469="",'04 Prices'!F469="",'04 Prices'!F470=""),"",LN('04 Prices'!F470/'04 Prices'!F469))</f>
        <v/>
      </c>
      <c r="G469" s="25">
        <f>IF(OR($A469="",'04 Prices'!G469="",'04 Prices'!G470=""),"",LN('04 Prices'!G470/'04 Prices'!G469))</f>
        <v/>
      </c>
      <c r="H469" s="25">
        <f>IF(OR($A469="",'04 Prices'!H469="",'04 Prices'!H470=""),"",LN('04 Prices'!H470/'04 Prices'!H469))</f>
        <v/>
      </c>
    </row>
    <row r="470">
      <c r="A470" s="23">
        <f>IF('04 Prices'!A471="","",'04 Prices'!A471)</f>
        <v/>
      </c>
      <c r="B470" s="25">
        <f>IF(OR($A470="",'04 Prices'!B470="",'04 Prices'!B471=""),"",LN('04 Prices'!B471/'04 Prices'!B470))</f>
        <v/>
      </c>
      <c r="C470" s="25">
        <f>IF(OR($A470="",'04 Prices'!C470="",'04 Prices'!C471=""),"",LN('04 Prices'!C471/'04 Prices'!C470))</f>
        <v/>
      </c>
      <c r="D470" s="25">
        <f>IF(OR($A470="",'04 Prices'!D470="",'04 Prices'!D471=""),"",LN('04 Prices'!D471/'04 Prices'!D470))</f>
        <v/>
      </c>
      <c r="E470" s="25">
        <f>IF(OR($A470="",'04 Prices'!E470="",'04 Prices'!E471=""),"",LN('04 Prices'!E471/'04 Prices'!E470))</f>
        <v/>
      </c>
      <c r="F470" s="25">
        <f>IF(OR($A470="",'04 Prices'!F470="",'04 Prices'!F471=""),"",LN('04 Prices'!F471/'04 Prices'!F470))</f>
        <v/>
      </c>
      <c r="G470" s="25">
        <f>IF(OR($A470="",'04 Prices'!G470="",'04 Prices'!G471=""),"",LN('04 Prices'!G471/'04 Prices'!G470))</f>
        <v/>
      </c>
      <c r="H470" s="25">
        <f>IF(OR($A470="",'04 Prices'!H470="",'04 Prices'!H471=""),"",LN('04 Prices'!H471/'04 Prices'!H470))</f>
        <v/>
      </c>
    </row>
    <row r="471">
      <c r="A471" s="23">
        <f>IF('04 Prices'!A472="","",'04 Prices'!A472)</f>
        <v/>
      </c>
      <c r="B471" s="25">
        <f>IF(OR($A471="",'04 Prices'!B471="",'04 Prices'!B472=""),"",LN('04 Prices'!B472/'04 Prices'!B471))</f>
        <v/>
      </c>
      <c r="C471" s="25">
        <f>IF(OR($A471="",'04 Prices'!C471="",'04 Prices'!C472=""),"",LN('04 Prices'!C472/'04 Prices'!C471))</f>
        <v/>
      </c>
      <c r="D471" s="25">
        <f>IF(OR($A471="",'04 Prices'!D471="",'04 Prices'!D472=""),"",LN('04 Prices'!D472/'04 Prices'!D471))</f>
        <v/>
      </c>
      <c r="E471" s="25">
        <f>IF(OR($A471="",'04 Prices'!E471="",'04 Prices'!E472=""),"",LN('04 Prices'!E472/'04 Prices'!E471))</f>
        <v/>
      </c>
      <c r="F471" s="25">
        <f>IF(OR($A471="",'04 Prices'!F471="",'04 Prices'!F472=""),"",LN('04 Prices'!F472/'04 Prices'!F471))</f>
        <v/>
      </c>
      <c r="G471" s="25">
        <f>IF(OR($A471="",'04 Prices'!G471="",'04 Prices'!G472=""),"",LN('04 Prices'!G472/'04 Prices'!G471))</f>
        <v/>
      </c>
      <c r="H471" s="25">
        <f>IF(OR($A471="",'04 Prices'!H471="",'04 Prices'!H472=""),"",LN('04 Prices'!H472/'04 Prices'!H471))</f>
        <v/>
      </c>
    </row>
    <row r="472">
      <c r="A472" s="23">
        <f>IF('04 Prices'!A473="","",'04 Prices'!A473)</f>
        <v/>
      </c>
      <c r="B472" s="25">
        <f>IF(OR($A472="",'04 Prices'!B472="",'04 Prices'!B473=""),"",LN('04 Prices'!B473/'04 Prices'!B472))</f>
        <v/>
      </c>
      <c r="C472" s="25">
        <f>IF(OR($A472="",'04 Prices'!C472="",'04 Prices'!C473=""),"",LN('04 Prices'!C473/'04 Prices'!C472))</f>
        <v/>
      </c>
      <c r="D472" s="25">
        <f>IF(OR($A472="",'04 Prices'!D472="",'04 Prices'!D473=""),"",LN('04 Prices'!D473/'04 Prices'!D472))</f>
        <v/>
      </c>
      <c r="E472" s="25">
        <f>IF(OR($A472="",'04 Prices'!E472="",'04 Prices'!E473=""),"",LN('04 Prices'!E473/'04 Prices'!E472))</f>
        <v/>
      </c>
      <c r="F472" s="25">
        <f>IF(OR($A472="",'04 Prices'!F472="",'04 Prices'!F473=""),"",LN('04 Prices'!F473/'04 Prices'!F472))</f>
        <v/>
      </c>
      <c r="G472" s="25">
        <f>IF(OR($A472="",'04 Prices'!G472="",'04 Prices'!G473=""),"",LN('04 Prices'!G473/'04 Prices'!G472))</f>
        <v/>
      </c>
      <c r="H472" s="25">
        <f>IF(OR($A472="",'04 Prices'!H472="",'04 Prices'!H473=""),"",LN('04 Prices'!H473/'04 Prices'!H472))</f>
        <v/>
      </c>
    </row>
    <row r="473">
      <c r="A473" s="23">
        <f>IF('04 Prices'!A474="","",'04 Prices'!A474)</f>
        <v/>
      </c>
      <c r="B473" s="25">
        <f>IF(OR($A473="",'04 Prices'!B473="",'04 Prices'!B474=""),"",LN('04 Prices'!B474/'04 Prices'!B473))</f>
        <v/>
      </c>
      <c r="C473" s="25">
        <f>IF(OR($A473="",'04 Prices'!C473="",'04 Prices'!C474=""),"",LN('04 Prices'!C474/'04 Prices'!C473))</f>
        <v/>
      </c>
      <c r="D473" s="25">
        <f>IF(OR($A473="",'04 Prices'!D473="",'04 Prices'!D474=""),"",LN('04 Prices'!D474/'04 Prices'!D473))</f>
        <v/>
      </c>
      <c r="E473" s="25">
        <f>IF(OR($A473="",'04 Prices'!E473="",'04 Prices'!E474=""),"",LN('04 Prices'!E474/'04 Prices'!E473))</f>
        <v/>
      </c>
      <c r="F473" s="25">
        <f>IF(OR($A473="",'04 Prices'!F473="",'04 Prices'!F474=""),"",LN('04 Prices'!F474/'04 Prices'!F473))</f>
        <v/>
      </c>
      <c r="G473" s="25">
        <f>IF(OR($A473="",'04 Prices'!G473="",'04 Prices'!G474=""),"",LN('04 Prices'!G474/'04 Prices'!G473))</f>
        <v/>
      </c>
      <c r="H473" s="25">
        <f>IF(OR($A473="",'04 Prices'!H473="",'04 Prices'!H474=""),"",LN('04 Prices'!H474/'04 Prices'!H473))</f>
        <v/>
      </c>
    </row>
    <row r="474">
      <c r="A474" s="23">
        <f>IF('04 Prices'!A475="","",'04 Prices'!A475)</f>
        <v/>
      </c>
      <c r="B474" s="25">
        <f>IF(OR($A474="",'04 Prices'!B474="",'04 Prices'!B475=""),"",LN('04 Prices'!B475/'04 Prices'!B474))</f>
        <v/>
      </c>
      <c r="C474" s="25">
        <f>IF(OR($A474="",'04 Prices'!C474="",'04 Prices'!C475=""),"",LN('04 Prices'!C475/'04 Prices'!C474))</f>
        <v/>
      </c>
      <c r="D474" s="25">
        <f>IF(OR($A474="",'04 Prices'!D474="",'04 Prices'!D475=""),"",LN('04 Prices'!D475/'04 Prices'!D474))</f>
        <v/>
      </c>
      <c r="E474" s="25">
        <f>IF(OR($A474="",'04 Prices'!E474="",'04 Prices'!E475=""),"",LN('04 Prices'!E475/'04 Prices'!E474))</f>
        <v/>
      </c>
      <c r="F474" s="25">
        <f>IF(OR($A474="",'04 Prices'!F474="",'04 Prices'!F475=""),"",LN('04 Prices'!F475/'04 Prices'!F474))</f>
        <v/>
      </c>
      <c r="G474" s="25">
        <f>IF(OR($A474="",'04 Prices'!G474="",'04 Prices'!G475=""),"",LN('04 Prices'!G475/'04 Prices'!G474))</f>
        <v/>
      </c>
      <c r="H474" s="25">
        <f>IF(OR($A474="",'04 Prices'!H474="",'04 Prices'!H475=""),"",LN('04 Prices'!H475/'04 Prices'!H474))</f>
        <v/>
      </c>
    </row>
    <row r="475">
      <c r="A475" s="23">
        <f>IF('04 Prices'!A476="","",'04 Prices'!A476)</f>
        <v/>
      </c>
      <c r="B475" s="25">
        <f>IF(OR($A475="",'04 Prices'!B475="",'04 Prices'!B476=""),"",LN('04 Prices'!B476/'04 Prices'!B475))</f>
        <v/>
      </c>
      <c r="C475" s="25">
        <f>IF(OR($A475="",'04 Prices'!C475="",'04 Prices'!C476=""),"",LN('04 Prices'!C476/'04 Prices'!C475))</f>
        <v/>
      </c>
      <c r="D475" s="25">
        <f>IF(OR($A475="",'04 Prices'!D475="",'04 Prices'!D476=""),"",LN('04 Prices'!D476/'04 Prices'!D475))</f>
        <v/>
      </c>
      <c r="E475" s="25">
        <f>IF(OR($A475="",'04 Prices'!E475="",'04 Prices'!E476=""),"",LN('04 Prices'!E476/'04 Prices'!E475))</f>
        <v/>
      </c>
      <c r="F475" s="25">
        <f>IF(OR($A475="",'04 Prices'!F475="",'04 Prices'!F476=""),"",LN('04 Prices'!F476/'04 Prices'!F475))</f>
        <v/>
      </c>
      <c r="G475" s="25">
        <f>IF(OR($A475="",'04 Prices'!G475="",'04 Prices'!G476=""),"",LN('04 Prices'!G476/'04 Prices'!G475))</f>
        <v/>
      </c>
      <c r="H475" s="25">
        <f>IF(OR($A475="",'04 Prices'!H475="",'04 Prices'!H476=""),"",LN('04 Prices'!H476/'04 Prices'!H475))</f>
        <v/>
      </c>
    </row>
    <row r="476">
      <c r="A476" s="23">
        <f>IF('04 Prices'!A477="","",'04 Prices'!A477)</f>
        <v/>
      </c>
      <c r="B476" s="25">
        <f>IF(OR($A476="",'04 Prices'!B476="",'04 Prices'!B477=""),"",LN('04 Prices'!B477/'04 Prices'!B476))</f>
        <v/>
      </c>
      <c r="C476" s="25">
        <f>IF(OR($A476="",'04 Prices'!C476="",'04 Prices'!C477=""),"",LN('04 Prices'!C477/'04 Prices'!C476))</f>
        <v/>
      </c>
      <c r="D476" s="25">
        <f>IF(OR($A476="",'04 Prices'!D476="",'04 Prices'!D477=""),"",LN('04 Prices'!D477/'04 Prices'!D476))</f>
        <v/>
      </c>
      <c r="E476" s="25">
        <f>IF(OR($A476="",'04 Prices'!E476="",'04 Prices'!E477=""),"",LN('04 Prices'!E477/'04 Prices'!E476))</f>
        <v/>
      </c>
      <c r="F476" s="25">
        <f>IF(OR($A476="",'04 Prices'!F476="",'04 Prices'!F477=""),"",LN('04 Prices'!F477/'04 Prices'!F476))</f>
        <v/>
      </c>
      <c r="G476" s="25">
        <f>IF(OR($A476="",'04 Prices'!G476="",'04 Prices'!G477=""),"",LN('04 Prices'!G477/'04 Prices'!G476))</f>
        <v/>
      </c>
      <c r="H476" s="25">
        <f>IF(OR($A476="",'04 Prices'!H476="",'04 Prices'!H477=""),"",LN('04 Prices'!H477/'04 Prices'!H476))</f>
        <v/>
      </c>
    </row>
    <row r="477">
      <c r="A477" s="23">
        <f>IF('04 Prices'!A478="","",'04 Prices'!A478)</f>
        <v/>
      </c>
      <c r="B477" s="25">
        <f>IF(OR($A477="",'04 Prices'!B477="",'04 Prices'!B478=""),"",LN('04 Prices'!B478/'04 Prices'!B477))</f>
        <v/>
      </c>
      <c r="C477" s="25">
        <f>IF(OR($A477="",'04 Prices'!C477="",'04 Prices'!C478=""),"",LN('04 Prices'!C478/'04 Prices'!C477))</f>
        <v/>
      </c>
      <c r="D477" s="25">
        <f>IF(OR($A477="",'04 Prices'!D477="",'04 Prices'!D478=""),"",LN('04 Prices'!D478/'04 Prices'!D477))</f>
        <v/>
      </c>
      <c r="E477" s="25">
        <f>IF(OR($A477="",'04 Prices'!E477="",'04 Prices'!E478=""),"",LN('04 Prices'!E478/'04 Prices'!E477))</f>
        <v/>
      </c>
      <c r="F477" s="25">
        <f>IF(OR($A477="",'04 Prices'!F477="",'04 Prices'!F478=""),"",LN('04 Prices'!F478/'04 Prices'!F477))</f>
        <v/>
      </c>
      <c r="G477" s="25">
        <f>IF(OR($A477="",'04 Prices'!G477="",'04 Prices'!G478=""),"",LN('04 Prices'!G478/'04 Prices'!G477))</f>
        <v/>
      </c>
      <c r="H477" s="25">
        <f>IF(OR($A477="",'04 Prices'!H477="",'04 Prices'!H478=""),"",LN('04 Prices'!H478/'04 Prices'!H477))</f>
        <v/>
      </c>
    </row>
    <row r="478">
      <c r="A478" s="23">
        <f>IF('04 Prices'!A479="","",'04 Prices'!A479)</f>
        <v/>
      </c>
      <c r="B478" s="25">
        <f>IF(OR($A478="",'04 Prices'!B478="",'04 Prices'!B479=""),"",LN('04 Prices'!B479/'04 Prices'!B478))</f>
        <v/>
      </c>
      <c r="C478" s="25">
        <f>IF(OR($A478="",'04 Prices'!C478="",'04 Prices'!C479=""),"",LN('04 Prices'!C479/'04 Prices'!C478))</f>
        <v/>
      </c>
      <c r="D478" s="25">
        <f>IF(OR($A478="",'04 Prices'!D478="",'04 Prices'!D479=""),"",LN('04 Prices'!D479/'04 Prices'!D478))</f>
        <v/>
      </c>
      <c r="E478" s="25">
        <f>IF(OR($A478="",'04 Prices'!E478="",'04 Prices'!E479=""),"",LN('04 Prices'!E479/'04 Prices'!E478))</f>
        <v/>
      </c>
      <c r="F478" s="25">
        <f>IF(OR($A478="",'04 Prices'!F478="",'04 Prices'!F479=""),"",LN('04 Prices'!F479/'04 Prices'!F478))</f>
        <v/>
      </c>
      <c r="G478" s="25">
        <f>IF(OR($A478="",'04 Prices'!G478="",'04 Prices'!G479=""),"",LN('04 Prices'!G479/'04 Prices'!G478))</f>
        <v/>
      </c>
      <c r="H478" s="25">
        <f>IF(OR($A478="",'04 Prices'!H478="",'04 Prices'!H479=""),"",LN('04 Prices'!H479/'04 Prices'!H478))</f>
        <v/>
      </c>
    </row>
    <row r="479">
      <c r="A479" s="23">
        <f>IF('04 Prices'!A480="","",'04 Prices'!A480)</f>
        <v/>
      </c>
      <c r="B479" s="25">
        <f>IF(OR($A479="",'04 Prices'!B479="",'04 Prices'!B480=""),"",LN('04 Prices'!B480/'04 Prices'!B479))</f>
        <v/>
      </c>
      <c r="C479" s="25">
        <f>IF(OR($A479="",'04 Prices'!C479="",'04 Prices'!C480=""),"",LN('04 Prices'!C480/'04 Prices'!C479))</f>
        <v/>
      </c>
      <c r="D479" s="25">
        <f>IF(OR($A479="",'04 Prices'!D479="",'04 Prices'!D480=""),"",LN('04 Prices'!D480/'04 Prices'!D479))</f>
        <v/>
      </c>
      <c r="E479" s="25">
        <f>IF(OR($A479="",'04 Prices'!E479="",'04 Prices'!E480=""),"",LN('04 Prices'!E480/'04 Prices'!E479))</f>
        <v/>
      </c>
      <c r="F479" s="25">
        <f>IF(OR($A479="",'04 Prices'!F479="",'04 Prices'!F480=""),"",LN('04 Prices'!F480/'04 Prices'!F479))</f>
        <v/>
      </c>
      <c r="G479" s="25">
        <f>IF(OR($A479="",'04 Prices'!G479="",'04 Prices'!G480=""),"",LN('04 Prices'!G480/'04 Prices'!G479))</f>
        <v/>
      </c>
      <c r="H479" s="25">
        <f>IF(OR($A479="",'04 Prices'!H479="",'04 Prices'!H480=""),"",LN('04 Prices'!H480/'04 Prices'!H479))</f>
        <v/>
      </c>
    </row>
    <row r="480">
      <c r="A480" s="23">
        <f>IF('04 Prices'!A481="","",'04 Prices'!A481)</f>
        <v/>
      </c>
      <c r="B480" s="25">
        <f>IF(OR($A480="",'04 Prices'!B480="",'04 Prices'!B481=""),"",LN('04 Prices'!B481/'04 Prices'!B480))</f>
        <v/>
      </c>
      <c r="C480" s="25">
        <f>IF(OR($A480="",'04 Prices'!C480="",'04 Prices'!C481=""),"",LN('04 Prices'!C481/'04 Prices'!C480))</f>
        <v/>
      </c>
      <c r="D480" s="25">
        <f>IF(OR($A480="",'04 Prices'!D480="",'04 Prices'!D481=""),"",LN('04 Prices'!D481/'04 Prices'!D480))</f>
        <v/>
      </c>
      <c r="E480" s="25">
        <f>IF(OR($A480="",'04 Prices'!E480="",'04 Prices'!E481=""),"",LN('04 Prices'!E481/'04 Prices'!E480))</f>
        <v/>
      </c>
      <c r="F480" s="25">
        <f>IF(OR($A480="",'04 Prices'!F480="",'04 Prices'!F481=""),"",LN('04 Prices'!F481/'04 Prices'!F480))</f>
        <v/>
      </c>
      <c r="G480" s="25">
        <f>IF(OR($A480="",'04 Prices'!G480="",'04 Prices'!G481=""),"",LN('04 Prices'!G481/'04 Prices'!G480))</f>
        <v/>
      </c>
      <c r="H480" s="25">
        <f>IF(OR($A480="",'04 Prices'!H480="",'04 Prices'!H481=""),"",LN('04 Prices'!H481/'04 Prices'!H480))</f>
        <v/>
      </c>
    </row>
    <row r="481">
      <c r="A481" s="23">
        <f>IF('04 Prices'!A482="","",'04 Prices'!A482)</f>
        <v/>
      </c>
      <c r="B481" s="25">
        <f>IF(OR($A481="",'04 Prices'!B481="",'04 Prices'!B482=""),"",LN('04 Prices'!B482/'04 Prices'!B481))</f>
        <v/>
      </c>
      <c r="C481" s="25">
        <f>IF(OR($A481="",'04 Prices'!C481="",'04 Prices'!C482=""),"",LN('04 Prices'!C482/'04 Prices'!C481))</f>
        <v/>
      </c>
      <c r="D481" s="25">
        <f>IF(OR($A481="",'04 Prices'!D481="",'04 Prices'!D482=""),"",LN('04 Prices'!D482/'04 Prices'!D481))</f>
        <v/>
      </c>
      <c r="E481" s="25">
        <f>IF(OR($A481="",'04 Prices'!E481="",'04 Prices'!E482=""),"",LN('04 Prices'!E482/'04 Prices'!E481))</f>
        <v/>
      </c>
      <c r="F481" s="25">
        <f>IF(OR($A481="",'04 Prices'!F481="",'04 Prices'!F482=""),"",LN('04 Prices'!F482/'04 Prices'!F481))</f>
        <v/>
      </c>
      <c r="G481" s="25">
        <f>IF(OR($A481="",'04 Prices'!G481="",'04 Prices'!G482=""),"",LN('04 Prices'!G482/'04 Prices'!G481))</f>
        <v/>
      </c>
      <c r="H481" s="25">
        <f>IF(OR($A481="",'04 Prices'!H481="",'04 Prices'!H482=""),"",LN('04 Prices'!H482/'04 Prices'!H481))</f>
        <v/>
      </c>
    </row>
    <row r="482">
      <c r="A482" s="23">
        <f>IF('04 Prices'!A483="","",'04 Prices'!A483)</f>
        <v/>
      </c>
      <c r="B482" s="25">
        <f>IF(OR($A482="",'04 Prices'!B482="",'04 Prices'!B483=""),"",LN('04 Prices'!B483/'04 Prices'!B482))</f>
        <v/>
      </c>
      <c r="C482" s="25">
        <f>IF(OR($A482="",'04 Prices'!C482="",'04 Prices'!C483=""),"",LN('04 Prices'!C483/'04 Prices'!C482))</f>
        <v/>
      </c>
      <c r="D482" s="25">
        <f>IF(OR($A482="",'04 Prices'!D482="",'04 Prices'!D483=""),"",LN('04 Prices'!D483/'04 Prices'!D482))</f>
        <v/>
      </c>
      <c r="E482" s="25">
        <f>IF(OR($A482="",'04 Prices'!E482="",'04 Prices'!E483=""),"",LN('04 Prices'!E483/'04 Prices'!E482))</f>
        <v/>
      </c>
      <c r="F482" s="25">
        <f>IF(OR($A482="",'04 Prices'!F482="",'04 Prices'!F483=""),"",LN('04 Prices'!F483/'04 Prices'!F482))</f>
        <v/>
      </c>
      <c r="G482" s="25">
        <f>IF(OR($A482="",'04 Prices'!G482="",'04 Prices'!G483=""),"",LN('04 Prices'!G483/'04 Prices'!G482))</f>
        <v/>
      </c>
      <c r="H482" s="25">
        <f>IF(OR($A482="",'04 Prices'!H482="",'04 Prices'!H483=""),"",LN('04 Prices'!H483/'04 Prices'!H482))</f>
        <v/>
      </c>
    </row>
    <row r="483">
      <c r="A483" s="23">
        <f>IF('04 Prices'!A484="","",'04 Prices'!A484)</f>
        <v/>
      </c>
      <c r="B483" s="25">
        <f>IF(OR($A483="",'04 Prices'!B483="",'04 Prices'!B484=""),"",LN('04 Prices'!B484/'04 Prices'!B483))</f>
        <v/>
      </c>
      <c r="C483" s="25">
        <f>IF(OR($A483="",'04 Prices'!C483="",'04 Prices'!C484=""),"",LN('04 Prices'!C484/'04 Prices'!C483))</f>
        <v/>
      </c>
      <c r="D483" s="25">
        <f>IF(OR($A483="",'04 Prices'!D483="",'04 Prices'!D484=""),"",LN('04 Prices'!D484/'04 Prices'!D483))</f>
        <v/>
      </c>
      <c r="E483" s="25">
        <f>IF(OR($A483="",'04 Prices'!E483="",'04 Prices'!E484=""),"",LN('04 Prices'!E484/'04 Prices'!E483))</f>
        <v/>
      </c>
      <c r="F483" s="25">
        <f>IF(OR($A483="",'04 Prices'!F483="",'04 Prices'!F484=""),"",LN('04 Prices'!F484/'04 Prices'!F483))</f>
        <v/>
      </c>
      <c r="G483" s="25">
        <f>IF(OR($A483="",'04 Prices'!G483="",'04 Prices'!G484=""),"",LN('04 Prices'!G484/'04 Prices'!G483))</f>
        <v/>
      </c>
      <c r="H483" s="25">
        <f>IF(OR($A483="",'04 Prices'!H483="",'04 Prices'!H484=""),"",LN('04 Prices'!H484/'04 Prices'!H483))</f>
        <v/>
      </c>
    </row>
    <row r="484">
      <c r="A484" s="23">
        <f>IF('04 Prices'!A485="","",'04 Prices'!A485)</f>
        <v/>
      </c>
      <c r="B484" s="25">
        <f>IF(OR($A484="",'04 Prices'!B484="",'04 Prices'!B485=""),"",LN('04 Prices'!B485/'04 Prices'!B484))</f>
        <v/>
      </c>
      <c r="C484" s="25">
        <f>IF(OR($A484="",'04 Prices'!C484="",'04 Prices'!C485=""),"",LN('04 Prices'!C485/'04 Prices'!C484))</f>
        <v/>
      </c>
      <c r="D484" s="25">
        <f>IF(OR($A484="",'04 Prices'!D484="",'04 Prices'!D485=""),"",LN('04 Prices'!D485/'04 Prices'!D484))</f>
        <v/>
      </c>
      <c r="E484" s="25">
        <f>IF(OR($A484="",'04 Prices'!E484="",'04 Prices'!E485=""),"",LN('04 Prices'!E485/'04 Prices'!E484))</f>
        <v/>
      </c>
      <c r="F484" s="25">
        <f>IF(OR($A484="",'04 Prices'!F484="",'04 Prices'!F485=""),"",LN('04 Prices'!F485/'04 Prices'!F484))</f>
        <v/>
      </c>
      <c r="G484" s="25">
        <f>IF(OR($A484="",'04 Prices'!G484="",'04 Prices'!G485=""),"",LN('04 Prices'!G485/'04 Prices'!G484))</f>
        <v/>
      </c>
      <c r="H484" s="25">
        <f>IF(OR($A484="",'04 Prices'!H484="",'04 Prices'!H485=""),"",LN('04 Prices'!H485/'04 Prices'!H484))</f>
        <v/>
      </c>
    </row>
    <row r="485">
      <c r="A485" s="23">
        <f>IF('04 Prices'!A486="","",'04 Prices'!A486)</f>
        <v/>
      </c>
      <c r="B485" s="25">
        <f>IF(OR($A485="",'04 Prices'!B485="",'04 Prices'!B486=""),"",LN('04 Prices'!B486/'04 Prices'!B485))</f>
        <v/>
      </c>
      <c r="C485" s="25">
        <f>IF(OR($A485="",'04 Prices'!C485="",'04 Prices'!C486=""),"",LN('04 Prices'!C486/'04 Prices'!C485))</f>
        <v/>
      </c>
      <c r="D485" s="25">
        <f>IF(OR($A485="",'04 Prices'!D485="",'04 Prices'!D486=""),"",LN('04 Prices'!D486/'04 Prices'!D485))</f>
        <v/>
      </c>
      <c r="E485" s="25">
        <f>IF(OR($A485="",'04 Prices'!E485="",'04 Prices'!E486=""),"",LN('04 Prices'!E486/'04 Prices'!E485))</f>
        <v/>
      </c>
      <c r="F485" s="25">
        <f>IF(OR($A485="",'04 Prices'!F485="",'04 Prices'!F486=""),"",LN('04 Prices'!F486/'04 Prices'!F485))</f>
        <v/>
      </c>
      <c r="G485" s="25">
        <f>IF(OR($A485="",'04 Prices'!G485="",'04 Prices'!G486=""),"",LN('04 Prices'!G486/'04 Prices'!G485))</f>
        <v/>
      </c>
      <c r="H485" s="25">
        <f>IF(OR($A485="",'04 Prices'!H485="",'04 Prices'!H486=""),"",LN('04 Prices'!H486/'04 Prices'!H485))</f>
        <v/>
      </c>
    </row>
    <row r="486">
      <c r="A486" s="23">
        <f>IF('04 Prices'!A487="","",'04 Prices'!A487)</f>
        <v/>
      </c>
      <c r="B486" s="25">
        <f>IF(OR($A486="",'04 Prices'!B486="",'04 Prices'!B487=""),"",LN('04 Prices'!B487/'04 Prices'!B486))</f>
        <v/>
      </c>
      <c r="C486" s="25">
        <f>IF(OR($A486="",'04 Prices'!C486="",'04 Prices'!C487=""),"",LN('04 Prices'!C487/'04 Prices'!C486))</f>
        <v/>
      </c>
      <c r="D486" s="25">
        <f>IF(OR($A486="",'04 Prices'!D486="",'04 Prices'!D487=""),"",LN('04 Prices'!D487/'04 Prices'!D486))</f>
        <v/>
      </c>
      <c r="E486" s="25">
        <f>IF(OR($A486="",'04 Prices'!E486="",'04 Prices'!E487=""),"",LN('04 Prices'!E487/'04 Prices'!E486))</f>
        <v/>
      </c>
      <c r="F486" s="25">
        <f>IF(OR($A486="",'04 Prices'!F486="",'04 Prices'!F487=""),"",LN('04 Prices'!F487/'04 Prices'!F486))</f>
        <v/>
      </c>
      <c r="G486" s="25">
        <f>IF(OR($A486="",'04 Prices'!G486="",'04 Prices'!G487=""),"",LN('04 Prices'!G487/'04 Prices'!G486))</f>
        <v/>
      </c>
      <c r="H486" s="25">
        <f>IF(OR($A486="",'04 Prices'!H486="",'04 Prices'!H487=""),"",LN('04 Prices'!H487/'04 Prices'!H486))</f>
        <v/>
      </c>
    </row>
    <row r="487">
      <c r="A487" s="23">
        <f>IF('04 Prices'!A488="","",'04 Prices'!A488)</f>
        <v/>
      </c>
      <c r="B487" s="25">
        <f>IF(OR($A487="",'04 Prices'!B487="",'04 Prices'!B488=""),"",LN('04 Prices'!B488/'04 Prices'!B487))</f>
        <v/>
      </c>
      <c r="C487" s="25">
        <f>IF(OR($A487="",'04 Prices'!C487="",'04 Prices'!C488=""),"",LN('04 Prices'!C488/'04 Prices'!C487))</f>
        <v/>
      </c>
      <c r="D487" s="25">
        <f>IF(OR($A487="",'04 Prices'!D487="",'04 Prices'!D488=""),"",LN('04 Prices'!D488/'04 Prices'!D487))</f>
        <v/>
      </c>
      <c r="E487" s="25">
        <f>IF(OR($A487="",'04 Prices'!E487="",'04 Prices'!E488=""),"",LN('04 Prices'!E488/'04 Prices'!E487))</f>
        <v/>
      </c>
      <c r="F487" s="25">
        <f>IF(OR($A487="",'04 Prices'!F487="",'04 Prices'!F488=""),"",LN('04 Prices'!F488/'04 Prices'!F487))</f>
        <v/>
      </c>
      <c r="G487" s="25">
        <f>IF(OR($A487="",'04 Prices'!G487="",'04 Prices'!G488=""),"",LN('04 Prices'!G488/'04 Prices'!G487))</f>
        <v/>
      </c>
      <c r="H487" s="25">
        <f>IF(OR($A487="",'04 Prices'!H487="",'04 Prices'!H488=""),"",LN('04 Prices'!H488/'04 Prices'!H487))</f>
        <v/>
      </c>
    </row>
    <row r="488">
      <c r="A488" s="23">
        <f>IF('04 Prices'!A489="","",'04 Prices'!A489)</f>
        <v/>
      </c>
      <c r="B488" s="25">
        <f>IF(OR($A488="",'04 Prices'!B488="",'04 Prices'!B489=""),"",LN('04 Prices'!B489/'04 Prices'!B488))</f>
        <v/>
      </c>
      <c r="C488" s="25">
        <f>IF(OR($A488="",'04 Prices'!C488="",'04 Prices'!C489=""),"",LN('04 Prices'!C489/'04 Prices'!C488))</f>
        <v/>
      </c>
      <c r="D488" s="25">
        <f>IF(OR($A488="",'04 Prices'!D488="",'04 Prices'!D489=""),"",LN('04 Prices'!D489/'04 Prices'!D488))</f>
        <v/>
      </c>
      <c r="E488" s="25">
        <f>IF(OR($A488="",'04 Prices'!E488="",'04 Prices'!E489=""),"",LN('04 Prices'!E489/'04 Prices'!E488))</f>
        <v/>
      </c>
      <c r="F488" s="25">
        <f>IF(OR($A488="",'04 Prices'!F488="",'04 Prices'!F489=""),"",LN('04 Prices'!F489/'04 Prices'!F488))</f>
        <v/>
      </c>
      <c r="G488" s="25">
        <f>IF(OR($A488="",'04 Prices'!G488="",'04 Prices'!G489=""),"",LN('04 Prices'!G489/'04 Prices'!G488))</f>
        <v/>
      </c>
      <c r="H488" s="25">
        <f>IF(OR($A488="",'04 Prices'!H488="",'04 Prices'!H489=""),"",LN('04 Prices'!H489/'04 Prices'!H488))</f>
        <v/>
      </c>
    </row>
    <row r="489">
      <c r="A489" s="23">
        <f>IF('04 Prices'!A490="","",'04 Prices'!A490)</f>
        <v/>
      </c>
      <c r="B489" s="25">
        <f>IF(OR($A489="",'04 Prices'!B489="",'04 Prices'!B490=""),"",LN('04 Prices'!B490/'04 Prices'!B489))</f>
        <v/>
      </c>
      <c r="C489" s="25">
        <f>IF(OR($A489="",'04 Prices'!C489="",'04 Prices'!C490=""),"",LN('04 Prices'!C490/'04 Prices'!C489))</f>
        <v/>
      </c>
      <c r="D489" s="25">
        <f>IF(OR($A489="",'04 Prices'!D489="",'04 Prices'!D490=""),"",LN('04 Prices'!D490/'04 Prices'!D489))</f>
        <v/>
      </c>
      <c r="E489" s="25">
        <f>IF(OR($A489="",'04 Prices'!E489="",'04 Prices'!E490=""),"",LN('04 Prices'!E490/'04 Prices'!E489))</f>
        <v/>
      </c>
      <c r="F489" s="25">
        <f>IF(OR($A489="",'04 Prices'!F489="",'04 Prices'!F490=""),"",LN('04 Prices'!F490/'04 Prices'!F489))</f>
        <v/>
      </c>
      <c r="G489" s="25">
        <f>IF(OR($A489="",'04 Prices'!G489="",'04 Prices'!G490=""),"",LN('04 Prices'!G490/'04 Prices'!G489))</f>
        <v/>
      </c>
      <c r="H489" s="25">
        <f>IF(OR($A489="",'04 Prices'!H489="",'04 Prices'!H490=""),"",LN('04 Prices'!H490/'04 Prices'!H489))</f>
        <v/>
      </c>
    </row>
    <row r="490">
      <c r="A490" s="23">
        <f>IF('04 Prices'!A491="","",'04 Prices'!A491)</f>
        <v/>
      </c>
      <c r="B490" s="25">
        <f>IF(OR($A490="",'04 Prices'!B490="",'04 Prices'!B491=""),"",LN('04 Prices'!B491/'04 Prices'!B490))</f>
        <v/>
      </c>
      <c r="C490" s="25">
        <f>IF(OR($A490="",'04 Prices'!C490="",'04 Prices'!C491=""),"",LN('04 Prices'!C491/'04 Prices'!C490))</f>
        <v/>
      </c>
      <c r="D490" s="25">
        <f>IF(OR($A490="",'04 Prices'!D490="",'04 Prices'!D491=""),"",LN('04 Prices'!D491/'04 Prices'!D490))</f>
        <v/>
      </c>
      <c r="E490" s="25">
        <f>IF(OR($A490="",'04 Prices'!E490="",'04 Prices'!E491=""),"",LN('04 Prices'!E491/'04 Prices'!E490))</f>
        <v/>
      </c>
      <c r="F490" s="25">
        <f>IF(OR($A490="",'04 Prices'!F490="",'04 Prices'!F491=""),"",LN('04 Prices'!F491/'04 Prices'!F490))</f>
        <v/>
      </c>
      <c r="G490" s="25">
        <f>IF(OR($A490="",'04 Prices'!G490="",'04 Prices'!G491=""),"",LN('04 Prices'!G491/'04 Prices'!G490))</f>
        <v/>
      </c>
      <c r="H490" s="25">
        <f>IF(OR($A490="",'04 Prices'!H490="",'04 Prices'!H491=""),"",LN('04 Prices'!H491/'04 Prices'!H490))</f>
        <v/>
      </c>
    </row>
    <row r="491">
      <c r="A491" s="23">
        <f>IF('04 Prices'!A492="","",'04 Prices'!A492)</f>
        <v/>
      </c>
      <c r="B491" s="25">
        <f>IF(OR($A491="",'04 Prices'!B491="",'04 Prices'!B492=""),"",LN('04 Prices'!B492/'04 Prices'!B491))</f>
        <v/>
      </c>
      <c r="C491" s="25">
        <f>IF(OR($A491="",'04 Prices'!C491="",'04 Prices'!C492=""),"",LN('04 Prices'!C492/'04 Prices'!C491))</f>
        <v/>
      </c>
      <c r="D491" s="25">
        <f>IF(OR($A491="",'04 Prices'!D491="",'04 Prices'!D492=""),"",LN('04 Prices'!D492/'04 Prices'!D491))</f>
        <v/>
      </c>
      <c r="E491" s="25">
        <f>IF(OR($A491="",'04 Prices'!E491="",'04 Prices'!E492=""),"",LN('04 Prices'!E492/'04 Prices'!E491))</f>
        <v/>
      </c>
      <c r="F491" s="25">
        <f>IF(OR($A491="",'04 Prices'!F491="",'04 Prices'!F492=""),"",LN('04 Prices'!F492/'04 Prices'!F491))</f>
        <v/>
      </c>
      <c r="G491" s="25">
        <f>IF(OR($A491="",'04 Prices'!G491="",'04 Prices'!G492=""),"",LN('04 Prices'!G492/'04 Prices'!G491))</f>
        <v/>
      </c>
      <c r="H491" s="25">
        <f>IF(OR($A491="",'04 Prices'!H491="",'04 Prices'!H492=""),"",LN('04 Prices'!H492/'04 Prices'!H491))</f>
        <v/>
      </c>
    </row>
    <row r="492">
      <c r="A492" s="23">
        <f>IF('04 Prices'!A493="","",'04 Prices'!A493)</f>
        <v/>
      </c>
      <c r="B492" s="25">
        <f>IF(OR($A492="",'04 Prices'!B492="",'04 Prices'!B493=""),"",LN('04 Prices'!B493/'04 Prices'!B492))</f>
        <v/>
      </c>
      <c r="C492" s="25">
        <f>IF(OR($A492="",'04 Prices'!C492="",'04 Prices'!C493=""),"",LN('04 Prices'!C493/'04 Prices'!C492))</f>
        <v/>
      </c>
      <c r="D492" s="25">
        <f>IF(OR($A492="",'04 Prices'!D492="",'04 Prices'!D493=""),"",LN('04 Prices'!D493/'04 Prices'!D492))</f>
        <v/>
      </c>
      <c r="E492" s="25">
        <f>IF(OR($A492="",'04 Prices'!E492="",'04 Prices'!E493=""),"",LN('04 Prices'!E493/'04 Prices'!E492))</f>
        <v/>
      </c>
      <c r="F492" s="25">
        <f>IF(OR($A492="",'04 Prices'!F492="",'04 Prices'!F493=""),"",LN('04 Prices'!F493/'04 Prices'!F492))</f>
        <v/>
      </c>
      <c r="G492" s="25">
        <f>IF(OR($A492="",'04 Prices'!G492="",'04 Prices'!G493=""),"",LN('04 Prices'!G493/'04 Prices'!G492))</f>
        <v/>
      </c>
      <c r="H492" s="25">
        <f>IF(OR($A492="",'04 Prices'!H492="",'04 Prices'!H493=""),"",LN('04 Prices'!H493/'04 Prices'!H492))</f>
        <v/>
      </c>
    </row>
    <row r="493">
      <c r="A493" s="23">
        <f>IF('04 Prices'!A494="","",'04 Prices'!A494)</f>
        <v/>
      </c>
      <c r="B493" s="25">
        <f>IF(OR($A493="",'04 Prices'!B493="",'04 Prices'!B494=""),"",LN('04 Prices'!B494/'04 Prices'!B493))</f>
        <v/>
      </c>
      <c r="C493" s="25">
        <f>IF(OR($A493="",'04 Prices'!C493="",'04 Prices'!C494=""),"",LN('04 Prices'!C494/'04 Prices'!C493))</f>
        <v/>
      </c>
      <c r="D493" s="25">
        <f>IF(OR($A493="",'04 Prices'!D493="",'04 Prices'!D494=""),"",LN('04 Prices'!D494/'04 Prices'!D493))</f>
        <v/>
      </c>
      <c r="E493" s="25">
        <f>IF(OR($A493="",'04 Prices'!E493="",'04 Prices'!E494=""),"",LN('04 Prices'!E494/'04 Prices'!E493))</f>
        <v/>
      </c>
      <c r="F493" s="25">
        <f>IF(OR($A493="",'04 Prices'!F493="",'04 Prices'!F494=""),"",LN('04 Prices'!F494/'04 Prices'!F493))</f>
        <v/>
      </c>
      <c r="G493" s="25">
        <f>IF(OR($A493="",'04 Prices'!G493="",'04 Prices'!G494=""),"",LN('04 Prices'!G494/'04 Prices'!G493))</f>
        <v/>
      </c>
      <c r="H493" s="25">
        <f>IF(OR($A493="",'04 Prices'!H493="",'04 Prices'!H494=""),"",LN('04 Prices'!H494/'04 Prices'!H493))</f>
        <v/>
      </c>
    </row>
    <row r="494">
      <c r="A494" s="23">
        <f>IF('04 Prices'!A495="","",'04 Prices'!A495)</f>
        <v/>
      </c>
      <c r="B494" s="25">
        <f>IF(OR($A494="",'04 Prices'!B494="",'04 Prices'!B495=""),"",LN('04 Prices'!B495/'04 Prices'!B494))</f>
        <v/>
      </c>
      <c r="C494" s="25">
        <f>IF(OR($A494="",'04 Prices'!C494="",'04 Prices'!C495=""),"",LN('04 Prices'!C495/'04 Prices'!C494))</f>
        <v/>
      </c>
      <c r="D494" s="25">
        <f>IF(OR($A494="",'04 Prices'!D494="",'04 Prices'!D495=""),"",LN('04 Prices'!D495/'04 Prices'!D494))</f>
        <v/>
      </c>
      <c r="E494" s="25">
        <f>IF(OR($A494="",'04 Prices'!E494="",'04 Prices'!E495=""),"",LN('04 Prices'!E495/'04 Prices'!E494))</f>
        <v/>
      </c>
      <c r="F494" s="25">
        <f>IF(OR($A494="",'04 Prices'!F494="",'04 Prices'!F495=""),"",LN('04 Prices'!F495/'04 Prices'!F494))</f>
        <v/>
      </c>
      <c r="G494" s="25">
        <f>IF(OR($A494="",'04 Prices'!G494="",'04 Prices'!G495=""),"",LN('04 Prices'!G495/'04 Prices'!G494))</f>
        <v/>
      </c>
      <c r="H494" s="25">
        <f>IF(OR($A494="",'04 Prices'!H494="",'04 Prices'!H495=""),"",LN('04 Prices'!H495/'04 Prices'!H494))</f>
        <v/>
      </c>
    </row>
    <row r="495">
      <c r="A495" s="23">
        <f>IF('04 Prices'!A496="","",'04 Prices'!A496)</f>
        <v/>
      </c>
      <c r="B495" s="25">
        <f>IF(OR($A495="",'04 Prices'!B495="",'04 Prices'!B496=""),"",LN('04 Prices'!B496/'04 Prices'!B495))</f>
        <v/>
      </c>
      <c r="C495" s="25">
        <f>IF(OR($A495="",'04 Prices'!C495="",'04 Prices'!C496=""),"",LN('04 Prices'!C496/'04 Prices'!C495))</f>
        <v/>
      </c>
      <c r="D495" s="25">
        <f>IF(OR($A495="",'04 Prices'!D495="",'04 Prices'!D496=""),"",LN('04 Prices'!D496/'04 Prices'!D495))</f>
        <v/>
      </c>
      <c r="E495" s="25">
        <f>IF(OR($A495="",'04 Prices'!E495="",'04 Prices'!E496=""),"",LN('04 Prices'!E496/'04 Prices'!E495))</f>
        <v/>
      </c>
      <c r="F495" s="25">
        <f>IF(OR($A495="",'04 Prices'!F495="",'04 Prices'!F496=""),"",LN('04 Prices'!F496/'04 Prices'!F495))</f>
        <v/>
      </c>
      <c r="G495" s="25">
        <f>IF(OR($A495="",'04 Prices'!G495="",'04 Prices'!G496=""),"",LN('04 Prices'!G496/'04 Prices'!G495))</f>
        <v/>
      </c>
      <c r="H495" s="25">
        <f>IF(OR($A495="",'04 Prices'!H495="",'04 Prices'!H496=""),"",LN('04 Prices'!H496/'04 Prices'!H495))</f>
        <v/>
      </c>
    </row>
    <row r="496">
      <c r="A496" s="23">
        <f>IF('04 Prices'!A497="","",'04 Prices'!A497)</f>
        <v/>
      </c>
      <c r="B496" s="25">
        <f>IF(OR($A496="",'04 Prices'!B496="",'04 Prices'!B497=""),"",LN('04 Prices'!B497/'04 Prices'!B496))</f>
        <v/>
      </c>
      <c r="C496" s="25">
        <f>IF(OR($A496="",'04 Prices'!C496="",'04 Prices'!C497=""),"",LN('04 Prices'!C497/'04 Prices'!C496))</f>
        <v/>
      </c>
      <c r="D496" s="25">
        <f>IF(OR($A496="",'04 Prices'!D496="",'04 Prices'!D497=""),"",LN('04 Prices'!D497/'04 Prices'!D496))</f>
        <v/>
      </c>
      <c r="E496" s="25">
        <f>IF(OR($A496="",'04 Prices'!E496="",'04 Prices'!E497=""),"",LN('04 Prices'!E497/'04 Prices'!E496))</f>
        <v/>
      </c>
      <c r="F496" s="25">
        <f>IF(OR($A496="",'04 Prices'!F496="",'04 Prices'!F497=""),"",LN('04 Prices'!F497/'04 Prices'!F496))</f>
        <v/>
      </c>
      <c r="G496" s="25">
        <f>IF(OR($A496="",'04 Prices'!G496="",'04 Prices'!G497=""),"",LN('04 Prices'!G497/'04 Prices'!G496))</f>
        <v/>
      </c>
      <c r="H496" s="25">
        <f>IF(OR($A496="",'04 Prices'!H496="",'04 Prices'!H497=""),"",LN('04 Prices'!H497/'04 Prices'!H496))</f>
        <v/>
      </c>
    </row>
    <row r="497">
      <c r="A497" s="23">
        <f>IF('04 Prices'!A498="","",'04 Prices'!A498)</f>
        <v/>
      </c>
      <c r="B497" s="25">
        <f>IF(OR($A497="",'04 Prices'!B497="",'04 Prices'!B498=""),"",LN('04 Prices'!B498/'04 Prices'!B497))</f>
        <v/>
      </c>
      <c r="C497" s="25">
        <f>IF(OR($A497="",'04 Prices'!C497="",'04 Prices'!C498=""),"",LN('04 Prices'!C498/'04 Prices'!C497))</f>
        <v/>
      </c>
      <c r="D497" s="25">
        <f>IF(OR($A497="",'04 Prices'!D497="",'04 Prices'!D498=""),"",LN('04 Prices'!D498/'04 Prices'!D497))</f>
        <v/>
      </c>
      <c r="E497" s="25">
        <f>IF(OR($A497="",'04 Prices'!E497="",'04 Prices'!E498=""),"",LN('04 Prices'!E498/'04 Prices'!E497))</f>
        <v/>
      </c>
      <c r="F497" s="25">
        <f>IF(OR($A497="",'04 Prices'!F497="",'04 Prices'!F498=""),"",LN('04 Prices'!F498/'04 Prices'!F497))</f>
        <v/>
      </c>
      <c r="G497" s="25">
        <f>IF(OR($A497="",'04 Prices'!G497="",'04 Prices'!G498=""),"",LN('04 Prices'!G498/'04 Prices'!G497))</f>
        <v/>
      </c>
      <c r="H497" s="25">
        <f>IF(OR($A497="",'04 Prices'!H497="",'04 Prices'!H498=""),"",LN('04 Prices'!H498/'04 Prices'!H497))</f>
        <v/>
      </c>
    </row>
    <row r="498">
      <c r="A498" s="23">
        <f>IF('04 Prices'!A499="","",'04 Prices'!A499)</f>
        <v/>
      </c>
      <c r="B498" s="25">
        <f>IF(OR($A498="",'04 Prices'!B498="",'04 Prices'!B499=""),"",LN('04 Prices'!B499/'04 Prices'!B498))</f>
        <v/>
      </c>
      <c r="C498" s="25">
        <f>IF(OR($A498="",'04 Prices'!C498="",'04 Prices'!C499=""),"",LN('04 Prices'!C499/'04 Prices'!C498))</f>
        <v/>
      </c>
      <c r="D498" s="25">
        <f>IF(OR($A498="",'04 Prices'!D498="",'04 Prices'!D499=""),"",LN('04 Prices'!D499/'04 Prices'!D498))</f>
        <v/>
      </c>
      <c r="E498" s="25">
        <f>IF(OR($A498="",'04 Prices'!E498="",'04 Prices'!E499=""),"",LN('04 Prices'!E499/'04 Prices'!E498))</f>
        <v/>
      </c>
      <c r="F498" s="25">
        <f>IF(OR($A498="",'04 Prices'!F498="",'04 Prices'!F499=""),"",LN('04 Prices'!F499/'04 Prices'!F498))</f>
        <v/>
      </c>
      <c r="G498" s="25">
        <f>IF(OR($A498="",'04 Prices'!G498="",'04 Prices'!G499=""),"",LN('04 Prices'!G499/'04 Prices'!G498))</f>
        <v/>
      </c>
      <c r="H498" s="25">
        <f>IF(OR($A498="",'04 Prices'!H498="",'04 Prices'!H499=""),"",LN('04 Prices'!H499/'04 Prices'!H498))</f>
        <v/>
      </c>
    </row>
    <row r="499">
      <c r="A499" s="23">
        <f>IF('04 Prices'!A500="","",'04 Prices'!A500)</f>
        <v/>
      </c>
      <c r="B499" s="25">
        <f>IF(OR($A499="",'04 Prices'!B499="",'04 Prices'!B500=""),"",LN('04 Prices'!B500/'04 Prices'!B499))</f>
        <v/>
      </c>
      <c r="C499" s="25">
        <f>IF(OR($A499="",'04 Prices'!C499="",'04 Prices'!C500=""),"",LN('04 Prices'!C500/'04 Prices'!C499))</f>
        <v/>
      </c>
      <c r="D499" s="25">
        <f>IF(OR($A499="",'04 Prices'!D499="",'04 Prices'!D500=""),"",LN('04 Prices'!D500/'04 Prices'!D499))</f>
        <v/>
      </c>
      <c r="E499" s="25">
        <f>IF(OR($A499="",'04 Prices'!E499="",'04 Prices'!E500=""),"",LN('04 Prices'!E500/'04 Prices'!E499))</f>
        <v/>
      </c>
      <c r="F499" s="25">
        <f>IF(OR($A499="",'04 Prices'!F499="",'04 Prices'!F500=""),"",LN('04 Prices'!F500/'04 Prices'!F499))</f>
        <v/>
      </c>
      <c r="G499" s="25">
        <f>IF(OR($A499="",'04 Prices'!G499="",'04 Prices'!G500=""),"",LN('04 Prices'!G500/'04 Prices'!G499))</f>
        <v/>
      </c>
      <c r="H499" s="25">
        <f>IF(OR($A499="",'04 Prices'!H499="",'04 Prices'!H500=""),"",LN('04 Prices'!H500/'04 Prices'!H499))</f>
        <v/>
      </c>
    </row>
    <row r="500">
      <c r="A500" s="23">
        <f>IF('04 Prices'!A501="","",'04 Prices'!A501)</f>
        <v/>
      </c>
      <c r="B500" s="25">
        <f>IF(OR($A500="",'04 Prices'!B500="",'04 Prices'!B501=""),"",LN('04 Prices'!B501/'04 Prices'!B500))</f>
        <v/>
      </c>
      <c r="C500" s="25">
        <f>IF(OR($A500="",'04 Prices'!C500="",'04 Prices'!C501=""),"",LN('04 Prices'!C501/'04 Prices'!C500))</f>
        <v/>
      </c>
      <c r="D500" s="25">
        <f>IF(OR($A500="",'04 Prices'!D500="",'04 Prices'!D501=""),"",LN('04 Prices'!D501/'04 Prices'!D500))</f>
        <v/>
      </c>
      <c r="E500" s="25">
        <f>IF(OR($A500="",'04 Prices'!E500="",'04 Prices'!E501=""),"",LN('04 Prices'!E501/'04 Prices'!E500))</f>
        <v/>
      </c>
      <c r="F500" s="25">
        <f>IF(OR($A500="",'04 Prices'!F500="",'04 Prices'!F501=""),"",LN('04 Prices'!F501/'04 Prices'!F500))</f>
        <v/>
      </c>
      <c r="G500" s="25">
        <f>IF(OR($A500="",'04 Prices'!G500="",'04 Prices'!G501=""),"",LN('04 Prices'!G501/'04 Prices'!G500))</f>
        <v/>
      </c>
      <c r="H500" s="25">
        <f>IF(OR($A500="",'04 Prices'!H500="",'04 Prices'!H501=""),"",LN('04 Prices'!H501/'04 Prices'!H500))</f>
        <v/>
      </c>
    </row>
    <row r="501">
      <c r="A501" s="23">
        <f>IF('04 Prices'!A502="","",'04 Prices'!A502)</f>
        <v/>
      </c>
      <c r="B501" s="25">
        <f>IF(OR($A501="",'04 Prices'!B501="",'04 Prices'!B502=""),"",LN('04 Prices'!B502/'04 Prices'!B501))</f>
        <v/>
      </c>
      <c r="C501" s="25">
        <f>IF(OR($A501="",'04 Prices'!C501="",'04 Prices'!C502=""),"",LN('04 Prices'!C502/'04 Prices'!C501))</f>
        <v/>
      </c>
      <c r="D501" s="25">
        <f>IF(OR($A501="",'04 Prices'!D501="",'04 Prices'!D502=""),"",LN('04 Prices'!D502/'04 Prices'!D501))</f>
        <v/>
      </c>
      <c r="E501" s="25">
        <f>IF(OR($A501="",'04 Prices'!E501="",'04 Prices'!E502=""),"",LN('04 Prices'!E502/'04 Prices'!E501))</f>
        <v/>
      </c>
      <c r="F501" s="25">
        <f>IF(OR($A501="",'04 Prices'!F501="",'04 Prices'!F502=""),"",LN('04 Prices'!F502/'04 Prices'!F501))</f>
        <v/>
      </c>
      <c r="G501" s="25">
        <f>IF(OR($A501="",'04 Prices'!G501="",'04 Prices'!G502=""),"",LN('04 Prices'!G502/'04 Prices'!G501))</f>
        <v/>
      </c>
      <c r="H501" s="25">
        <f>IF(OR($A501="",'04 Prices'!H501="",'04 Prices'!H502=""),"",LN('04 Prices'!H502/'04 Prices'!H501))</f>
        <v/>
      </c>
    </row>
    <row r="502">
      <c r="A502" s="23">
        <f>IF('04 Prices'!A503="","",'04 Prices'!A503)</f>
        <v/>
      </c>
      <c r="B502" s="25">
        <f>IF(OR($A502="",'04 Prices'!B502="",'04 Prices'!B503=""),"",LN('04 Prices'!B503/'04 Prices'!B502))</f>
        <v/>
      </c>
      <c r="C502" s="25">
        <f>IF(OR($A502="",'04 Prices'!C502="",'04 Prices'!C503=""),"",LN('04 Prices'!C503/'04 Prices'!C502))</f>
        <v/>
      </c>
      <c r="D502" s="25">
        <f>IF(OR($A502="",'04 Prices'!D502="",'04 Prices'!D503=""),"",LN('04 Prices'!D503/'04 Prices'!D502))</f>
        <v/>
      </c>
      <c r="E502" s="25">
        <f>IF(OR($A502="",'04 Prices'!E502="",'04 Prices'!E503=""),"",LN('04 Prices'!E503/'04 Prices'!E502))</f>
        <v/>
      </c>
      <c r="F502" s="25">
        <f>IF(OR($A502="",'04 Prices'!F502="",'04 Prices'!F503=""),"",LN('04 Prices'!F503/'04 Prices'!F502))</f>
        <v/>
      </c>
      <c r="G502" s="25">
        <f>IF(OR($A502="",'04 Prices'!G502="",'04 Prices'!G503=""),"",LN('04 Prices'!G503/'04 Prices'!G502))</f>
        <v/>
      </c>
      <c r="H502" s="25">
        <f>IF(OR($A502="",'04 Prices'!H502="",'04 Prices'!H503=""),"",LN('04 Prices'!H503/'04 Prices'!H502))</f>
        <v/>
      </c>
    </row>
    <row r="503">
      <c r="A503" s="23">
        <f>IF('04 Prices'!A504="","",'04 Prices'!A504)</f>
        <v/>
      </c>
      <c r="B503" s="25">
        <f>IF(OR($A503="",'04 Prices'!B503="",'04 Prices'!B504=""),"",LN('04 Prices'!B504/'04 Prices'!B503))</f>
        <v/>
      </c>
      <c r="C503" s="25">
        <f>IF(OR($A503="",'04 Prices'!C503="",'04 Prices'!C504=""),"",LN('04 Prices'!C504/'04 Prices'!C503))</f>
        <v/>
      </c>
      <c r="D503" s="25">
        <f>IF(OR($A503="",'04 Prices'!D503="",'04 Prices'!D504=""),"",LN('04 Prices'!D504/'04 Prices'!D503))</f>
        <v/>
      </c>
      <c r="E503" s="25">
        <f>IF(OR($A503="",'04 Prices'!E503="",'04 Prices'!E504=""),"",LN('04 Prices'!E504/'04 Prices'!E503))</f>
        <v/>
      </c>
      <c r="F503" s="25">
        <f>IF(OR($A503="",'04 Prices'!F503="",'04 Prices'!F504=""),"",LN('04 Prices'!F504/'04 Prices'!F503))</f>
        <v/>
      </c>
      <c r="G503" s="25">
        <f>IF(OR($A503="",'04 Prices'!G503="",'04 Prices'!G504=""),"",LN('04 Prices'!G504/'04 Prices'!G503))</f>
        <v/>
      </c>
      <c r="H503" s="25">
        <f>IF(OR($A503="",'04 Prices'!H503="",'04 Prices'!H504=""),"",LN('04 Prices'!H504/'04 Prices'!H503))</f>
        <v/>
      </c>
    </row>
    <row r="504">
      <c r="A504" s="23">
        <f>IF('04 Prices'!A505="","",'04 Prices'!A505)</f>
        <v/>
      </c>
      <c r="B504" s="25">
        <f>IF(OR($A504="",'04 Prices'!B504="",'04 Prices'!B505=""),"",LN('04 Prices'!B505/'04 Prices'!B504))</f>
        <v/>
      </c>
      <c r="C504" s="25">
        <f>IF(OR($A504="",'04 Prices'!C504="",'04 Prices'!C505=""),"",LN('04 Prices'!C505/'04 Prices'!C504))</f>
        <v/>
      </c>
      <c r="D504" s="25">
        <f>IF(OR($A504="",'04 Prices'!D504="",'04 Prices'!D505=""),"",LN('04 Prices'!D505/'04 Prices'!D504))</f>
        <v/>
      </c>
      <c r="E504" s="25">
        <f>IF(OR($A504="",'04 Prices'!E504="",'04 Prices'!E505=""),"",LN('04 Prices'!E505/'04 Prices'!E504))</f>
        <v/>
      </c>
      <c r="F504" s="25">
        <f>IF(OR($A504="",'04 Prices'!F504="",'04 Prices'!F505=""),"",LN('04 Prices'!F505/'04 Prices'!F504))</f>
        <v/>
      </c>
      <c r="G504" s="25">
        <f>IF(OR($A504="",'04 Prices'!G504="",'04 Prices'!G505=""),"",LN('04 Prices'!G505/'04 Prices'!G504))</f>
        <v/>
      </c>
      <c r="H504" s="25">
        <f>IF(OR($A504="",'04 Prices'!H504="",'04 Prices'!H505=""),"",LN('04 Prices'!H505/'04 Prices'!H504))</f>
        <v/>
      </c>
    </row>
    <row r="505">
      <c r="A505" s="23">
        <f>IF('04 Prices'!A506="","",'04 Prices'!A506)</f>
        <v/>
      </c>
      <c r="B505" s="25">
        <f>IF(OR($A505="",'04 Prices'!B505="",'04 Prices'!B506=""),"",LN('04 Prices'!B506/'04 Prices'!B505))</f>
        <v/>
      </c>
      <c r="C505" s="25">
        <f>IF(OR($A505="",'04 Prices'!C505="",'04 Prices'!C506=""),"",LN('04 Prices'!C506/'04 Prices'!C505))</f>
        <v/>
      </c>
      <c r="D505" s="25">
        <f>IF(OR($A505="",'04 Prices'!D505="",'04 Prices'!D506=""),"",LN('04 Prices'!D506/'04 Prices'!D505))</f>
        <v/>
      </c>
      <c r="E505" s="25">
        <f>IF(OR($A505="",'04 Prices'!E505="",'04 Prices'!E506=""),"",LN('04 Prices'!E506/'04 Prices'!E505))</f>
        <v/>
      </c>
      <c r="F505" s="25">
        <f>IF(OR($A505="",'04 Prices'!F505="",'04 Prices'!F506=""),"",LN('04 Prices'!F506/'04 Prices'!F505))</f>
        <v/>
      </c>
      <c r="G505" s="25">
        <f>IF(OR($A505="",'04 Prices'!G505="",'04 Prices'!G506=""),"",LN('04 Prices'!G506/'04 Prices'!G505))</f>
        <v/>
      </c>
      <c r="H505" s="25">
        <f>IF(OR($A505="",'04 Prices'!H505="",'04 Prices'!H506=""),"",LN('04 Prices'!H506/'04 Prices'!H505))</f>
        <v/>
      </c>
    </row>
    <row r="506">
      <c r="A506" s="23">
        <f>IF('04 Prices'!A507="","",'04 Prices'!A507)</f>
        <v/>
      </c>
      <c r="B506" s="25">
        <f>IF(OR($A506="",'04 Prices'!B506="",'04 Prices'!B507=""),"",LN('04 Prices'!B507/'04 Prices'!B506))</f>
        <v/>
      </c>
      <c r="C506" s="25">
        <f>IF(OR($A506="",'04 Prices'!C506="",'04 Prices'!C507=""),"",LN('04 Prices'!C507/'04 Prices'!C506))</f>
        <v/>
      </c>
      <c r="D506" s="25">
        <f>IF(OR($A506="",'04 Prices'!D506="",'04 Prices'!D507=""),"",LN('04 Prices'!D507/'04 Prices'!D506))</f>
        <v/>
      </c>
      <c r="E506" s="25">
        <f>IF(OR($A506="",'04 Prices'!E506="",'04 Prices'!E507=""),"",LN('04 Prices'!E507/'04 Prices'!E506))</f>
        <v/>
      </c>
      <c r="F506" s="25">
        <f>IF(OR($A506="",'04 Prices'!F506="",'04 Prices'!F507=""),"",LN('04 Prices'!F507/'04 Prices'!F506))</f>
        <v/>
      </c>
      <c r="G506" s="25">
        <f>IF(OR($A506="",'04 Prices'!G506="",'04 Prices'!G507=""),"",LN('04 Prices'!G507/'04 Prices'!G506))</f>
        <v/>
      </c>
      <c r="H506" s="25">
        <f>IF(OR($A506="",'04 Prices'!H506="",'04 Prices'!H507=""),"",LN('04 Prices'!H507/'04 Prices'!H506))</f>
        <v/>
      </c>
    </row>
    <row r="507">
      <c r="A507" s="23">
        <f>IF('04 Prices'!A508="","",'04 Prices'!A508)</f>
        <v/>
      </c>
      <c r="B507" s="25">
        <f>IF(OR($A507="",'04 Prices'!B507="",'04 Prices'!B508=""),"",LN('04 Prices'!B508/'04 Prices'!B507))</f>
        <v/>
      </c>
      <c r="C507" s="25">
        <f>IF(OR($A507="",'04 Prices'!C507="",'04 Prices'!C508=""),"",LN('04 Prices'!C508/'04 Prices'!C507))</f>
        <v/>
      </c>
      <c r="D507" s="25">
        <f>IF(OR($A507="",'04 Prices'!D507="",'04 Prices'!D508=""),"",LN('04 Prices'!D508/'04 Prices'!D507))</f>
        <v/>
      </c>
      <c r="E507" s="25">
        <f>IF(OR($A507="",'04 Prices'!E507="",'04 Prices'!E508=""),"",LN('04 Prices'!E508/'04 Prices'!E507))</f>
        <v/>
      </c>
      <c r="F507" s="25">
        <f>IF(OR($A507="",'04 Prices'!F507="",'04 Prices'!F508=""),"",LN('04 Prices'!F508/'04 Prices'!F507))</f>
        <v/>
      </c>
      <c r="G507" s="25">
        <f>IF(OR($A507="",'04 Prices'!G507="",'04 Prices'!G508=""),"",LN('04 Prices'!G508/'04 Prices'!G507))</f>
        <v/>
      </c>
      <c r="H507" s="25">
        <f>IF(OR($A507="",'04 Prices'!H507="",'04 Prices'!H508=""),"",LN('04 Prices'!H508/'04 Prices'!H507))</f>
        <v/>
      </c>
    </row>
    <row r="508">
      <c r="A508" s="23">
        <f>IF('04 Prices'!A509="","",'04 Prices'!A509)</f>
        <v/>
      </c>
      <c r="B508" s="25">
        <f>IF(OR($A508="",'04 Prices'!B508="",'04 Prices'!B509=""),"",LN('04 Prices'!B509/'04 Prices'!B508))</f>
        <v/>
      </c>
      <c r="C508" s="25">
        <f>IF(OR($A508="",'04 Prices'!C508="",'04 Prices'!C509=""),"",LN('04 Prices'!C509/'04 Prices'!C508))</f>
        <v/>
      </c>
      <c r="D508" s="25">
        <f>IF(OR($A508="",'04 Prices'!D508="",'04 Prices'!D509=""),"",LN('04 Prices'!D509/'04 Prices'!D508))</f>
        <v/>
      </c>
      <c r="E508" s="25">
        <f>IF(OR($A508="",'04 Prices'!E508="",'04 Prices'!E509=""),"",LN('04 Prices'!E509/'04 Prices'!E508))</f>
        <v/>
      </c>
      <c r="F508" s="25">
        <f>IF(OR($A508="",'04 Prices'!F508="",'04 Prices'!F509=""),"",LN('04 Prices'!F509/'04 Prices'!F508))</f>
        <v/>
      </c>
      <c r="G508" s="25">
        <f>IF(OR($A508="",'04 Prices'!G508="",'04 Prices'!G509=""),"",LN('04 Prices'!G509/'04 Prices'!G508))</f>
        <v/>
      </c>
      <c r="H508" s="25">
        <f>IF(OR($A508="",'04 Prices'!H508="",'04 Prices'!H509=""),"",LN('04 Prices'!H509/'04 Prices'!H508))</f>
        <v/>
      </c>
    </row>
    <row r="509">
      <c r="A509" s="23">
        <f>IF('04 Prices'!A510="","",'04 Prices'!A510)</f>
        <v/>
      </c>
      <c r="B509" s="25">
        <f>IF(OR($A509="",'04 Prices'!B509="",'04 Prices'!B510=""),"",LN('04 Prices'!B510/'04 Prices'!B509))</f>
        <v/>
      </c>
      <c r="C509" s="25">
        <f>IF(OR($A509="",'04 Prices'!C509="",'04 Prices'!C510=""),"",LN('04 Prices'!C510/'04 Prices'!C509))</f>
        <v/>
      </c>
      <c r="D509" s="25">
        <f>IF(OR($A509="",'04 Prices'!D509="",'04 Prices'!D510=""),"",LN('04 Prices'!D510/'04 Prices'!D509))</f>
        <v/>
      </c>
      <c r="E509" s="25">
        <f>IF(OR($A509="",'04 Prices'!E509="",'04 Prices'!E510=""),"",LN('04 Prices'!E510/'04 Prices'!E509))</f>
        <v/>
      </c>
      <c r="F509" s="25">
        <f>IF(OR($A509="",'04 Prices'!F509="",'04 Prices'!F510=""),"",LN('04 Prices'!F510/'04 Prices'!F509))</f>
        <v/>
      </c>
      <c r="G509" s="25">
        <f>IF(OR($A509="",'04 Prices'!G509="",'04 Prices'!G510=""),"",LN('04 Prices'!G510/'04 Prices'!G509))</f>
        <v/>
      </c>
      <c r="H509" s="25">
        <f>IF(OR($A509="",'04 Prices'!H509="",'04 Prices'!H510=""),"",LN('04 Prices'!H510/'04 Prices'!H509))</f>
        <v/>
      </c>
    </row>
    <row r="510">
      <c r="A510" s="23">
        <f>IF('04 Prices'!A511="","",'04 Prices'!A511)</f>
        <v/>
      </c>
      <c r="B510" s="25">
        <f>IF(OR($A510="",'04 Prices'!B510="",'04 Prices'!B511=""),"",LN('04 Prices'!B511/'04 Prices'!B510))</f>
        <v/>
      </c>
      <c r="C510" s="25">
        <f>IF(OR($A510="",'04 Prices'!C510="",'04 Prices'!C511=""),"",LN('04 Prices'!C511/'04 Prices'!C510))</f>
        <v/>
      </c>
      <c r="D510" s="25">
        <f>IF(OR($A510="",'04 Prices'!D510="",'04 Prices'!D511=""),"",LN('04 Prices'!D511/'04 Prices'!D510))</f>
        <v/>
      </c>
      <c r="E510" s="25">
        <f>IF(OR($A510="",'04 Prices'!E510="",'04 Prices'!E511=""),"",LN('04 Prices'!E511/'04 Prices'!E510))</f>
        <v/>
      </c>
      <c r="F510" s="25">
        <f>IF(OR($A510="",'04 Prices'!F510="",'04 Prices'!F511=""),"",LN('04 Prices'!F511/'04 Prices'!F510))</f>
        <v/>
      </c>
      <c r="G510" s="25">
        <f>IF(OR($A510="",'04 Prices'!G510="",'04 Prices'!G511=""),"",LN('04 Prices'!G511/'04 Prices'!G510))</f>
        <v/>
      </c>
      <c r="H510" s="25">
        <f>IF(OR($A510="",'04 Prices'!H510="",'04 Prices'!H511=""),"",LN('04 Prices'!H511/'04 Prices'!H510))</f>
        <v/>
      </c>
    </row>
    <row r="511">
      <c r="A511" s="23">
        <f>IF('04 Prices'!A512="","",'04 Prices'!A512)</f>
        <v/>
      </c>
      <c r="B511" s="25">
        <f>IF(OR($A511="",'04 Prices'!B511="",'04 Prices'!B512=""),"",LN('04 Prices'!B512/'04 Prices'!B511))</f>
        <v/>
      </c>
      <c r="C511" s="25">
        <f>IF(OR($A511="",'04 Prices'!C511="",'04 Prices'!C512=""),"",LN('04 Prices'!C512/'04 Prices'!C511))</f>
        <v/>
      </c>
      <c r="D511" s="25">
        <f>IF(OR($A511="",'04 Prices'!D511="",'04 Prices'!D512=""),"",LN('04 Prices'!D512/'04 Prices'!D511))</f>
        <v/>
      </c>
      <c r="E511" s="25">
        <f>IF(OR($A511="",'04 Prices'!E511="",'04 Prices'!E512=""),"",LN('04 Prices'!E512/'04 Prices'!E511))</f>
        <v/>
      </c>
      <c r="F511" s="25">
        <f>IF(OR($A511="",'04 Prices'!F511="",'04 Prices'!F512=""),"",LN('04 Prices'!F512/'04 Prices'!F511))</f>
        <v/>
      </c>
      <c r="G511" s="25">
        <f>IF(OR($A511="",'04 Prices'!G511="",'04 Prices'!G512=""),"",LN('04 Prices'!G512/'04 Prices'!G511))</f>
        <v/>
      </c>
      <c r="H511" s="25">
        <f>IF(OR($A511="",'04 Prices'!H511="",'04 Prices'!H512=""),"",LN('04 Prices'!H512/'04 Prices'!H511))</f>
        <v/>
      </c>
    </row>
    <row r="512">
      <c r="A512" s="23">
        <f>IF('04 Prices'!A513="","",'04 Prices'!A513)</f>
        <v/>
      </c>
      <c r="B512" s="25">
        <f>IF(OR($A512="",'04 Prices'!B512="",'04 Prices'!B513=""),"",LN('04 Prices'!B513/'04 Prices'!B512))</f>
        <v/>
      </c>
      <c r="C512" s="25">
        <f>IF(OR($A512="",'04 Prices'!C512="",'04 Prices'!C513=""),"",LN('04 Prices'!C513/'04 Prices'!C512))</f>
        <v/>
      </c>
      <c r="D512" s="25">
        <f>IF(OR($A512="",'04 Prices'!D512="",'04 Prices'!D513=""),"",LN('04 Prices'!D513/'04 Prices'!D512))</f>
        <v/>
      </c>
      <c r="E512" s="25">
        <f>IF(OR($A512="",'04 Prices'!E512="",'04 Prices'!E513=""),"",LN('04 Prices'!E513/'04 Prices'!E512))</f>
        <v/>
      </c>
      <c r="F512" s="25">
        <f>IF(OR($A512="",'04 Prices'!F512="",'04 Prices'!F513=""),"",LN('04 Prices'!F513/'04 Prices'!F512))</f>
        <v/>
      </c>
      <c r="G512" s="25">
        <f>IF(OR($A512="",'04 Prices'!G512="",'04 Prices'!G513=""),"",LN('04 Prices'!G513/'04 Prices'!G512))</f>
        <v/>
      </c>
      <c r="H512" s="25">
        <f>IF(OR($A512="",'04 Prices'!H512="",'04 Prices'!H513=""),"",LN('04 Prices'!H513/'04 Prices'!H512))</f>
        <v/>
      </c>
    </row>
    <row r="513">
      <c r="A513" s="23">
        <f>IF('04 Prices'!A514="","",'04 Prices'!A514)</f>
        <v/>
      </c>
      <c r="B513" s="25">
        <f>IF(OR($A513="",'04 Prices'!B513="",'04 Prices'!B514=""),"",LN('04 Prices'!B514/'04 Prices'!B513))</f>
        <v/>
      </c>
      <c r="C513" s="25">
        <f>IF(OR($A513="",'04 Prices'!C513="",'04 Prices'!C514=""),"",LN('04 Prices'!C514/'04 Prices'!C513))</f>
        <v/>
      </c>
      <c r="D513" s="25">
        <f>IF(OR($A513="",'04 Prices'!D513="",'04 Prices'!D514=""),"",LN('04 Prices'!D514/'04 Prices'!D513))</f>
        <v/>
      </c>
      <c r="E513" s="25">
        <f>IF(OR($A513="",'04 Prices'!E513="",'04 Prices'!E514=""),"",LN('04 Prices'!E514/'04 Prices'!E513))</f>
        <v/>
      </c>
      <c r="F513" s="25">
        <f>IF(OR($A513="",'04 Prices'!F513="",'04 Prices'!F514=""),"",LN('04 Prices'!F514/'04 Prices'!F513))</f>
        <v/>
      </c>
      <c r="G513" s="25">
        <f>IF(OR($A513="",'04 Prices'!G513="",'04 Prices'!G514=""),"",LN('04 Prices'!G514/'04 Prices'!G513))</f>
        <v/>
      </c>
      <c r="H513" s="25">
        <f>IF(OR($A513="",'04 Prices'!H513="",'04 Prices'!H514=""),"",LN('04 Prices'!H514/'04 Prices'!H513))</f>
        <v/>
      </c>
    </row>
    <row r="514">
      <c r="A514" s="23">
        <f>IF('04 Prices'!A515="","",'04 Prices'!A515)</f>
        <v/>
      </c>
      <c r="B514" s="25">
        <f>IF(OR($A514="",'04 Prices'!B514="",'04 Prices'!B515=""),"",LN('04 Prices'!B515/'04 Prices'!B514))</f>
        <v/>
      </c>
      <c r="C514" s="25">
        <f>IF(OR($A514="",'04 Prices'!C514="",'04 Prices'!C515=""),"",LN('04 Prices'!C515/'04 Prices'!C514))</f>
        <v/>
      </c>
      <c r="D514" s="25">
        <f>IF(OR($A514="",'04 Prices'!D514="",'04 Prices'!D515=""),"",LN('04 Prices'!D515/'04 Prices'!D514))</f>
        <v/>
      </c>
      <c r="E514" s="25">
        <f>IF(OR($A514="",'04 Prices'!E514="",'04 Prices'!E515=""),"",LN('04 Prices'!E515/'04 Prices'!E514))</f>
        <v/>
      </c>
      <c r="F514" s="25">
        <f>IF(OR($A514="",'04 Prices'!F514="",'04 Prices'!F515=""),"",LN('04 Prices'!F515/'04 Prices'!F514))</f>
        <v/>
      </c>
      <c r="G514" s="25">
        <f>IF(OR($A514="",'04 Prices'!G514="",'04 Prices'!G515=""),"",LN('04 Prices'!G515/'04 Prices'!G514))</f>
        <v/>
      </c>
      <c r="H514" s="25">
        <f>IF(OR($A514="",'04 Prices'!H514="",'04 Prices'!H515=""),"",LN('04 Prices'!H515/'04 Prices'!H514))</f>
        <v/>
      </c>
    </row>
    <row r="515">
      <c r="A515" s="23">
        <f>IF('04 Prices'!A516="","",'04 Prices'!A516)</f>
        <v/>
      </c>
      <c r="B515" s="25">
        <f>IF(OR($A515="",'04 Prices'!B515="",'04 Prices'!B516=""),"",LN('04 Prices'!B516/'04 Prices'!B515))</f>
        <v/>
      </c>
      <c r="C515" s="25">
        <f>IF(OR($A515="",'04 Prices'!C515="",'04 Prices'!C516=""),"",LN('04 Prices'!C516/'04 Prices'!C515))</f>
        <v/>
      </c>
      <c r="D515" s="25">
        <f>IF(OR($A515="",'04 Prices'!D515="",'04 Prices'!D516=""),"",LN('04 Prices'!D516/'04 Prices'!D515))</f>
        <v/>
      </c>
      <c r="E515" s="25">
        <f>IF(OR($A515="",'04 Prices'!E515="",'04 Prices'!E516=""),"",LN('04 Prices'!E516/'04 Prices'!E515))</f>
        <v/>
      </c>
      <c r="F515" s="25">
        <f>IF(OR($A515="",'04 Prices'!F515="",'04 Prices'!F516=""),"",LN('04 Prices'!F516/'04 Prices'!F515))</f>
        <v/>
      </c>
      <c r="G515" s="25">
        <f>IF(OR($A515="",'04 Prices'!G515="",'04 Prices'!G516=""),"",LN('04 Prices'!G516/'04 Prices'!G515))</f>
        <v/>
      </c>
      <c r="H515" s="25">
        <f>IF(OR($A515="",'04 Prices'!H515="",'04 Prices'!H516=""),"",LN('04 Prices'!H516/'04 Prices'!H515))</f>
        <v/>
      </c>
    </row>
    <row r="516">
      <c r="A516" s="23">
        <f>IF('04 Prices'!A517="","",'04 Prices'!A517)</f>
        <v/>
      </c>
      <c r="B516" s="25">
        <f>IF(OR($A516="",'04 Prices'!B516="",'04 Prices'!B517=""),"",LN('04 Prices'!B517/'04 Prices'!B516))</f>
        <v/>
      </c>
      <c r="C516" s="25">
        <f>IF(OR($A516="",'04 Prices'!C516="",'04 Prices'!C517=""),"",LN('04 Prices'!C517/'04 Prices'!C516))</f>
        <v/>
      </c>
      <c r="D516" s="25">
        <f>IF(OR($A516="",'04 Prices'!D516="",'04 Prices'!D517=""),"",LN('04 Prices'!D517/'04 Prices'!D516))</f>
        <v/>
      </c>
      <c r="E516" s="25">
        <f>IF(OR($A516="",'04 Prices'!E516="",'04 Prices'!E517=""),"",LN('04 Prices'!E517/'04 Prices'!E516))</f>
        <v/>
      </c>
      <c r="F516" s="25">
        <f>IF(OR($A516="",'04 Prices'!F516="",'04 Prices'!F517=""),"",LN('04 Prices'!F517/'04 Prices'!F516))</f>
        <v/>
      </c>
      <c r="G516" s="25">
        <f>IF(OR($A516="",'04 Prices'!G516="",'04 Prices'!G517=""),"",LN('04 Prices'!G517/'04 Prices'!G516))</f>
        <v/>
      </c>
      <c r="H516" s="25">
        <f>IF(OR($A516="",'04 Prices'!H516="",'04 Prices'!H517=""),"",LN('04 Prices'!H517/'04 Prices'!H516))</f>
        <v/>
      </c>
    </row>
    <row r="517">
      <c r="A517" s="23">
        <f>IF('04 Prices'!A518="","",'04 Prices'!A518)</f>
        <v/>
      </c>
      <c r="B517" s="25">
        <f>IF(OR($A517="",'04 Prices'!B517="",'04 Prices'!B518=""),"",LN('04 Prices'!B518/'04 Prices'!B517))</f>
        <v/>
      </c>
      <c r="C517" s="25">
        <f>IF(OR($A517="",'04 Prices'!C517="",'04 Prices'!C518=""),"",LN('04 Prices'!C518/'04 Prices'!C517))</f>
        <v/>
      </c>
      <c r="D517" s="25">
        <f>IF(OR($A517="",'04 Prices'!D517="",'04 Prices'!D518=""),"",LN('04 Prices'!D518/'04 Prices'!D517))</f>
        <v/>
      </c>
      <c r="E517" s="25">
        <f>IF(OR($A517="",'04 Prices'!E517="",'04 Prices'!E518=""),"",LN('04 Prices'!E518/'04 Prices'!E517))</f>
        <v/>
      </c>
      <c r="F517" s="25">
        <f>IF(OR($A517="",'04 Prices'!F517="",'04 Prices'!F518=""),"",LN('04 Prices'!F518/'04 Prices'!F517))</f>
        <v/>
      </c>
      <c r="G517" s="25">
        <f>IF(OR($A517="",'04 Prices'!G517="",'04 Prices'!G518=""),"",LN('04 Prices'!G518/'04 Prices'!G517))</f>
        <v/>
      </c>
      <c r="H517" s="25">
        <f>IF(OR($A517="",'04 Prices'!H517="",'04 Prices'!H518=""),"",LN('04 Prices'!H518/'04 Prices'!H517))</f>
        <v/>
      </c>
    </row>
    <row r="518">
      <c r="A518" s="23">
        <f>IF('04 Prices'!A519="","",'04 Prices'!A519)</f>
        <v/>
      </c>
      <c r="B518" s="25">
        <f>IF(OR($A518="",'04 Prices'!B518="",'04 Prices'!B519=""),"",LN('04 Prices'!B519/'04 Prices'!B518))</f>
        <v/>
      </c>
      <c r="C518" s="25">
        <f>IF(OR($A518="",'04 Prices'!C518="",'04 Prices'!C519=""),"",LN('04 Prices'!C519/'04 Prices'!C518))</f>
        <v/>
      </c>
      <c r="D518" s="25">
        <f>IF(OR($A518="",'04 Prices'!D518="",'04 Prices'!D519=""),"",LN('04 Prices'!D519/'04 Prices'!D518))</f>
        <v/>
      </c>
      <c r="E518" s="25">
        <f>IF(OR($A518="",'04 Prices'!E518="",'04 Prices'!E519=""),"",LN('04 Prices'!E519/'04 Prices'!E518))</f>
        <v/>
      </c>
      <c r="F518" s="25">
        <f>IF(OR($A518="",'04 Prices'!F518="",'04 Prices'!F519=""),"",LN('04 Prices'!F519/'04 Prices'!F518))</f>
        <v/>
      </c>
      <c r="G518" s="25">
        <f>IF(OR($A518="",'04 Prices'!G518="",'04 Prices'!G519=""),"",LN('04 Prices'!G519/'04 Prices'!G518))</f>
        <v/>
      </c>
      <c r="H518" s="25">
        <f>IF(OR($A518="",'04 Prices'!H518="",'04 Prices'!H519=""),"",LN('04 Prices'!H519/'04 Prices'!H518))</f>
        <v/>
      </c>
    </row>
    <row r="519">
      <c r="A519" s="23">
        <f>IF('04 Prices'!A520="","",'04 Prices'!A520)</f>
        <v/>
      </c>
      <c r="B519" s="25">
        <f>IF(OR($A519="",'04 Prices'!B519="",'04 Prices'!B520=""),"",LN('04 Prices'!B520/'04 Prices'!B519))</f>
        <v/>
      </c>
      <c r="C519" s="25">
        <f>IF(OR($A519="",'04 Prices'!C519="",'04 Prices'!C520=""),"",LN('04 Prices'!C520/'04 Prices'!C519))</f>
        <v/>
      </c>
      <c r="D519" s="25">
        <f>IF(OR($A519="",'04 Prices'!D519="",'04 Prices'!D520=""),"",LN('04 Prices'!D520/'04 Prices'!D519))</f>
        <v/>
      </c>
      <c r="E519" s="25">
        <f>IF(OR($A519="",'04 Prices'!E519="",'04 Prices'!E520=""),"",LN('04 Prices'!E520/'04 Prices'!E519))</f>
        <v/>
      </c>
      <c r="F519" s="25">
        <f>IF(OR($A519="",'04 Prices'!F519="",'04 Prices'!F520=""),"",LN('04 Prices'!F520/'04 Prices'!F519))</f>
        <v/>
      </c>
      <c r="G519" s="25">
        <f>IF(OR($A519="",'04 Prices'!G519="",'04 Prices'!G520=""),"",LN('04 Prices'!G520/'04 Prices'!G519))</f>
        <v/>
      </c>
      <c r="H519" s="25">
        <f>IF(OR($A519="",'04 Prices'!H519="",'04 Prices'!H520=""),"",LN('04 Prices'!H520/'04 Prices'!H519))</f>
        <v/>
      </c>
    </row>
    <row r="520">
      <c r="A520" s="23">
        <f>IF('04 Prices'!A521="","",'04 Prices'!A521)</f>
        <v/>
      </c>
      <c r="B520" s="25">
        <f>IF(OR($A520="",'04 Prices'!B520="",'04 Prices'!B521=""),"",LN('04 Prices'!B521/'04 Prices'!B520))</f>
        <v/>
      </c>
      <c r="C520" s="25">
        <f>IF(OR($A520="",'04 Prices'!C520="",'04 Prices'!C521=""),"",LN('04 Prices'!C521/'04 Prices'!C520))</f>
        <v/>
      </c>
      <c r="D520" s="25">
        <f>IF(OR($A520="",'04 Prices'!D520="",'04 Prices'!D521=""),"",LN('04 Prices'!D521/'04 Prices'!D520))</f>
        <v/>
      </c>
      <c r="E520" s="25">
        <f>IF(OR($A520="",'04 Prices'!E520="",'04 Prices'!E521=""),"",LN('04 Prices'!E521/'04 Prices'!E520))</f>
        <v/>
      </c>
      <c r="F520" s="25">
        <f>IF(OR($A520="",'04 Prices'!F520="",'04 Prices'!F521=""),"",LN('04 Prices'!F521/'04 Prices'!F520))</f>
        <v/>
      </c>
      <c r="G520" s="25">
        <f>IF(OR($A520="",'04 Prices'!G520="",'04 Prices'!G521=""),"",LN('04 Prices'!G521/'04 Prices'!G520))</f>
        <v/>
      </c>
      <c r="H520" s="25">
        <f>IF(OR($A520="",'04 Prices'!H520="",'04 Prices'!H521=""),"",LN('04 Prices'!H521/'04 Prices'!H520))</f>
        <v/>
      </c>
    </row>
    <row r="521">
      <c r="A521" s="23">
        <f>IF('04 Prices'!A522="","",'04 Prices'!A522)</f>
        <v/>
      </c>
      <c r="B521" s="25">
        <f>IF(OR($A521="",'04 Prices'!B521="",'04 Prices'!B522=""),"",LN('04 Prices'!B522/'04 Prices'!B521))</f>
        <v/>
      </c>
      <c r="C521" s="25">
        <f>IF(OR($A521="",'04 Prices'!C521="",'04 Prices'!C522=""),"",LN('04 Prices'!C522/'04 Prices'!C521))</f>
        <v/>
      </c>
      <c r="D521" s="25">
        <f>IF(OR($A521="",'04 Prices'!D521="",'04 Prices'!D522=""),"",LN('04 Prices'!D522/'04 Prices'!D521))</f>
        <v/>
      </c>
      <c r="E521" s="25">
        <f>IF(OR($A521="",'04 Prices'!E521="",'04 Prices'!E522=""),"",LN('04 Prices'!E522/'04 Prices'!E521))</f>
        <v/>
      </c>
      <c r="F521" s="25">
        <f>IF(OR($A521="",'04 Prices'!F521="",'04 Prices'!F522=""),"",LN('04 Prices'!F522/'04 Prices'!F521))</f>
        <v/>
      </c>
      <c r="G521" s="25">
        <f>IF(OR($A521="",'04 Prices'!G521="",'04 Prices'!G522=""),"",LN('04 Prices'!G522/'04 Prices'!G521))</f>
        <v/>
      </c>
      <c r="H521" s="25">
        <f>IF(OR($A521="",'04 Prices'!H521="",'04 Prices'!H522=""),"",LN('04 Prices'!H522/'04 Prices'!H521))</f>
        <v/>
      </c>
    </row>
    <row r="522">
      <c r="A522" s="23">
        <f>IF('04 Prices'!A523="","",'04 Prices'!A523)</f>
        <v/>
      </c>
      <c r="B522" s="25">
        <f>IF(OR($A522="",'04 Prices'!B522="",'04 Prices'!B523=""),"",LN('04 Prices'!B523/'04 Prices'!B522))</f>
        <v/>
      </c>
      <c r="C522" s="25">
        <f>IF(OR($A522="",'04 Prices'!C522="",'04 Prices'!C523=""),"",LN('04 Prices'!C523/'04 Prices'!C522))</f>
        <v/>
      </c>
      <c r="D522" s="25">
        <f>IF(OR($A522="",'04 Prices'!D522="",'04 Prices'!D523=""),"",LN('04 Prices'!D523/'04 Prices'!D522))</f>
        <v/>
      </c>
      <c r="E522" s="25">
        <f>IF(OR($A522="",'04 Prices'!E522="",'04 Prices'!E523=""),"",LN('04 Prices'!E523/'04 Prices'!E522))</f>
        <v/>
      </c>
      <c r="F522" s="25">
        <f>IF(OR($A522="",'04 Prices'!F522="",'04 Prices'!F523=""),"",LN('04 Prices'!F523/'04 Prices'!F522))</f>
        <v/>
      </c>
      <c r="G522" s="25">
        <f>IF(OR($A522="",'04 Prices'!G522="",'04 Prices'!G523=""),"",LN('04 Prices'!G523/'04 Prices'!G522))</f>
        <v/>
      </c>
      <c r="H522" s="25">
        <f>IF(OR($A522="",'04 Prices'!H522="",'04 Prices'!H523=""),"",LN('04 Prices'!H523/'04 Prices'!H522))</f>
        <v/>
      </c>
    </row>
    <row r="523">
      <c r="A523" s="23">
        <f>IF('04 Prices'!A524="","",'04 Prices'!A524)</f>
        <v/>
      </c>
      <c r="B523" s="25">
        <f>IF(OR($A523="",'04 Prices'!B523="",'04 Prices'!B524=""),"",LN('04 Prices'!B524/'04 Prices'!B523))</f>
        <v/>
      </c>
      <c r="C523" s="25">
        <f>IF(OR($A523="",'04 Prices'!C523="",'04 Prices'!C524=""),"",LN('04 Prices'!C524/'04 Prices'!C523))</f>
        <v/>
      </c>
      <c r="D523" s="25">
        <f>IF(OR($A523="",'04 Prices'!D523="",'04 Prices'!D524=""),"",LN('04 Prices'!D524/'04 Prices'!D523))</f>
        <v/>
      </c>
      <c r="E523" s="25">
        <f>IF(OR($A523="",'04 Prices'!E523="",'04 Prices'!E524=""),"",LN('04 Prices'!E524/'04 Prices'!E523))</f>
        <v/>
      </c>
      <c r="F523" s="25">
        <f>IF(OR($A523="",'04 Prices'!F523="",'04 Prices'!F524=""),"",LN('04 Prices'!F524/'04 Prices'!F523))</f>
        <v/>
      </c>
      <c r="G523" s="25">
        <f>IF(OR($A523="",'04 Prices'!G523="",'04 Prices'!G524=""),"",LN('04 Prices'!G524/'04 Prices'!G523))</f>
        <v/>
      </c>
      <c r="H523" s="25">
        <f>IF(OR($A523="",'04 Prices'!H523="",'04 Prices'!H524=""),"",LN('04 Prices'!H524/'04 Prices'!H523))</f>
        <v/>
      </c>
    </row>
    <row r="524">
      <c r="A524" s="23">
        <f>IF('04 Prices'!A525="","",'04 Prices'!A525)</f>
        <v/>
      </c>
      <c r="B524" s="25">
        <f>IF(OR($A524="",'04 Prices'!B524="",'04 Prices'!B525=""),"",LN('04 Prices'!B525/'04 Prices'!B524))</f>
        <v/>
      </c>
      <c r="C524" s="25">
        <f>IF(OR($A524="",'04 Prices'!C524="",'04 Prices'!C525=""),"",LN('04 Prices'!C525/'04 Prices'!C524))</f>
        <v/>
      </c>
      <c r="D524" s="25">
        <f>IF(OR($A524="",'04 Prices'!D524="",'04 Prices'!D525=""),"",LN('04 Prices'!D525/'04 Prices'!D524))</f>
        <v/>
      </c>
      <c r="E524" s="25">
        <f>IF(OR($A524="",'04 Prices'!E524="",'04 Prices'!E525=""),"",LN('04 Prices'!E525/'04 Prices'!E524))</f>
        <v/>
      </c>
      <c r="F524" s="25">
        <f>IF(OR($A524="",'04 Prices'!F524="",'04 Prices'!F525=""),"",LN('04 Prices'!F525/'04 Prices'!F524))</f>
        <v/>
      </c>
      <c r="G524" s="25">
        <f>IF(OR($A524="",'04 Prices'!G524="",'04 Prices'!G525=""),"",LN('04 Prices'!G525/'04 Prices'!G524))</f>
        <v/>
      </c>
      <c r="H524" s="25">
        <f>IF(OR($A524="",'04 Prices'!H524="",'04 Prices'!H525=""),"",LN('04 Prices'!H525/'04 Prices'!H524))</f>
        <v/>
      </c>
    </row>
    <row r="525">
      <c r="A525" s="23">
        <f>IF('04 Prices'!A526="","",'04 Prices'!A526)</f>
        <v/>
      </c>
      <c r="B525" s="25">
        <f>IF(OR($A525="",'04 Prices'!B525="",'04 Prices'!B526=""),"",LN('04 Prices'!B526/'04 Prices'!B525))</f>
        <v/>
      </c>
      <c r="C525" s="25">
        <f>IF(OR($A525="",'04 Prices'!C525="",'04 Prices'!C526=""),"",LN('04 Prices'!C526/'04 Prices'!C525))</f>
        <v/>
      </c>
      <c r="D525" s="25">
        <f>IF(OR($A525="",'04 Prices'!D525="",'04 Prices'!D526=""),"",LN('04 Prices'!D526/'04 Prices'!D525))</f>
        <v/>
      </c>
      <c r="E525" s="25">
        <f>IF(OR($A525="",'04 Prices'!E525="",'04 Prices'!E526=""),"",LN('04 Prices'!E526/'04 Prices'!E525))</f>
        <v/>
      </c>
      <c r="F525" s="25">
        <f>IF(OR($A525="",'04 Prices'!F525="",'04 Prices'!F526=""),"",LN('04 Prices'!F526/'04 Prices'!F525))</f>
        <v/>
      </c>
      <c r="G525" s="25">
        <f>IF(OR($A525="",'04 Prices'!G525="",'04 Prices'!G526=""),"",LN('04 Prices'!G526/'04 Prices'!G525))</f>
        <v/>
      </c>
      <c r="H525" s="25">
        <f>IF(OR($A525="",'04 Prices'!H525="",'04 Prices'!H526=""),"",LN('04 Prices'!H526/'04 Prices'!H525))</f>
        <v/>
      </c>
    </row>
    <row r="526">
      <c r="A526" s="23">
        <f>IF('04 Prices'!A527="","",'04 Prices'!A527)</f>
        <v/>
      </c>
      <c r="B526" s="25">
        <f>IF(OR($A526="",'04 Prices'!B526="",'04 Prices'!B527=""),"",LN('04 Prices'!B527/'04 Prices'!B526))</f>
        <v/>
      </c>
      <c r="C526" s="25">
        <f>IF(OR($A526="",'04 Prices'!C526="",'04 Prices'!C527=""),"",LN('04 Prices'!C527/'04 Prices'!C526))</f>
        <v/>
      </c>
      <c r="D526" s="25">
        <f>IF(OR($A526="",'04 Prices'!D526="",'04 Prices'!D527=""),"",LN('04 Prices'!D527/'04 Prices'!D526))</f>
        <v/>
      </c>
      <c r="E526" s="25">
        <f>IF(OR($A526="",'04 Prices'!E526="",'04 Prices'!E527=""),"",LN('04 Prices'!E527/'04 Prices'!E526))</f>
        <v/>
      </c>
      <c r="F526" s="25">
        <f>IF(OR($A526="",'04 Prices'!F526="",'04 Prices'!F527=""),"",LN('04 Prices'!F527/'04 Prices'!F526))</f>
        <v/>
      </c>
      <c r="G526" s="25">
        <f>IF(OR($A526="",'04 Prices'!G526="",'04 Prices'!G527=""),"",LN('04 Prices'!G527/'04 Prices'!G526))</f>
        <v/>
      </c>
      <c r="H526" s="25">
        <f>IF(OR($A526="",'04 Prices'!H526="",'04 Prices'!H527=""),"",LN('04 Prices'!H527/'04 Prices'!H526))</f>
        <v/>
      </c>
    </row>
    <row r="527">
      <c r="A527" s="23">
        <f>IF('04 Prices'!A528="","",'04 Prices'!A528)</f>
        <v/>
      </c>
      <c r="B527" s="25">
        <f>IF(OR($A527="",'04 Prices'!B527="",'04 Prices'!B528=""),"",LN('04 Prices'!B528/'04 Prices'!B527))</f>
        <v/>
      </c>
      <c r="C527" s="25">
        <f>IF(OR($A527="",'04 Prices'!C527="",'04 Prices'!C528=""),"",LN('04 Prices'!C528/'04 Prices'!C527))</f>
        <v/>
      </c>
      <c r="D527" s="25">
        <f>IF(OR($A527="",'04 Prices'!D527="",'04 Prices'!D528=""),"",LN('04 Prices'!D528/'04 Prices'!D527))</f>
        <v/>
      </c>
      <c r="E527" s="25">
        <f>IF(OR($A527="",'04 Prices'!E527="",'04 Prices'!E528=""),"",LN('04 Prices'!E528/'04 Prices'!E527))</f>
        <v/>
      </c>
      <c r="F527" s="25">
        <f>IF(OR($A527="",'04 Prices'!F527="",'04 Prices'!F528=""),"",LN('04 Prices'!F528/'04 Prices'!F527))</f>
        <v/>
      </c>
      <c r="G527" s="25">
        <f>IF(OR($A527="",'04 Prices'!G527="",'04 Prices'!G528=""),"",LN('04 Prices'!G528/'04 Prices'!G527))</f>
        <v/>
      </c>
      <c r="H527" s="25">
        <f>IF(OR($A527="",'04 Prices'!H527="",'04 Prices'!H528=""),"",LN('04 Prices'!H528/'04 Prices'!H527))</f>
        <v/>
      </c>
    </row>
    <row r="528">
      <c r="A528" s="23">
        <f>IF('04 Prices'!A529="","",'04 Prices'!A529)</f>
        <v/>
      </c>
      <c r="B528" s="25">
        <f>IF(OR($A528="",'04 Prices'!B528="",'04 Prices'!B529=""),"",LN('04 Prices'!B529/'04 Prices'!B528))</f>
        <v/>
      </c>
      <c r="C528" s="25">
        <f>IF(OR($A528="",'04 Prices'!C528="",'04 Prices'!C529=""),"",LN('04 Prices'!C529/'04 Prices'!C528))</f>
        <v/>
      </c>
      <c r="D528" s="25">
        <f>IF(OR($A528="",'04 Prices'!D528="",'04 Prices'!D529=""),"",LN('04 Prices'!D529/'04 Prices'!D528))</f>
        <v/>
      </c>
      <c r="E528" s="25">
        <f>IF(OR($A528="",'04 Prices'!E528="",'04 Prices'!E529=""),"",LN('04 Prices'!E529/'04 Prices'!E528))</f>
        <v/>
      </c>
      <c r="F528" s="25">
        <f>IF(OR($A528="",'04 Prices'!F528="",'04 Prices'!F529=""),"",LN('04 Prices'!F529/'04 Prices'!F528))</f>
        <v/>
      </c>
      <c r="G528" s="25">
        <f>IF(OR($A528="",'04 Prices'!G528="",'04 Prices'!G529=""),"",LN('04 Prices'!G529/'04 Prices'!G528))</f>
        <v/>
      </c>
      <c r="H528" s="25">
        <f>IF(OR($A528="",'04 Prices'!H528="",'04 Prices'!H529=""),"",LN('04 Prices'!H529/'04 Prices'!H528))</f>
        <v/>
      </c>
    </row>
    <row r="529">
      <c r="A529" s="23">
        <f>IF('04 Prices'!A530="","",'04 Prices'!A530)</f>
        <v/>
      </c>
      <c r="B529" s="25">
        <f>IF(OR($A529="",'04 Prices'!B529="",'04 Prices'!B530=""),"",LN('04 Prices'!B530/'04 Prices'!B529))</f>
        <v/>
      </c>
      <c r="C529" s="25">
        <f>IF(OR($A529="",'04 Prices'!C529="",'04 Prices'!C530=""),"",LN('04 Prices'!C530/'04 Prices'!C529))</f>
        <v/>
      </c>
      <c r="D529" s="25">
        <f>IF(OR($A529="",'04 Prices'!D529="",'04 Prices'!D530=""),"",LN('04 Prices'!D530/'04 Prices'!D529))</f>
        <v/>
      </c>
      <c r="E529" s="25">
        <f>IF(OR($A529="",'04 Prices'!E529="",'04 Prices'!E530=""),"",LN('04 Prices'!E530/'04 Prices'!E529))</f>
        <v/>
      </c>
      <c r="F529" s="25">
        <f>IF(OR($A529="",'04 Prices'!F529="",'04 Prices'!F530=""),"",LN('04 Prices'!F530/'04 Prices'!F529))</f>
        <v/>
      </c>
      <c r="G529" s="25">
        <f>IF(OR($A529="",'04 Prices'!G529="",'04 Prices'!G530=""),"",LN('04 Prices'!G530/'04 Prices'!G529))</f>
        <v/>
      </c>
      <c r="H529" s="25">
        <f>IF(OR($A529="",'04 Prices'!H529="",'04 Prices'!H530=""),"",LN('04 Prices'!H530/'04 Prices'!H529))</f>
        <v/>
      </c>
    </row>
    <row r="530">
      <c r="A530" s="23">
        <f>IF('04 Prices'!A531="","",'04 Prices'!A531)</f>
        <v/>
      </c>
      <c r="B530" s="25">
        <f>IF(OR($A530="",'04 Prices'!B530="",'04 Prices'!B531=""),"",LN('04 Prices'!B531/'04 Prices'!B530))</f>
        <v/>
      </c>
      <c r="C530" s="25">
        <f>IF(OR($A530="",'04 Prices'!C530="",'04 Prices'!C531=""),"",LN('04 Prices'!C531/'04 Prices'!C530))</f>
        <v/>
      </c>
      <c r="D530" s="25">
        <f>IF(OR($A530="",'04 Prices'!D530="",'04 Prices'!D531=""),"",LN('04 Prices'!D531/'04 Prices'!D530))</f>
        <v/>
      </c>
      <c r="E530" s="25">
        <f>IF(OR($A530="",'04 Prices'!E530="",'04 Prices'!E531=""),"",LN('04 Prices'!E531/'04 Prices'!E530))</f>
        <v/>
      </c>
      <c r="F530" s="25">
        <f>IF(OR($A530="",'04 Prices'!F530="",'04 Prices'!F531=""),"",LN('04 Prices'!F531/'04 Prices'!F530))</f>
        <v/>
      </c>
      <c r="G530" s="25">
        <f>IF(OR($A530="",'04 Prices'!G530="",'04 Prices'!G531=""),"",LN('04 Prices'!G531/'04 Prices'!G530))</f>
        <v/>
      </c>
      <c r="H530" s="25">
        <f>IF(OR($A530="",'04 Prices'!H530="",'04 Prices'!H531=""),"",LN('04 Prices'!H531/'04 Prices'!H530))</f>
        <v/>
      </c>
    </row>
    <row r="531">
      <c r="A531" s="23">
        <f>IF('04 Prices'!A532="","",'04 Prices'!A532)</f>
        <v/>
      </c>
      <c r="B531" s="25">
        <f>IF(OR($A531="",'04 Prices'!B531="",'04 Prices'!B532=""),"",LN('04 Prices'!B532/'04 Prices'!B531))</f>
        <v/>
      </c>
      <c r="C531" s="25">
        <f>IF(OR($A531="",'04 Prices'!C531="",'04 Prices'!C532=""),"",LN('04 Prices'!C532/'04 Prices'!C531))</f>
        <v/>
      </c>
      <c r="D531" s="25">
        <f>IF(OR($A531="",'04 Prices'!D531="",'04 Prices'!D532=""),"",LN('04 Prices'!D532/'04 Prices'!D531))</f>
        <v/>
      </c>
      <c r="E531" s="25">
        <f>IF(OR($A531="",'04 Prices'!E531="",'04 Prices'!E532=""),"",LN('04 Prices'!E532/'04 Prices'!E531))</f>
        <v/>
      </c>
      <c r="F531" s="25">
        <f>IF(OR($A531="",'04 Prices'!F531="",'04 Prices'!F532=""),"",LN('04 Prices'!F532/'04 Prices'!F531))</f>
        <v/>
      </c>
      <c r="G531" s="25">
        <f>IF(OR($A531="",'04 Prices'!G531="",'04 Prices'!G532=""),"",LN('04 Prices'!G532/'04 Prices'!G531))</f>
        <v/>
      </c>
      <c r="H531" s="25">
        <f>IF(OR($A531="",'04 Prices'!H531="",'04 Prices'!H532=""),"",LN('04 Prices'!H532/'04 Prices'!H531))</f>
        <v/>
      </c>
    </row>
    <row r="532">
      <c r="A532" s="23">
        <f>IF('04 Prices'!A533="","",'04 Prices'!A533)</f>
        <v/>
      </c>
      <c r="B532" s="25">
        <f>IF(OR($A532="",'04 Prices'!B532="",'04 Prices'!B533=""),"",LN('04 Prices'!B533/'04 Prices'!B532))</f>
        <v/>
      </c>
      <c r="C532" s="25">
        <f>IF(OR($A532="",'04 Prices'!C532="",'04 Prices'!C533=""),"",LN('04 Prices'!C533/'04 Prices'!C532))</f>
        <v/>
      </c>
      <c r="D532" s="25">
        <f>IF(OR($A532="",'04 Prices'!D532="",'04 Prices'!D533=""),"",LN('04 Prices'!D533/'04 Prices'!D532))</f>
        <v/>
      </c>
      <c r="E532" s="25">
        <f>IF(OR($A532="",'04 Prices'!E532="",'04 Prices'!E533=""),"",LN('04 Prices'!E533/'04 Prices'!E532))</f>
        <v/>
      </c>
      <c r="F532" s="25">
        <f>IF(OR($A532="",'04 Prices'!F532="",'04 Prices'!F533=""),"",LN('04 Prices'!F533/'04 Prices'!F532))</f>
        <v/>
      </c>
      <c r="G532" s="25">
        <f>IF(OR($A532="",'04 Prices'!G532="",'04 Prices'!G533=""),"",LN('04 Prices'!G533/'04 Prices'!G532))</f>
        <v/>
      </c>
      <c r="H532" s="25">
        <f>IF(OR($A532="",'04 Prices'!H532="",'04 Prices'!H533=""),"",LN('04 Prices'!H533/'04 Prices'!H532))</f>
        <v/>
      </c>
    </row>
    <row r="533">
      <c r="A533" s="23">
        <f>IF('04 Prices'!A534="","",'04 Prices'!A534)</f>
        <v/>
      </c>
      <c r="B533" s="25">
        <f>IF(OR($A533="",'04 Prices'!B533="",'04 Prices'!B534=""),"",LN('04 Prices'!B534/'04 Prices'!B533))</f>
        <v/>
      </c>
      <c r="C533" s="25">
        <f>IF(OR($A533="",'04 Prices'!C533="",'04 Prices'!C534=""),"",LN('04 Prices'!C534/'04 Prices'!C533))</f>
        <v/>
      </c>
      <c r="D533" s="25">
        <f>IF(OR($A533="",'04 Prices'!D533="",'04 Prices'!D534=""),"",LN('04 Prices'!D534/'04 Prices'!D533))</f>
        <v/>
      </c>
      <c r="E533" s="25">
        <f>IF(OR($A533="",'04 Prices'!E533="",'04 Prices'!E534=""),"",LN('04 Prices'!E534/'04 Prices'!E533))</f>
        <v/>
      </c>
      <c r="F533" s="25">
        <f>IF(OR($A533="",'04 Prices'!F533="",'04 Prices'!F534=""),"",LN('04 Prices'!F534/'04 Prices'!F533))</f>
        <v/>
      </c>
      <c r="G533" s="25">
        <f>IF(OR($A533="",'04 Prices'!G533="",'04 Prices'!G534=""),"",LN('04 Prices'!G534/'04 Prices'!G533))</f>
        <v/>
      </c>
      <c r="H533" s="25">
        <f>IF(OR($A533="",'04 Prices'!H533="",'04 Prices'!H534=""),"",LN('04 Prices'!H534/'04 Prices'!H533))</f>
        <v/>
      </c>
    </row>
    <row r="534">
      <c r="A534" s="23">
        <f>IF('04 Prices'!A535="","",'04 Prices'!A535)</f>
        <v/>
      </c>
      <c r="B534" s="25">
        <f>IF(OR($A534="",'04 Prices'!B534="",'04 Prices'!B535=""),"",LN('04 Prices'!B535/'04 Prices'!B534))</f>
        <v/>
      </c>
      <c r="C534" s="25">
        <f>IF(OR($A534="",'04 Prices'!C534="",'04 Prices'!C535=""),"",LN('04 Prices'!C535/'04 Prices'!C534))</f>
        <v/>
      </c>
      <c r="D534" s="25">
        <f>IF(OR($A534="",'04 Prices'!D534="",'04 Prices'!D535=""),"",LN('04 Prices'!D535/'04 Prices'!D534))</f>
        <v/>
      </c>
      <c r="E534" s="25">
        <f>IF(OR($A534="",'04 Prices'!E534="",'04 Prices'!E535=""),"",LN('04 Prices'!E535/'04 Prices'!E534))</f>
        <v/>
      </c>
      <c r="F534" s="25">
        <f>IF(OR($A534="",'04 Prices'!F534="",'04 Prices'!F535=""),"",LN('04 Prices'!F535/'04 Prices'!F534))</f>
        <v/>
      </c>
      <c r="G534" s="25">
        <f>IF(OR($A534="",'04 Prices'!G534="",'04 Prices'!G535=""),"",LN('04 Prices'!G535/'04 Prices'!G534))</f>
        <v/>
      </c>
      <c r="H534" s="25">
        <f>IF(OR($A534="",'04 Prices'!H534="",'04 Prices'!H535=""),"",LN('04 Prices'!H535/'04 Prices'!H534))</f>
        <v/>
      </c>
    </row>
    <row r="535">
      <c r="A535" s="23">
        <f>IF('04 Prices'!A536="","",'04 Prices'!A536)</f>
        <v/>
      </c>
      <c r="B535" s="25">
        <f>IF(OR($A535="",'04 Prices'!B535="",'04 Prices'!B536=""),"",LN('04 Prices'!B536/'04 Prices'!B535))</f>
        <v/>
      </c>
      <c r="C535" s="25">
        <f>IF(OR($A535="",'04 Prices'!C535="",'04 Prices'!C536=""),"",LN('04 Prices'!C536/'04 Prices'!C535))</f>
        <v/>
      </c>
      <c r="D535" s="25">
        <f>IF(OR($A535="",'04 Prices'!D535="",'04 Prices'!D536=""),"",LN('04 Prices'!D536/'04 Prices'!D535))</f>
        <v/>
      </c>
      <c r="E535" s="25">
        <f>IF(OR($A535="",'04 Prices'!E535="",'04 Prices'!E536=""),"",LN('04 Prices'!E536/'04 Prices'!E535))</f>
        <v/>
      </c>
      <c r="F535" s="25">
        <f>IF(OR($A535="",'04 Prices'!F535="",'04 Prices'!F536=""),"",LN('04 Prices'!F536/'04 Prices'!F535))</f>
        <v/>
      </c>
      <c r="G535" s="25">
        <f>IF(OR($A535="",'04 Prices'!G535="",'04 Prices'!G536=""),"",LN('04 Prices'!G536/'04 Prices'!G535))</f>
        <v/>
      </c>
      <c r="H535" s="25">
        <f>IF(OR($A535="",'04 Prices'!H535="",'04 Prices'!H536=""),"",LN('04 Prices'!H536/'04 Prices'!H535))</f>
        <v/>
      </c>
    </row>
    <row r="536">
      <c r="A536" s="23">
        <f>IF('04 Prices'!A537="","",'04 Prices'!A537)</f>
        <v/>
      </c>
      <c r="B536" s="25">
        <f>IF(OR($A536="",'04 Prices'!B536="",'04 Prices'!B537=""),"",LN('04 Prices'!B537/'04 Prices'!B536))</f>
        <v/>
      </c>
      <c r="C536" s="25">
        <f>IF(OR($A536="",'04 Prices'!C536="",'04 Prices'!C537=""),"",LN('04 Prices'!C537/'04 Prices'!C536))</f>
        <v/>
      </c>
      <c r="D536" s="25">
        <f>IF(OR($A536="",'04 Prices'!D536="",'04 Prices'!D537=""),"",LN('04 Prices'!D537/'04 Prices'!D536))</f>
        <v/>
      </c>
      <c r="E536" s="25">
        <f>IF(OR($A536="",'04 Prices'!E536="",'04 Prices'!E537=""),"",LN('04 Prices'!E537/'04 Prices'!E536))</f>
        <v/>
      </c>
      <c r="F536" s="25">
        <f>IF(OR($A536="",'04 Prices'!F536="",'04 Prices'!F537=""),"",LN('04 Prices'!F537/'04 Prices'!F536))</f>
        <v/>
      </c>
      <c r="G536" s="25">
        <f>IF(OR($A536="",'04 Prices'!G536="",'04 Prices'!G537=""),"",LN('04 Prices'!G537/'04 Prices'!G536))</f>
        <v/>
      </c>
      <c r="H536" s="25">
        <f>IF(OR($A536="",'04 Prices'!H536="",'04 Prices'!H537=""),"",LN('04 Prices'!H537/'04 Prices'!H536))</f>
        <v/>
      </c>
    </row>
    <row r="537">
      <c r="A537" s="23">
        <f>IF('04 Prices'!A538="","",'04 Prices'!A538)</f>
        <v/>
      </c>
      <c r="B537" s="25">
        <f>IF(OR($A537="",'04 Prices'!B537="",'04 Prices'!B538=""),"",LN('04 Prices'!B538/'04 Prices'!B537))</f>
        <v/>
      </c>
      <c r="C537" s="25">
        <f>IF(OR($A537="",'04 Prices'!C537="",'04 Prices'!C538=""),"",LN('04 Prices'!C538/'04 Prices'!C537))</f>
        <v/>
      </c>
      <c r="D537" s="25">
        <f>IF(OR($A537="",'04 Prices'!D537="",'04 Prices'!D538=""),"",LN('04 Prices'!D538/'04 Prices'!D537))</f>
        <v/>
      </c>
      <c r="E537" s="25">
        <f>IF(OR($A537="",'04 Prices'!E537="",'04 Prices'!E538=""),"",LN('04 Prices'!E538/'04 Prices'!E537))</f>
        <v/>
      </c>
      <c r="F537" s="25">
        <f>IF(OR($A537="",'04 Prices'!F537="",'04 Prices'!F538=""),"",LN('04 Prices'!F538/'04 Prices'!F537))</f>
        <v/>
      </c>
      <c r="G537" s="25">
        <f>IF(OR($A537="",'04 Prices'!G537="",'04 Prices'!G538=""),"",LN('04 Prices'!G538/'04 Prices'!G537))</f>
        <v/>
      </c>
      <c r="H537" s="25">
        <f>IF(OR($A537="",'04 Prices'!H537="",'04 Prices'!H538=""),"",LN('04 Prices'!H538/'04 Prices'!H537))</f>
        <v/>
      </c>
    </row>
    <row r="538">
      <c r="A538" s="23">
        <f>IF('04 Prices'!A539="","",'04 Prices'!A539)</f>
        <v/>
      </c>
      <c r="B538" s="25">
        <f>IF(OR($A538="",'04 Prices'!B538="",'04 Prices'!B539=""),"",LN('04 Prices'!B539/'04 Prices'!B538))</f>
        <v/>
      </c>
      <c r="C538" s="25">
        <f>IF(OR($A538="",'04 Prices'!C538="",'04 Prices'!C539=""),"",LN('04 Prices'!C539/'04 Prices'!C538))</f>
        <v/>
      </c>
      <c r="D538" s="25">
        <f>IF(OR($A538="",'04 Prices'!D538="",'04 Prices'!D539=""),"",LN('04 Prices'!D539/'04 Prices'!D538))</f>
        <v/>
      </c>
      <c r="E538" s="25">
        <f>IF(OR($A538="",'04 Prices'!E538="",'04 Prices'!E539=""),"",LN('04 Prices'!E539/'04 Prices'!E538))</f>
        <v/>
      </c>
      <c r="F538" s="25">
        <f>IF(OR($A538="",'04 Prices'!F538="",'04 Prices'!F539=""),"",LN('04 Prices'!F539/'04 Prices'!F538))</f>
        <v/>
      </c>
      <c r="G538" s="25">
        <f>IF(OR($A538="",'04 Prices'!G538="",'04 Prices'!G539=""),"",LN('04 Prices'!G539/'04 Prices'!G538))</f>
        <v/>
      </c>
      <c r="H538" s="25">
        <f>IF(OR($A538="",'04 Prices'!H538="",'04 Prices'!H539=""),"",LN('04 Prices'!H539/'04 Prices'!H538))</f>
        <v/>
      </c>
    </row>
    <row r="539">
      <c r="A539" s="23">
        <f>IF('04 Prices'!A540="","",'04 Prices'!A540)</f>
        <v/>
      </c>
      <c r="B539" s="25">
        <f>IF(OR($A539="",'04 Prices'!B539="",'04 Prices'!B540=""),"",LN('04 Prices'!B540/'04 Prices'!B539))</f>
        <v/>
      </c>
      <c r="C539" s="25">
        <f>IF(OR($A539="",'04 Prices'!C539="",'04 Prices'!C540=""),"",LN('04 Prices'!C540/'04 Prices'!C539))</f>
        <v/>
      </c>
      <c r="D539" s="25">
        <f>IF(OR($A539="",'04 Prices'!D539="",'04 Prices'!D540=""),"",LN('04 Prices'!D540/'04 Prices'!D539))</f>
        <v/>
      </c>
      <c r="E539" s="25">
        <f>IF(OR($A539="",'04 Prices'!E539="",'04 Prices'!E540=""),"",LN('04 Prices'!E540/'04 Prices'!E539))</f>
        <v/>
      </c>
      <c r="F539" s="25">
        <f>IF(OR($A539="",'04 Prices'!F539="",'04 Prices'!F540=""),"",LN('04 Prices'!F540/'04 Prices'!F539))</f>
        <v/>
      </c>
      <c r="G539" s="25">
        <f>IF(OR($A539="",'04 Prices'!G539="",'04 Prices'!G540=""),"",LN('04 Prices'!G540/'04 Prices'!G539))</f>
        <v/>
      </c>
      <c r="H539" s="25">
        <f>IF(OR($A539="",'04 Prices'!H539="",'04 Prices'!H540=""),"",LN('04 Prices'!H540/'04 Prices'!H539))</f>
        <v/>
      </c>
    </row>
    <row r="540">
      <c r="A540" s="23">
        <f>IF('04 Prices'!A541="","",'04 Prices'!A541)</f>
        <v/>
      </c>
      <c r="B540" s="25">
        <f>IF(OR($A540="",'04 Prices'!B540="",'04 Prices'!B541=""),"",LN('04 Prices'!B541/'04 Prices'!B540))</f>
        <v/>
      </c>
      <c r="C540" s="25">
        <f>IF(OR($A540="",'04 Prices'!C540="",'04 Prices'!C541=""),"",LN('04 Prices'!C541/'04 Prices'!C540))</f>
        <v/>
      </c>
      <c r="D540" s="25">
        <f>IF(OR($A540="",'04 Prices'!D540="",'04 Prices'!D541=""),"",LN('04 Prices'!D541/'04 Prices'!D540))</f>
        <v/>
      </c>
      <c r="E540" s="25">
        <f>IF(OR($A540="",'04 Prices'!E540="",'04 Prices'!E541=""),"",LN('04 Prices'!E541/'04 Prices'!E540))</f>
        <v/>
      </c>
      <c r="F540" s="25">
        <f>IF(OR($A540="",'04 Prices'!F540="",'04 Prices'!F541=""),"",LN('04 Prices'!F541/'04 Prices'!F540))</f>
        <v/>
      </c>
      <c r="G540" s="25">
        <f>IF(OR($A540="",'04 Prices'!G540="",'04 Prices'!G541=""),"",LN('04 Prices'!G541/'04 Prices'!G540))</f>
        <v/>
      </c>
      <c r="H540" s="25">
        <f>IF(OR($A540="",'04 Prices'!H540="",'04 Prices'!H541=""),"",LN('04 Prices'!H541/'04 Prices'!H540))</f>
        <v/>
      </c>
    </row>
    <row r="541">
      <c r="A541" s="23">
        <f>IF('04 Prices'!A542="","",'04 Prices'!A542)</f>
        <v/>
      </c>
      <c r="B541" s="25">
        <f>IF(OR($A541="",'04 Prices'!B541="",'04 Prices'!B542=""),"",LN('04 Prices'!B542/'04 Prices'!B541))</f>
        <v/>
      </c>
      <c r="C541" s="25">
        <f>IF(OR($A541="",'04 Prices'!C541="",'04 Prices'!C542=""),"",LN('04 Prices'!C542/'04 Prices'!C541))</f>
        <v/>
      </c>
      <c r="D541" s="25">
        <f>IF(OR($A541="",'04 Prices'!D541="",'04 Prices'!D542=""),"",LN('04 Prices'!D542/'04 Prices'!D541))</f>
        <v/>
      </c>
      <c r="E541" s="25">
        <f>IF(OR($A541="",'04 Prices'!E541="",'04 Prices'!E542=""),"",LN('04 Prices'!E542/'04 Prices'!E541))</f>
        <v/>
      </c>
      <c r="F541" s="25">
        <f>IF(OR($A541="",'04 Prices'!F541="",'04 Prices'!F542=""),"",LN('04 Prices'!F542/'04 Prices'!F541))</f>
        <v/>
      </c>
      <c r="G541" s="25">
        <f>IF(OR($A541="",'04 Prices'!G541="",'04 Prices'!G542=""),"",LN('04 Prices'!G542/'04 Prices'!G541))</f>
        <v/>
      </c>
      <c r="H541" s="25">
        <f>IF(OR($A541="",'04 Prices'!H541="",'04 Prices'!H542=""),"",LN('04 Prices'!H542/'04 Prices'!H541))</f>
        <v/>
      </c>
    </row>
    <row r="542">
      <c r="A542" s="23">
        <f>IF('04 Prices'!A543="","",'04 Prices'!A543)</f>
        <v/>
      </c>
      <c r="B542" s="25">
        <f>IF(OR($A542="",'04 Prices'!B542="",'04 Prices'!B543=""),"",LN('04 Prices'!B543/'04 Prices'!B542))</f>
        <v/>
      </c>
      <c r="C542" s="25">
        <f>IF(OR($A542="",'04 Prices'!C542="",'04 Prices'!C543=""),"",LN('04 Prices'!C543/'04 Prices'!C542))</f>
        <v/>
      </c>
      <c r="D542" s="25">
        <f>IF(OR($A542="",'04 Prices'!D542="",'04 Prices'!D543=""),"",LN('04 Prices'!D543/'04 Prices'!D542))</f>
        <v/>
      </c>
      <c r="E542" s="25">
        <f>IF(OR($A542="",'04 Prices'!E542="",'04 Prices'!E543=""),"",LN('04 Prices'!E543/'04 Prices'!E542))</f>
        <v/>
      </c>
      <c r="F542" s="25">
        <f>IF(OR($A542="",'04 Prices'!F542="",'04 Prices'!F543=""),"",LN('04 Prices'!F543/'04 Prices'!F542))</f>
        <v/>
      </c>
      <c r="G542" s="25">
        <f>IF(OR($A542="",'04 Prices'!G542="",'04 Prices'!G543=""),"",LN('04 Prices'!G543/'04 Prices'!G542))</f>
        <v/>
      </c>
      <c r="H542" s="25">
        <f>IF(OR($A542="",'04 Prices'!H542="",'04 Prices'!H543=""),"",LN('04 Prices'!H543/'04 Prices'!H542))</f>
        <v/>
      </c>
    </row>
    <row r="543">
      <c r="A543" s="23">
        <f>IF('04 Prices'!A544="","",'04 Prices'!A544)</f>
        <v/>
      </c>
      <c r="B543" s="25">
        <f>IF(OR($A543="",'04 Prices'!B543="",'04 Prices'!B544=""),"",LN('04 Prices'!B544/'04 Prices'!B543))</f>
        <v/>
      </c>
      <c r="C543" s="25">
        <f>IF(OR($A543="",'04 Prices'!C543="",'04 Prices'!C544=""),"",LN('04 Prices'!C544/'04 Prices'!C543))</f>
        <v/>
      </c>
      <c r="D543" s="25">
        <f>IF(OR($A543="",'04 Prices'!D543="",'04 Prices'!D544=""),"",LN('04 Prices'!D544/'04 Prices'!D543))</f>
        <v/>
      </c>
      <c r="E543" s="25">
        <f>IF(OR($A543="",'04 Prices'!E543="",'04 Prices'!E544=""),"",LN('04 Prices'!E544/'04 Prices'!E543))</f>
        <v/>
      </c>
      <c r="F543" s="25">
        <f>IF(OR($A543="",'04 Prices'!F543="",'04 Prices'!F544=""),"",LN('04 Prices'!F544/'04 Prices'!F543))</f>
        <v/>
      </c>
      <c r="G543" s="25">
        <f>IF(OR($A543="",'04 Prices'!G543="",'04 Prices'!G544=""),"",LN('04 Prices'!G544/'04 Prices'!G543))</f>
        <v/>
      </c>
      <c r="H543" s="25">
        <f>IF(OR($A543="",'04 Prices'!H543="",'04 Prices'!H544=""),"",LN('04 Prices'!H544/'04 Prices'!H543))</f>
        <v/>
      </c>
    </row>
    <row r="544">
      <c r="A544" s="23">
        <f>IF('04 Prices'!A545="","",'04 Prices'!A545)</f>
        <v/>
      </c>
      <c r="B544" s="25">
        <f>IF(OR($A544="",'04 Prices'!B544="",'04 Prices'!B545=""),"",LN('04 Prices'!B545/'04 Prices'!B544))</f>
        <v/>
      </c>
      <c r="C544" s="25">
        <f>IF(OR($A544="",'04 Prices'!C544="",'04 Prices'!C545=""),"",LN('04 Prices'!C545/'04 Prices'!C544))</f>
        <v/>
      </c>
      <c r="D544" s="25">
        <f>IF(OR($A544="",'04 Prices'!D544="",'04 Prices'!D545=""),"",LN('04 Prices'!D545/'04 Prices'!D544))</f>
        <v/>
      </c>
      <c r="E544" s="25">
        <f>IF(OR($A544="",'04 Prices'!E544="",'04 Prices'!E545=""),"",LN('04 Prices'!E545/'04 Prices'!E544))</f>
        <v/>
      </c>
      <c r="F544" s="25">
        <f>IF(OR($A544="",'04 Prices'!F544="",'04 Prices'!F545=""),"",LN('04 Prices'!F545/'04 Prices'!F544))</f>
        <v/>
      </c>
      <c r="G544" s="25">
        <f>IF(OR($A544="",'04 Prices'!G544="",'04 Prices'!G545=""),"",LN('04 Prices'!G545/'04 Prices'!G544))</f>
        <v/>
      </c>
      <c r="H544" s="25">
        <f>IF(OR($A544="",'04 Prices'!H544="",'04 Prices'!H545=""),"",LN('04 Prices'!H545/'04 Prices'!H544))</f>
        <v/>
      </c>
    </row>
    <row r="545">
      <c r="A545" s="23">
        <f>IF('04 Prices'!A546="","",'04 Prices'!A546)</f>
        <v/>
      </c>
      <c r="B545" s="25">
        <f>IF(OR($A545="",'04 Prices'!B545="",'04 Prices'!B546=""),"",LN('04 Prices'!B546/'04 Prices'!B545))</f>
        <v/>
      </c>
      <c r="C545" s="25">
        <f>IF(OR($A545="",'04 Prices'!C545="",'04 Prices'!C546=""),"",LN('04 Prices'!C546/'04 Prices'!C545))</f>
        <v/>
      </c>
      <c r="D545" s="25">
        <f>IF(OR($A545="",'04 Prices'!D545="",'04 Prices'!D546=""),"",LN('04 Prices'!D546/'04 Prices'!D545))</f>
        <v/>
      </c>
      <c r="E545" s="25">
        <f>IF(OR($A545="",'04 Prices'!E545="",'04 Prices'!E546=""),"",LN('04 Prices'!E546/'04 Prices'!E545))</f>
        <v/>
      </c>
      <c r="F545" s="25">
        <f>IF(OR($A545="",'04 Prices'!F545="",'04 Prices'!F546=""),"",LN('04 Prices'!F546/'04 Prices'!F545))</f>
        <v/>
      </c>
      <c r="G545" s="25">
        <f>IF(OR($A545="",'04 Prices'!G545="",'04 Prices'!G546=""),"",LN('04 Prices'!G546/'04 Prices'!G545))</f>
        <v/>
      </c>
      <c r="H545" s="25">
        <f>IF(OR($A545="",'04 Prices'!H545="",'04 Prices'!H546=""),"",LN('04 Prices'!H546/'04 Prices'!H545))</f>
        <v/>
      </c>
    </row>
    <row r="546">
      <c r="A546" s="23">
        <f>IF('04 Prices'!A547="","",'04 Prices'!A547)</f>
        <v/>
      </c>
      <c r="B546" s="25">
        <f>IF(OR($A546="",'04 Prices'!B546="",'04 Prices'!B547=""),"",LN('04 Prices'!B547/'04 Prices'!B546))</f>
        <v/>
      </c>
      <c r="C546" s="25">
        <f>IF(OR($A546="",'04 Prices'!C546="",'04 Prices'!C547=""),"",LN('04 Prices'!C547/'04 Prices'!C546))</f>
        <v/>
      </c>
      <c r="D546" s="25">
        <f>IF(OR($A546="",'04 Prices'!D546="",'04 Prices'!D547=""),"",LN('04 Prices'!D547/'04 Prices'!D546))</f>
        <v/>
      </c>
      <c r="E546" s="25">
        <f>IF(OR($A546="",'04 Prices'!E546="",'04 Prices'!E547=""),"",LN('04 Prices'!E547/'04 Prices'!E546))</f>
        <v/>
      </c>
      <c r="F546" s="25">
        <f>IF(OR($A546="",'04 Prices'!F546="",'04 Prices'!F547=""),"",LN('04 Prices'!F547/'04 Prices'!F546))</f>
        <v/>
      </c>
      <c r="G546" s="25">
        <f>IF(OR($A546="",'04 Prices'!G546="",'04 Prices'!G547=""),"",LN('04 Prices'!G547/'04 Prices'!G546))</f>
        <v/>
      </c>
      <c r="H546" s="25">
        <f>IF(OR($A546="",'04 Prices'!H546="",'04 Prices'!H547=""),"",LN('04 Prices'!H547/'04 Prices'!H546))</f>
        <v/>
      </c>
    </row>
    <row r="547">
      <c r="A547" s="23">
        <f>IF('04 Prices'!A548="","",'04 Prices'!A548)</f>
        <v/>
      </c>
      <c r="B547" s="25">
        <f>IF(OR($A547="",'04 Prices'!B547="",'04 Prices'!B548=""),"",LN('04 Prices'!B548/'04 Prices'!B547))</f>
        <v/>
      </c>
      <c r="C547" s="25">
        <f>IF(OR($A547="",'04 Prices'!C547="",'04 Prices'!C548=""),"",LN('04 Prices'!C548/'04 Prices'!C547))</f>
        <v/>
      </c>
      <c r="D547" s="25">
        <f>IF(OR($A547="",'04 Prices'!D547="",'04 Prices'!D548=""),"",LN('04 Prices'!D548/'04 Prices'!D547))</f>
        <v/>
      </c>
      <c r="E547" s="25">
        <f>IF(OR($A547="",'04 Prices'!E547="",'04 Prices'!E548=""),"",LN('04 Prices'!E548/'04 Prices'!E547))</f>
        <v/>
      </c>
      <c r="F547" s="25">
        <f>IF(OR($A547="",'04 Prices'!F547="",'04 Prices'!F548=""),"",LN('04 Prices'!F548/'04 Prices'!F547))</f>
        <v/>
      </c>
      <c r="G547" s="25">
        <f>IF(OR($A547="",'04 Prices'!G547="",'04 Prices'!G548=""),"",LN('04 Prices'!G548/'04 Prices'!G547))</f>
        <v/>
      </c>
      <c r="H547" s="25">
        <f>IF(OR($A547="",'04 Prices'!H547="",'04 Prices'!H548=""),"",LN('04 Prices'!H548/'04 Prices'!H547))</f>
        <v/>
      </c>
    </row>
    <row r="548">
      <c r="A548" s="23">
        <f>IF('04 Prices'!A549="","",'04 Prices'!A549)</f>
        <v/>
      </c>
      <c r="B548" s="25">
        <f>IF(OR($A548="",'04 Prices'!B548="",'04 Prices'!B549=""),"",LN('04 Prices'!B549/'04 Prices'!B548))</f>
        <v/>
      </c>
      <c r="C548" s="25">
        <f>IF(OR($A548="",'04 Prices'!C548="",'04 Prices'!C549=""),"",LN('04 Prices'!C549/'04 Prices'!C548))</f>
        <v/>
      </c>
      <c r="D548" s="25">
        <f>IF(OR($A548="",'04 Prices'!D548="",'04 Prices'!D549=""),"",LN('04 Prices'!D549/'04 Prices'!D548))</f>
        <v/>
      </c>
      <c r="E548" s="25">
        <f>IF(OR($A548="",'04 Prices'!E548="",'04 Prices'!E549=""),"",LN('04 Prices'!E549/'04 Prices'!E548))</f>
        <v/>
      </c>
      <c r="F548" s="25">
        <f>IF(OR($A548="",'04 Prices'!F548="",'04 Prices'!F549=""),"",LN('04 Prices'!F549/'04 Prices'!F548))</f>
        <v/>
      </c>
      <c r="G548" s="25">
        <f>IF(OR($A548="",'04 Prices'!G548="",'04 Prices'!G549=""),"",LN('04 Prices'!G549/'04 Prices'!G548))</f>
        <v/>
      </c>
      <c r="H548" s="25">
        <f>IF(OR($A548="",'04 Prices'!H548="",'04 Prices'!H549=""),"",LN('04 Prices'!H549/'04 Prices'!H548))</f>
        <v/>
      </c>
    </row>
    <row r="549">
      <c r="A549" s="23">
        <f>IF('04 Prices'!A550="","",'04 Prices'!A550)</f>
        <v/>
      </c>
      <c r="B549" s="25">
        <f>IF(OR($A549="",'04 Prices'!B549="",'04 Prices'!B550=""),"",LN('04 Prices'!B550/'04 Prices'!B549))</f>
        <v/>
      </c>
      <c r="C549" s="25">
        <f>IF(OR($A549="",'04 Prices'!C549="",'04 Prices'!C550=""),"",LN('04 Prices'!C550/'04 Prices'!C549))</f>
        <v/>
      </c>
      <c r="D549" s="25">
        <f>IF(OR($A549="",'04 Prices'!D549="",'04 Prices'!D550=""),"",LN('04 Prices'!D550/'04 Prices'!D549))</f>
        <v/>
      </c>
      <c r="E549" s="25">
        <f>IF(OR($A549="",'04 Prices'!E549="",'04 Prices'!E550=""),"",LN('04 Prices'!E550/'04 Prices'!E549))</f>
        <v/>
      </c>
      <c r="F549" s="25">
        <f>IF(OR($A549="",'04 Prices'!F549="",'04 Prices'!F550=""),"",LN('04 Prices'!F550/'04 Prices'!F549))</f>
        <v/>
      </c>
      <c r="G549" s="25">
        <f>IF(OR($A549="",'04 Prices'!G549="",'04 Prices'!G550=""),"",LN('04 Prices'!G550/'04 Prices'!G549))</f>
        <v/>
      </c>
      <c r="H549" s="25">
        <f>IF(OR($A549="",'04 Prices'!H549="",'04 Prices'!H550=""),"",LN('04 Prices'!H550/'04 Prices'!H549))</f>
        <v/>
      </c>
    </row>
    <row r="550">
      <c r="A550" s="23">
        <f>IF('04 Prices'!A551="","",'04 Prices'!A551)</f>
        <v/>
      </c>
      <c r="B550" s="25">
        <f>IF(OR($A550="",'04 Prices'!B550="",'04 Prices'!B551=""),"",LN('04 Prices'!B551/'04 Prices'!B550))</f>
        <v/>
      </c>
      <c r="C550" s="25">
        <f>IF(OR($A550="",'04 Prices'!C550="",'04 Prices'!C551=""),"",LN('04 Prices'!C551/'04 Prices'!C550))</f>
        <v/>
      </c>
      <c r="D550" s="25">
        <f>IF(OR($A550="",'04 Prices'!D550="",'04 Prices'!D551=""),"",LN('04 Prices'!D551/'04 Prices'!D550))</f>
        <v/>
      </c>
      <c r="E550" s="25">
        <f>IF(OR($A550="",'04 Prices'!E550="",'04 Prices'!E551=""),"",LN('04 Prices'!E551/'04 Prices'!E550))</f>
        <v/>
      </c>
      <c r="F550" s="25">
        <f>IF(OR($A550="",'04 Prices'!F550="",'04 Prices'!F551=""),"",LN('04 Prices'!F551/'04 Prices'!F550))</f>
        <v/>
      </c>
      <c r="G550" s="25">
        <f>IF(OR($A550="",'04 Prices'!G550="",'04 Prices'!G551=""),"",LN('04 Prices'!G551/'04 Prices'!G550))</f>
        <v/>
      </c>
      <c r="H550" s="25">
        <f>IF(OR($A550="",'04 Prices'!H550="",'04 Prices'!H551=""),"",LN('04 Prices'!H551/'04 Prices'!H550))</f>
        <v/>
      </c>
    </row>
    <row r="551">
      <c r="A551" s="23">
        <f>IF('04 Prices'!A552="","",'04 Prices'!A552)</f>
        <v/>
      </c>
      <c r="B551" s="25">
        <f>IF(OR($A551="",'04 Prices'!B551="",'04 Prices'!B552=""),"",LN('04 Prices'!B552/'04 Prices'!B551))</f>
        <v/>
      </c>
      <c r="C551" s="25">
        <f>IF(OR($A551="",'04 Prices'!C551="",'04 Prices'!C552=""),"",LN('04 Prices'!C552/'04 Prices'!C551))</f>
        <v/>
      </c>
      <c r="D551" s="25">
        <f>IF(OR($A551="",'04 Prices'!D551="",'04 Prices'!D552=""),"",LN('04 Prices'!D552/'04 Prices'!D551))</f>
        <v/>
      </c>
      <c r="E551" s="25">
        <f>IF(OR($A551="",'04 Prices'!E551="",'04 Prices'!E552=""),"",LN('04 Prices'!E552/'04 Prices'!E551))</f>
        <v/>
      </c>
      <c r="F551" s="25">
        <f>IF(OR($A551="",'04 Prices'!F551="",'04 Prices'!F552=""),"",LN('04 Prices'!F552/'04 Prices'!F551))</f>
        <v/>
      </c>
      <c r="G551" s="25">
        <f>IF(OR($A551="",'04 Prices'!G551="",'04 Prices'!G552=""),"",LN('04 Prices'!G552/'04 Prices'!G551))</f>
        <v/>
      </c>
      <c r="H551" s="25">
        <f>IF(OR($A551="",'04 Prices'!H551="",'04 Prices'!H552=""),"",LN('04 Prices'!H552/'04 Prices'!H551))</f>
        <v/>
      </c>
    </row>
    <row r="552">
      <c r="A552" s="23">
        <f>IF('04 Prices'!A553="","",'04 Prices'!A553)</f>
        <v/>
      </c>
      <c r="B552" s="25">
        <f>IF(OR($A552="",'04 Prices'!B552="",'04 Prices'!B553=""),"",LN('04 Prices'!B553/'04 Prices'!B552))</f>
        <v/>
      </c>
      <c r="C552" s="25">
        <f>IF(OR($A552="",'04 Prices'!C552="",'04 Prices'!C553=""),"",LN('04 Prices'!C553/'04 Prices'!C552))</f>
        <v/>
      </c>
      <c r="D552" s="25">
        <f>IF(OR($A552="",'04 Prices'!D552="",'04 Prices'!D553=""),"",LN('04 Prices'!D553/'04 Prices'!D552))</f>
        <v/>
      </c>
      <c r="E552" s="25">
        <f>IF(OR($A552="",'04 Prices'!E552="",'04 Prices'!E553=""),"",LN('04 Prices'!E553/'04 Prices'!E552))</f>
        <v/>
      </c>
      <c r="F552" s="25">
        <f>IF(OR($A552="",'04 Prices'!F552="",'04 Prices'!F553=""),"",LN('04 Prices'!F553/'04 Prices'!F552))</f>
        <v/>
      </c>
      <c r="G552" s="25">
        <f>IF(OR($A552="",'04 Prices'!G552="",'04 Prices'!G553=""),"",LN('04 Prices'!G553/'04 Prices'!G552))</f>
        <v/>
      </c>
      <c r="H552" s="25">
        <f>IF(OR($A552="",'04 Prices'!H552="",'04 Prices'!H553=""),"",LN('04 Prices'!H553/'04 Prices'!H552))</f>
        <v/>
      </c>
    </row>
    <row r="553">
      <c r="A553" s="23">
        <f>IF('04 Prices'!A554="","",'04 Prices'!A554)</f>
        <v/>
      </c>
      <c r="B553" s="25">
        <f>IF(OR($A553="",'04 Prices'!B553="",'04 Prices'!B554=""),"",LN('04 Prices'!B554/'04 Prices'!B553))</f>
        <v/>
      </c>
      <c r="C553" s="25">
        <f>IF(OR($A553="",'04 Prices'!C553="",'04 Prices'!C554=""),"",LN('04 Prices'!C554/'04 Prices'!C553))</f>
        <v/>
      </c>
      <c r="D553" s="25">
        <f>IF(OR($A553="",'04 Prices'!D553="",'04 Prices'!D554=""),"",LN('04 Prices'!D554/'04 Prices'!D553))</f>
        <v/>
      </c>
      <c r="E553" s="25">
        <f>IF(OR($A553="",'04 Prices'!E553="",'04 Prices'!E554=""),"",LN('04 Prices'!E554/'04 Prices'!E553))</f>
        <v/>
      </c>
      <c r="F553" s="25">
        <f>IF(OR($A553="",'04 Prices'!F553="",'04 Prices'!F554=""),"",LN('04 Prices'!F554/'04 Prices'!F553))</f>
        <v/>
      </c>
      <c r="G553" s="25">
        <f>IF(OR($A553="",'04 Prices'!G553="",'04 Prices'!G554=""),"",LN('04 Prices'!G554/'04 Prices'!G553))</f>
        <v/>
      </c>
      <c r="H553" s="25">
        <f>IF(OR($A553="",'04 Prices'!H553="",'04 Prices'!H554=""),"",LN('04 Prices'!H554/'04 Prices'!H553))</f>
        <v/>
      </c>
    </row>
    <row r="554">
      <c r="A554" s="23">
        <f>IF('04 Prices'!A555="","",'04 Prices'!A555)</f>
        <v/>
      </c>
      <c r="B554" s="25">
        <f>IF(OR($A554="",'04 Prices'!B554="",'04 Prices'!B555=""),"",LN('04 Prices'!B555/'04 Prices'!B554))</f>
        <v/>
      </c>
      <c r="C554" s="25">
        <f>IF(OR($A554="",'04 Prices'!C554="",'04 Prices'!C555=""),"",LN('04 Prices'!C555/'04 Prices'!C554))</f>
        <v/>
      </c>
      <c r="D554" s="25">
        <f>IF(OR($A554="",'04 Prices'!D554="",'04 Prices'!D555=""),"",LN('04 Prices'!D555/'04 Prices'!D554))</f>
        <v/>
      </c>
      <c r="E554" s="25">
        <f>IF(OR($A554="",'04 Prices'!E554="",'04 Prices'!E555=""),"",LN('04 Prices'!E555/'04 Prices'!E554))</f>
        <v/>
      </c>
      <c r="F554" s="25">
        <f>IF(OR($A554="",'04 Prices'!F554="",'04 Prices'!F555=""),"",LN('04 Prices'!F555/'04 Prices'!F554))</f>
        <v/>
      </c>
      <c r="G554" s="25">
        <f>IF(OR($A554="",'04 Prices'!G554="",'04 Prices'!G555=""),"",LN('04 Prices'!G555/'04 Prices'!G554))</f>
        <v/>
      </c>
      <c r="H554" s="25">
        <f>IF(OR($A554="",'04 Prices'!H554="",'04 Prices'!H555=""),"",LN('04 Prices'!H555/'04 Prices'!H554))</f>
        <v/>
      </c>
    </row>
    <row r="555">
      <c r="A555" s="23">
        <f>IF('04 Prices'!A556="","",'04 Prices'!A556)</f>
        <v/>
      </c>
      <c r="B555" s="25">
        <f>IF(OR($A555="",'04 Prices'!B555="",'04 Prices'!B556=""),"",LN('04 Prices'!B556/'04 Prices'!B555))</f>
        <v/>
      </c>
      <c r="C555" s="25">
        <f>IF(OR($A555="",'04 Prices'!C555="",'04 Prices'!C556=""),"",LN('04 Prices'!C556/'04 Prices'!C555))</f>
        <v/>
      </c>
      <c r="D555" s="25">
        <f>IF(OR($A555="",'04 Prices'!D555="",'04 Prices'!D556=""),"",LN('04 Prices'!D556/'04 Prices'!D555))</f>
        <v/>
      </c>
      <c r="E555" s="25">
        <f>IF(OR($A555="",'04 Prices'!E555="",'04 Prices'!E556=""),"",LN('04 Prices'!E556/'04 Prices'!E555))</f>
        <v/>
      </c>
      <c r="F555" s="25">
        <f>IF(OR($A555="",'04 Prices'!F555="",'04 Prices'!F556=""),"",LN('04 Prices'!F556/'04 Prices'!F555))</f>
        <v/>
      </c>
      <c r="G555" s="25">
        <f>IF(OR($A555="",'04 Prices'!G555="",'04 Prices'!G556=""),"",LN('04 Prices'!G556/'04 Prices'!G555))</f>
        <v/>
      </c>
      <c r="H555" s="25">
        <f>IF(OR($A555="",'04 Prices'!H555="",'04 Prices'!H556=""),"",LN('04 Prices'!H556/'04 Prices'!H555))</f>
        <v/>
      </c>
    </row>
    <row r="556">
      <c r="A556" s="23">
        <f>IF('04 Prices'!A557="","",'04 Prices'!A557)</f>
        <v/>
      </c>
      <c r="B556" s="25">
        <f>IF(OR($A556="",'04 Prices'!B556="",'04 Prices'!B557=""),"",LN('04 Prices'!B557/'04 Prices'!B556))</f>
        <v/>
      </c>
      <c r="C556" s="25">
        <f>IF(OR($A556="",'04 Prices'!C556="",'04 Prices'!C557=""),"",LN('04 Prices'!C557/'04 Prices'!C556))</f>
        <v/>
      </c>
      <c r="D556" s="25">
        <f>IF(OR($A556="",'04 Prices'!D556="",'04 Prices'!D557=""),"",LN('04 Prices'!D557/'04 Prices'!D556))</f>
        <v/>
      </c>
      <c r="E556" s="25">
        <f>IF(OR($A556="",'04 Prices'!E556="",'04 Prices'!E557=""),"",LN('04 Prices'!E557/'04 Prices'!E556))</f>
        <v/>
      </c>
      <c r="F556" s="25">
        <f>IF(OR($A556="",'04 Prices'!F556="",'04 Prices'!F557=""),"",LN('04 Prices'!F557/'04 Prices'!F556))</f>
        <v/>
      </c>
      <c r="G556" s="25">
        <f>IF(OR($A556="",'04 Prices'!G556="",'04 Prices'!G557=""),"",LN('04 Prices'!G557/'04 Prices'!G556))</f>
        <v/>
      </c>
      <c r="H556" s="25">
        <f>IF(OR($A556="",'04 Prices'!H556="",'04 Prices'!H557=""),"",LN('04 Prices'!H557/'04 Prices'!H556))</f>
        <v/>
      </c>
    </row>
    <row r="557">
      <c r="A557" s="23">
        <f>IF('04 Prices'!A558="","",'04 Prices'!A558)</f>
        <v/>
      </c>
      <c r="B557" s="25">
        <f>IF(OR($A557="",'04 Prices'!B557="",'04 Prices'!B558=""),"",LN('04 Prices'!B558/'04 Prices'!B557))</f>
        <v/>
      </c>
      <c r="C557" s="25">
        <f>IF(OR($A557="",'04 Prices'!C557="",'04 Prices'!C558=""),"",LN('04 Prices'!C558/'04 Prices'!C557))</f>
        <v/>
      </c>
      <c r="D557" s="25">
        <f>IF(OR($A557="",'04 Prices'!D557="",'04 Prices'!D558=""),"",LN('04 Prices'!D558/'04 Prices'!D557))</f>
        <v/>
      </c>
      <c r="E557" s="25">
        <f>IF(OR($A557="",'04 Prices'!E557="",'04 Prices'!E558=""),"",LN('04 Prices'!E558/'04 Prices'!E557))</f>
        <v/>
      </c>
      <c r="F557" s="25">
        <f>IF(OR($A557="",'04 Prices'!F557="",'04 Prices'!F558=""),"",LN('04 Prices'!F558/'04 Prices'!F557))</f>
        <v/>
      </c>
      <c r="G557" s="25">
        <f>IF(OR($A557="",'04 Prices'!G557="",'04 Prices'!G558=""),"",LN('04 Prices'!G558/'04 Prices'!G557))</f>
        <v/>
      </c>
      <c r="H557" s="25">
        <f>IF(OR($A557="",'04 Prices'!H557="",'04 Prices'!H558=""),"",LN('04 Prices'!H558/'04 Prices'!H557))</f>
        <v/>
      </c>
    </row>
    <row r="558">
      <c r="A558" s="23">
        <f>IF('04 Prices'!A559="","",'04 Prices'!A559)</f>
        <v/>
      </c>
      <c r="B558" s="25">
        <f>IF(OR($A558="",'04 Prices'!B558="",'04 Prices'!B559=""),"",LN('04 Prices'!B559/'04 Prices'!B558))</f>
        <v/>
      </c>
      <c r="C558" s="25">
        <f>IF(OR($A558="",'04 Prices'!C558="",'04 Prices'!C559=""),"",LN('04 Prices'!C559/'04 Prices'!C558))</f>
        <v/>
      </c>
      <c r="D558" s="25">
        <f>IF(OR($A558="",'04 Prices'!D558="",'04 Prices'!D559=""),"",LN('04 Prices'!D559/'04 Prices'!D558))</f>
        <v/>
      </c>
      <c r="E558" s="25">
        <f>IF(OR($A558="",'04 Prices'!E558="",'04 Prices'!E559=""),"",LN('04 Prices'!E559/'04 Prices'!E558))</f>
        <v/>
      </c>
      <c r="F558" s="25">
        <f>IF(OR($A558="",'04 Prices'!F558="",'04 Prices'!F559=""),"",LN('04 Prices'!F559/'04 Prices'!F558))</f>
        <v/>
      </c>
      <c r="G558" s="25">
        <f>IF(OR($A558="",'04 Prices'!G558="",'04 Prices'!G559=""),"",LN('04 Prices'!G559/'04 Prices'!G558))</f>
        <v/>
      </c>
      <c r="H558" s="25">
        <f>IF(OR($A558="",'04 Prices'!H558="",'04 Prices'!H559=""),"",LN('04 Prices'!H559/'04 Prices'!H558))</f>
        <v/>
      </c>
    </row>
    <row r="559">
      <c r="A559" s="23">
        <f>IF('04 Prices'!A560="","",'04 Prices'!A560)</f>
        <v/>
      </c>
      <c r="B559" s="25">
        <f>IF(OR($A559="",'04 Prices'!B559="",'04 Prices'!B560=""),"",LN('04 Prices'!B560/'04 Prices'!B559))</f>
        <v/>
      </c>
      <c r="C559" s="25">
        <f>IF(OR($A559="",'04 Prices'!C559="",'04 Prices'!C560=""),"",LN('04 Prices'!C560/'04 Prices'!C559))</f>
        <v/>
      </c>
      <c r="D559" s="25">
        <f>IF(OR($A559="",'04 Prices'!D559="",'04 Prices'!D560=""),"",LN('04 Prices'!D560/'04 Prices'!D559))</f>
        <v/>
      </c>
      <c r="E559" s="25">
        <f>IF(OR($A559="",'04 Prices'!E559="",'04 Prices'!E560=""),"",LN('04 Prices'!E560/'04 Prices'!E559))</f>
        <v/>
      </c>
      <c r="F559" s="25">
        <f>IF(OR($A559="",'04 Prices'!F559="",'04 Prices'!F560=""),"",LN('04 Prices'!F560/'04 Prices'!F559))</f>
        <v/>
      </c>
      <c r="G559" s="25">
        <f>IF(OR($A559="",'04 Prices'!G559="",'04 Prices'!G560=""),"",LN('04 Prices'!G560/'04 Prices'!G559))</f>
        <v/>
      </c>
      <c r="H559" s="25">
        <f>IF(OR($A559="",'04 Prices'!H559="",'04 Prices'!H560=""),"",LN('04 Prices'!H560/'04 Prices'!H559))</f>
        <v/>
      </c>
    </row>
    <row r="560">
      <c r="A560" s="23">
        <f>IF('04 Prices'!A561="","",'04 Prices'!A561)</f>
        <v/>
      </c>
      <c r="B560" s="25">
        <f>IF(OR($A560="",'04 Prices'!B560="",'04 Prices'!B561=""),"",LN('04 Prices'!B561/'04 Prices'!B560))</f>
        <v/>
      </c>
      <c r="C560" s="25">
        <f>IF(OR($A560="",'04 Prices'!C560="",'04 Prices'!C561=""),"",LN('04 Prices'!C561/'04 Prices'!C560))</f>
        <v/>
      </c>
      <c r="D560" s="25">
        <f>IF(OR($A560="",'04 Prices'!D560="",'04 Prices'!D561=""),"",LN('04 Prices'!D561/'04 Prices'!D560))</f>
        <v/>
      </c>
      <c r="E560" s="25">
        <f>IF(OR($A560="",'04 Prices'!E560="",'04 Prices'!E561=""),"",LN('04 Prices'!E561/'04 Prices'!E560))</f>
        <v/>
      </c>
      <c r="F560" s="25">
        <f>IF(OR($A560="",'04 Prices'!F560="",'04 Prices'!F561=""),"",LN('04 Prices'!F561/'04 Prices'!F560))</f>
        <v/>
      </c>
      <c r="G560" s="25">
        <f>IF(OR($A560="",'04 Prices'!G560="",'04 Prices'!G561=""),"",LN('04 Prices'!G561/'04 Prices'!G560))</f>
        <v/>
      </c>
      <c r="H560" s="25">
        <f>IF(OR($A560="",'04 Prices'!H560="",'04 Prices'!H561=""),"",LN('04 Prices'!H561/'04 Prices'!H560))</f>
        <v/>
      </c>
    </row>
    <row r="561">
      <c r="A561" s="23">
        <f>IF('04 Prices'!A562="","",'04 Prices'!A562)</f>
        <v/>
      </c>
      <c r="B561" s="25">
        <f>IF(OR($A561="",'04 Prices'!B561="",'04 Prices'!B562=""),"",LN('04 Prices'!B562/'04 Prices'!B561))</f>
        <v/>
      </c>
      <c r="C561" s="25">
        <f>IF(OR($A561="",'04 Prices'!C561="",'04 Prices'!C562=""),"",LN('04 Prices'!C562/'04 Prices'!C561))</f>
        <v/>
      </c>
      <c r="D561" s="25">
        <f>IF(OR($A561="",'04 Prices'!D561="",'04 Prices'!D562=""),"",LN('04 Prices'!D562/'04 Prices'!D561))</f>
        <v/>
      </c>
      <c r="E561" s="25">
        <f>IF(OR($A561="",'04 Prices'!E561="",'04 Prices'!E562=""),"",LN('04 Prices'!E562/'04 Prices'!E561))</f>
        <v/>
      </c>
      <c r="F561" s="25">
        <f>IF(OR($A561="",'04 Prices'!F561="",'04 Prices'!F562=""),"",LN('04 Prices'!F562/'04 Prices'!F561))</f>
        <v/>
      </c>
      <c r="G561" s="25">
        <f>IF(OR($A561="",'04 Prices'!G561="",'04 Prices'!G562=""),"",LN('04 Prices'!G562/'04 Prices'!G561))</f>
        <v/>
      </c>
      <c r="H561" s="25">
        <f>IF(OR($A561="",'04 Prices'!H561="",'04 Prices'!H562=""),"",LN('04 Prices'!H562/'04 Prices'!H561))</f>
        <v/>
      </c>
    </row>
    <row r="562">
      <c r="A562" s="23">
        <f>IF('04 Prices'!A563="","",'04 Prices'!A563)</f>
        <v/>
      </c>
      <c r="B562" s="25">
        <f>IF(OR($A562="",'04 Prices'!B562="",'04 Prices'!B563=""),"",LN('04 Prices'!B563/'04 Prices'!B562))</f>
        <v/>
      </c>
      <c r="C562" s="25">
        <f>IF(OR($A562="",'04 Prices'!C562="",'04 Prices'!C563=""),"",LN('04 Prices'!C563/'04 Prices'!C562))</f>
        <v/>
      </c>
      <c r="D562" s="25">
        <f>IF(OR($A562="",'04 Prices'!D562="",'04 Prices'!D563=""),"",LN('04 Prices'!D563/'04 Prices'!D562))</f>
        <v/>
      </c>
      <c r="E562" s="25">
        <f>IF(OR($A562="",'04 Prices'!E562="",'04 Prices'!E563=""),"",LN('04 Prices'!E563/'04 Prices'!E562))</f>
        <v/>
      </c>
      <c r="F562" s="25">
        <f>IF(OR($A562="",'04 Prices'!F562="",'04 Prices'!F563=""),"",LN('04 Prices'!F563/'04 Prices'!F562))</f>
        <v/>
      </c>
      <c r="G562" s="25">
        <f>IF(OR($A562="",'04 Prices'!G562="",'04 Prices'!G563=""),"",LN('04 Prices'!G563/'04 Prices'!G562))</f>
        <v/>
      </c>
      <c r="H562" s="25">
        <f>IF(OR($A562="",'04 Prices'!H562="",'04 Prices'!H563=""),"",LN('04 Prices'!H563/'04 Prices'!H562))</f>
        <v/>
      </c>
    </row>
    <row r="563">
      <c r="A563" s="23">
        <f>IF('04 Prices'!A564="","",'04 Prices'!A564)</f>
        <v/>
      </c>
      <c r="B563" s="25">
        <f>IF(OR($A563="",'04 Prices'!B563="",'04 Prices'!B564=""),"",LN('04 Prices'!B564/'04 Prices'!B563))</f>
        <v/>
      </c>
      <c r="C563" s="25">
        <f>IF(OR($A563="",'04 Prices'!C563="",'04 Prices'!C564=""),"",LN('04 Prices'!C564/'04 Prices'!C563))</f>
        <v/>
      </c>
      <c r="D563" s="25">
        <f>IF(OR($A563="",'04 Prices'!D563="",'04 Prices'!D564=""),"",LN('04 Prices'!D564/'04 Prices'!D563))</f>
        <v/>
      </c>
      <c r="E563" s="25">
        <f>IF(OR($A563="",'04 Prices'!E563="",'04 Prices'!E564=""),"",LN('04 Prices'!E564/'04 Prices'!E563))</f>
        <v/>
      </c>
      <c r="F563" s="25">
        <f>IF(OR($A563="",'04 Prices'!F563="",'04 Prices'!F564=""),"",LN('04 Prices'!F564/'04 Prices'!F563))</f>
        <v/>
      </c>
      <c r="G563" s="25">
        <f>IF(OR($A563="",'04 Prices'!G563="",'04 Prices'!G564=""),"",LN('04 Prices'!G564/'04 Prices'!G563))</f>
        <v/>
      </c>
      <c r="H563" s="25">
        <f>IF(OR($A563="",'04 Prices'!H563="",'04 Prices'!H564=""),"",LN('04 Prices'!H564/'04 Prices'!H563))</f>
        <v/>
      </c>
    </row>
    <row r="564">
      <c r="A564" s="23">
        <f>IF('04 Prices'!A565="","",'04 Prices'!A565)</f>
        <v/>
      </c>
      <c r="B564" s="25">
        <f>IF(OR($A564="",'04 Prices'!B564="",'04 Prices'!B565=""),"",LN('04 Prices'!B565/'04 Prices'!B564))</f>
        <v/>
      </c>
      <c r="C564" s="25">
        <f>IF(OR($A564="",'04 Prices'!C564="",'04 Prices'!C565=""),"",LN('04 Prices'!C565/'04 Prices'!C564))</f>
        <v/>
      </c>
      <c r="D564" s="25">
        <f>IF(OR($A564="",'04 Prices'!D564="",'04 Prices'!D565=""),"",LN('04 Prices'!D565/'04 Prices'!D564))</f>
        <v/>
      </c>
      <c r="E564" s="25">
        <f>IF(OR($A564="",'04 Prices'!E564="",'04 Prices'!E565=""),"",LN('04 Prices'!E565/'04 Prices'!E564))</f>
        <v/>
      </c>
      <c r="F564" s="25">
        <f>IF(OR($A564="",'04 Prices'!F564="",'04 Prices'!F565=""),"",LN('04 Prices'!F565/'04 Prices'!F564))</f>
        <v/>
      </c>
      <c r="G564" s="25">
        <f>IF(OR($A564="",'04 Prices'!G564="",'04 Prices'!G565=""),"",LN('04 Prices'!G565/'04 Prices'!G564))</f>
        <v/>
      </c>
      <c r="H564" s="25">
        <f>IF(OR($A564="",'04 Prices'!H564="",'04 Prices'!H565=""),"",LN('04 Prices'!H565/'04 Prices'!H564))</f>
        <v/>
      </c>
    </row>
    <row r="565">
      <c r="A565" s="23">
        <f>IF('04 Prices'!A566="","",'04 Prices'!A566)</f>
        <v/>
      </c>
      <c r="B565" s="25">
        <f>IF(OR($A565="",'04 Prices'!B565="",'04 Prices'!B566=""),"",LN('04 Prices'!B566/'04 Prices'!B565))</f>
        <v/>
      </c>
      <c r="C565" s="25">
        <f>IF(OR($A565="",'04 Prices'!C565="",'04 Prices'!C566=""),"",LN('04 Prices'!C566/'04 Prices'!C565))</f>
        <v/>
      </c>
      <c r="D565" s="25">
        <f>IF(OR($A565="",'04 Prices'!D565="",'04 Prices'!D566=""),"",LN('04 Prices'!D566/'04 Prices'!D565))</f>
        <v/>
      </c>
      <c r="E565" s="25">
        <f>IF(OR($A565="",'04 Prices'!E565="",'04 Prices'!E566=""),"",LN('04 Prices'!E566/'04 Prices'!E565))</f>
        <v/>
      </c>
      <c r="F565" s="25">
        <f>IF(OR($A565="",'04 Prices'!F565="",'04 Prices'!F566=""),"",LN('04 Prices'!F566/'04 Prices'!F565))</f>
        <v/>
      </c>
      <c r="G565" s="25">
        <f>IF(OR($A565="",'04 Prices'!G565="",'04 Prices'!G566=""),"",LN('04 Prices'!G566/'04 Prices'!G565))</f>
        <v/>
      </c>
      <c r="H565" s="25">
        <f>IF(OR($A565="",'04 Prices'!H565="",'04 Prices'!H566=""),"",LN('04 Prices'!H566/'04 Prices'!H565))</f>
        <v/>
      </c>
    </row>
    <row r="566">
      <c r="A566" s="23">
        <f>IF('04 Prices'!A567="","",'04 Prices'!A567)</f>
        <v/>
      </c>
      <c r="B566" s="25">
        <f>IF(OR($A566="",'04 Prices'!B566="",'04 Prices'!B567=""),"",LN('04 Prices'!B567/'04 Prices'!B566))</f>
        <v/>
      </c>
      <c r="C566" s="25">
        <f>IF(OR($A566="",'04 Prices'!C566="",'04 Prices'!C567=""),"",LN('04 Prices'!C567/'04 Prices'!C566))</f>
        <v/>
      </c>
      <c r="D566" s="25">
        <f>IF(OR($A566="",'04 Prices'!D566="",'04 Prices'!D567=""),"",LN('04 Prices'!D567/'04 Prices'!D566))</f>
        <v/>
      </c>
      <c r="E566" s="25">
        <f>IF(OR($A566="",'04 Prices'!E566="",'04 Prices'!E567=""),"",LN('04 Prices'!E567/'04 Prices'!E566))</f>
        <v/>
      </c>
      <c r="F566" s="25">
        <f>IF(OR($A566="",'04 Prices'!F566="",'04 Prices'!F567=""),"",LN('04 Prices'!F567/'04 Prices'!F566))</f>
        <v/>
      </c>
      <c r="G566" s="25">
        <f>IF(OR($A566="",'04 Prices'!G566="",'04 Prices'!G567=""),"",LN('04 Prices'!G567/'04 Prices'!G566))</f>
        <v/>
      </c>
      <c r="H566" s="25">
        <f>IF(OR($A566="",'04 Prices'!H566="",'04 Prices'!H567=""),"",LN('04 Prices'!H567/'04 Prices'!H566))</f>
        <v/>
      </c>
    </row>
    <row r="567">
      <c r="A567" s="23">
        <f>IF('04 Prices'!A568="","",'04 Prices'!A568)</f>
        <v/>
      </c>
      <c r="B567" s="25">
        <f>IF(OR($A567="",'04 Prices'!B567="",'04 Prices'!B568=""),"",LN('04 Prices'!B568/'04 Prices'!B567))</f>
        <v/>
      </c>
      <c r="C567" s="25">
        <f>IF(OR($A567="",'04 Prices'!C567="",'04 Prices'!C568=""),"",LN('04 Prices'!C568/'04 Prices'!C567))</f>
        <v/>
      </c>
      <c r="D567" s="25">
        <f>IF(OR($A567="",'04 Prices'!D567="",'04 Prices'!D568=""),"",LN('04 Prices'!D568/'04 Prices'!D567))</f>
        <v/>
      </c>
      <c r="E567" s="25">
        <f>IF(OR($A567="",'04 Prices'!E567="",'04 Prices'!E568=""),"",LN('04 Prices'!E568/'04 Prices'!E567))</f>
        <v/>
      </c>
      <c r="F567" s="25">
        <f>IF(OR($A567="",'04 Prices'!F567="",'04 Prices'!F568=""),"",LN('04 Prices'!F568/'04 Prices'!F567))</f>
        <v/>
      </c>
      <c r="G567" s="25">
        <f>IF(OR($A567="",'04 Prices'!G567="",'04 Prices'!G568=""),"",LN('04 Prices'!G568/'04 Prices'!G567))</f>
        <v/>
      </c>
      <c r="H567" s="25">
        <f>IF(OR($A567="",'04 Prices'!H567="",'04 Prices'!H568=""),"",LN('04 Prices'!H568/'04 Prices'!H567))</f>
        <v/>
      </c>
    </row>
    <row r="568">
      <c r="A568" s="23">
        <f>IF('04 Prices'!A569="","",'04 Prices'!A569)</f>
        <v/>
      </c>
      <c r="B568" s="25">
        <f>IF(OR($A568="",'04 Prices'!B568="",'04 Prices'!B569=""),"",LN('04 Prices'!B569/'04 Prices'!B568))</f>
        <v/>
      </c>
      <c r="C568" s="25">
        <f>IF(OR($A568="",'04 Prices'!C568="",'04 Prices'!C569=""),"",LN('04 Prices'!C569/'04 Prices'!C568))</f>
        <v/>
      </c>
      <c r="D568" s="25">
        <f>IF(OR($A568="",'04 Prices'!D568="",'04 Prices'!D569=""),"",LN('04 Prices'!D569/'04 Prices'!D568))</f>
        <v/>
      </c>
      <c r="E568" s="25">
        <f>IF(OR($A568="",'04 Prices'!E568="",'04 Prices'!E569=""),"",LN('04 Prices'!E569/'04 Prices'!E568))</f>
        <v/>
      </c>
      <c r="F568" s="25">
        <f>IF(OR($A568="",'04 Prices'!F568="",'04 Prices'!F569=""),"",LN('04 Prices'!F569/'04 Prices'!F568))</f>
        <v/>
      </c>
      <c r="G568" s="25">
        <f>IF(OR($A568="",'04 Prices'!G568="",'04 Prices'!G569=""),"",LN('04 Prices'!G569/'04 Prices'!G568))</f>
        <v/>
      </c>
      <c r="H568" s="25">
        <f>IF(OR($A568="",'04 Prices'!H568="",'04 Prices'!H569=""),"",LN('04 Prices'!H569/'04 Prices'!H568))</f>
        <v/>
      </c>
    </row>
    <row r="569">
      <c r="A569" s="23">
        <f>IF('04 Prices'!A570="","",'04 Prices'!A570)</f>
        <v/>
      </c>
      <c r="B569" s="25">
        <f>IF(OR($A569="",'04 Prices'!B569="",'04 Prices'!B570=""),"",LN('04 Prices'!B570/'04 Prices'!B569))</f>
        <v/>
      </c>
      <c r="C569" s="25">
        <f>IF(OR($A569="",'04 Prices'!C569="",'04 Prices'!C570=""),"",LN('04 Prices'!C570/'04 Prices'!C569))</f>
        <v/>
      </c>
      <c r="D569" s="25">
        <f>IF(OR($A569="",'04 Prices'!D569="",'04 Prices'!D570=""),"",LN('04 Prices'!D570/'04 Prices'!D569))</f>
        <v/>
      </c>
      <c r="E569" s="25">
        <f>IF(OR($A569="",'04 Prices'!E569="",'04 Prices'!E570=""),"",LN('04 Prices'!E570/'04 Prices'!E569))</f>
        <v/>
      </c>
      <c r="F569" s="25">
        <f>IF(OR($A569="",'04 Prices'!F569="",'04 Prices'!F570=""),"",LN('04 Prices'!F570/'04 Prices'!F569))</f>
        <v/>
      </c>
      <c r="G569" s="25">
        <f>IF(OR($A569="",'04 Prices'!G569="",'04 Prices'!G570=""),"",LN('04 Prices'!G570/'04 Prices'!G569))</f>
        <v/>
      </c>
      <c r="H569" s="25">
        <f>IF(OR($A569="",'04 Prices'!H569="",'04 Prices'!H570=""),"",LN('04 Prices'!H570/'04 Prices'!H569))</f>
        <v/>
      </c>
    </row>
    <row r="570">
      <c r="A570" s="23">
        <f>IF('04 Prices'!A571="","",'04 Prices'!A571)</f>
        <v/>
      </c>
      <c r="B570" s="25">
        <f>IF(OR($A570="",'04 Prices'!B570="",'04 Prices'!B571=""),"",LN('04 Prices'!B571/'04 Prices'!B570))</f>
        <v/>
      </c>
      <c r="C570" s="25">
        <f>IF(OR($A570="",'04 Prices'!C570="",'04 Prices'!C571=""),"",LN('04 Prices'!C571/'04 Prices'!C570))</f>
        <v/>
      </c>
      <c r="D570" s="25">
        <f>IF(OR($A570="",'04 Prices'!D570="",'04 Prices'!D571=""),"",LN('04 Prices'!D571/'04 Prices'!D570))</f>
        <v/>
      </c>
      <c r="E570" s="25">
        <f>IF(OR($A570="",'04 Prices'!E570="",'04 Prices'!E571=""),"",LN('04 Prices'!E571/'04 Prices'!E570))</f>
        <v/>
      </c>
      <c r="F570" s="25">
        <f>IF(OR($A570="",'04 Prices'!F570="",'04 Prices'!F571=""),"",LN('04 Prices'!F571/'04 Prices'!F570))</f>
        <v/>
      </c>
      <c r="G570" s="25">
        <f>IF(OR($A570="",'04 Prices'!G570="",'04 Prices'!G571=""),"",LN('04 Prices'!G571/'04 Prices'!G570))</f>
        <v/>
      </c>
      <c r="H570" s="25">
        <f>IF(OR($A570="",'04 Prices'!H570="",'04 Prices'!H571=""),"",LN('04 Prices'!H571/'04 Prices'!H570))</f>
        <v/>
      </c>
    </row>
    <row r="571">
      <c r="A571" s="23">
        <f>IF('04 Prices'!A572="","",'04 Prices'!A572)</f>
        <v/>
      </c>
      <c r="B571" s="25">
        <f>IF(OR($A571="",'04 Prices'!B571="",'04 Prices'!B572=""),"",LN('04 Prices'!B572/'04 Prices'!B571))</f>
        <v/>
      </c>
      <c r="C571" s="25">
        <f>IF(OR($A571="",'04 Prices'!C571="",'04 Prices'!C572=""),"",LN('04 Prices'!C572/'04 Prices'!C571))</f>
        <v/>
      </c>
      <c r="D571" s="25">
        <f>IF(OR($A571="",'04 Prices'!D571="",'04 Prices'!D572=""),"",LN('04 Prices'!D572/'04 Prices'!D571))</f>
        <v/>
      </c>
      <c r="E571" s="25">
        <f>IF(OR($A571="",'04 Prices'!E571="",'04 Prices'!E572=""),"",LN('04 Prices'!E572/'04 Prices'!E571))</f>
        <v/>
      </c>
      <c r="F571" s="25">
        <f>IF(OR($A571="",'04 Prices'!F571="",'04 Prices'!F572=""),"",LN('04 Prices'!F572/'04 Prices'!F571))</f>
        <v/>
      </c>
      <c r="G571" s="25">
        <f>IF(OR($A571="",'04 Prices'!G571="",'04 Prices'!G572=""),"",LN('04 Prices'!G572/'04 Prices'!G571))</f>
        <v/>
      </c>
      <c r="H571" s="25">
        <f>IF(OR($A571="",'04 Prices'!H571="",'04 Prices'!H572=""),"",LN('04 Prices'!H572/'04 Prices'!H571))</f>
        <v/>
      </c>
    </row>
    <row r="572">
      <c r="A572" s="23">
        <f>IF('04 Prices'!A573="","",'04 Prices'!A573)</f>
        <v/>
      </c>
      <c r="B572" s="25">
        <f>IF(OR($A572="",'04 Prices'!B572="",'04 Prices'!B573=""),"",LN('04 Prices'!B573/'04 Prices'!B572))</f>
        <v/>
      </c>
      <c r="C572" s="25">
        <f>IF(OR($A572="",'04 Prices'!C572="",'04 Prices'!C573=""),"",LN('04 Prices'!C573/'04 Prices'!C572))</f>
        <v/>
      </c>
      <c r="D572" s="25">
        <f>IF(OR($A572="",'04 Prices'!D572="",'04 Prices'!D573=""),"",LN('04 Prices'!D573/'04 Prices'!D572))</f>
        <v/>
      </c>
      <c r="E572" s="25">
        <f>IF(OR($A572="",'04 Prices'!E572="",'04 Prices'!E573=""),"",LN('04 Prices'!E573/'04 Prices'!E572))</f>
        <v/>
      </c>
      <c r="F572" s="25">
        <f>IF(OR($A572="",'04 Prices'!F572="",'04 Prices'!F573=""),"",LN('04 Prices'!F573/'04 Prices'!F572))</f>
        <v/>
      </c>
      <c r="G572" s="25">
        <f>IF(OR($A572="",'04 Prices'!G572="",'04 Prices'!G573=""),"",LN('04 Prices'!G573/'04 Prices'!G572))</f>
        <v/>
      </c>
      <c r="H572" s="25">
        <f>IF(OR($A572="",'04 Prices'!H572="",'04 Prices'!H573=""),"",LN('04 Prices'!H573/'04 Prices'!H572))</f>
        <v/>
      </c>
    </row>
    <row r="573">
      <c r="A573" s="23">
        <f>IF('04 Prices'!A574="","",'04 Prices'!A574)</f>
        <v/>
      </c>
      <c r="B573" s="25">
        <f>IF(OR($A573="",'04 Prices'!B573="",'04 Prices'!B574=""),"",LN('04 Prices'!B574/'04 Prices'!B573))</f>
        <v/>
      </c>
      <c r="C573" s="25">
        <f>IF(OR($A573="",'04 Prices'!C573="",'04 Prices'!C574=""),"",LN('04 Prices'!C574/'04 Prices'!C573))</f>
        <v/>
      </c>
      <c r="D573" s="25">
        <f>IF(OR($A573="",'04 Prices'!D573="",'04 Prices'!D574=""),"",LN('04 Prices'!D574/'04 Prices'!D573))</f>
        <v/>
      </c>
      <c r="E573" s="25">
        <f>IF(OR($A573="",'04 Prices'!E573="",'04 Prices'!E574=""),"",LN('04 Prices'!E574/'04 Prices'!E573))</f>
        <v/>
      </c>
      <c r="F573" s="25">
        <f>IF(OR($A573="",'04 Prices'!F573="",'04 Prices'!F574=""),"",LN('04 Prices'!F574/'04 Prices'!F573))</f>
        <v/>
      </c>
      <c r="G573" s="25">
        <f>IF(OR($A573="",'04 Prices'!G573="",'04 Prices'!G574=""),"",LN('04 Prices'!G574/'04 Prices'!G573))</f>
        <v/>
      </c>
      <c r="H573" s="25">
        <f>IF(OR($A573="",'04 Prices'!H573="",'04 Prices'!H574=""),"",LN('04 Prices'!H574/'04 Prices'!H573))</f>
        <v/>
      </c>
    </row>
    <row r="574">
      <c r="A574" s="23">
        <f>IF('04 Prices'!A575="","",'04 Prices'!A575)</f>
        <v/>
      </c>
      <c r="B574" s="25">
        <f>IF(OR($A574="",'04 Prices'!B574="",'04 Prices'!B575=""),"",LN('04 Prices'!B575/'04 Prices'!B574))</f>
        <v/>
      </c>
      <c r="C574" s="25">
        <f>IF(OR($A574="",'04 Prices'!C574="",'04 Prices'!C575=""),"",LN('04 Prices'!C575/'04 Prices'!C574))</f>
        <v/>
      </c>
      <c r="D574" s="25">
        <f>IF(OR($A574="",'04 Prices'!D574="",'04 Prices'!D575=""),"",LN('04 Prices'!D575/'04 Prices'!D574))</f>
        <v/>
      </c>
      <c r="E574" s="25">
        <f>IF(OR($A574="",'04 Prices'!E574="",'04 Prices'!E575=""),"",LN('04 Prices'!E575/'04 Prices'!E574))</f>
        <v/>
      </c>
      <c r="F574" s="25">
        <f>IF(OR($A574="",'04 Prices'!F574="",'04 Prices'!F575=""),"",LN('04 Prices'!F575/'04 Prices'!F574))</f>
        <v/>
      </c>
      <c r="G574" s="25">
        <f>IF(OR($A574="",'04 Prices'!G574="",'04 Prices'!G575=""),"",LN('04 Prices'!G575/'04 Prices'!G574))</f>
        <v/>
      </c>
      <c r="H574" s="25">
        <f>IF(OR($A574="",'04 Prices'!H574="",'04 Prices'!H575=""),"",LN('04 Prices'!H575/'04 Prices'!H574))</f>
        <v/>
      </c>
    </row>
    <row r="575">
      <c r="A575" s="23">
        <f>IF('04 Prices'!A576="","",'04 Prices'!A576)</f>
        <v/>
      </c>
      <c r="B575" s="25">
        <f>IF(OR($A575="",'04 Prices'!B575="",'04 Prices'!B576=""),"",LN('04 Prices'!B576/'04 Prices'!B575))</f>
        <v/>
      </c>
      <c r="C575" s="25">
        <f>IF(OR($A575="",'04 Prices'!C575="",'04 Prices'!C576=""),"",LN('04 Prices'!C576/'04 Prices'!C575))</f>
        <v/>
      </c>
      <c r="D575" s="25">
        <f>IF(OR($A575="",'04 Prices'!D575="",'04 Prices'!D576=""),"",LN('04 Prices'!D576/'04 Prices'!D575))</f>
        <v/>
      </c>
      <c r="E575" s="25">
        <f>IF(OR($A575="",'04 Prices'!E575="",'04 Prices'!E576=""),"",LN('04 Prices'!E576/'04 Prices'!E575))</f>
        <v/>
      </c>
      <c r="F575" s="25">
        <f>IF(OR($A575="",'04 Prices'!F575="",'04 Prices'!F576=""),"",LN('04 Prices'!F576/'04 Prices'!F575))</f>
        <v/>
      </c>
      <c r="G575" s="25">
        <f>IF(OR($A575="",'04 Prices'!G575="",'04 Prices'!G576=""),"",LN('04 Prices'!G576/'04 Prices'!G575))</f>
        <v/>
      </c>
      <c r="H575" s="25">
        <f>IF(OR($A575="",'04 Prices'!H575="",'04 Prices'!H576=""),"",LN('04 Prices'!H576/'04 Prices'!H575))</f>
        <v/>
      </c>
    </row>
    <row r="576">
      <c r="A576" s="23">
        <f>IF('04 Prices'!A577="","",'04 Prices'!A577)</f>
        <v/>
      </c>
      <c r="B576" s="25">
        <f>IF(OR($A576="",'04 Prices'!B576="",'04 Prices'!B577=""),"",LN('04 Prices'!B577/'04 Prices'!B576))</f>
        <v/>
      </c>
      <c r="C576" s="25">
        <f>IF(OR($A576="",'04 Prices'!C576="",'04 Prices'!C577=""),"",LN('04 Prices'!C577/'04 Prices'!C576))</f>
        <v/>
      </c>
      <c r="D576" s="25">
        <f>IF(OR($A576="",'04 Prices'!D576="",'04 Prices'!D577=""),"",LN('04 Prices'!D577/'04 Prices'!D576))</f>
        <v/>
      </c>
      <c r="E576" s="25">
        <f>IF(OR($A576="",'04 Prices'!E576="",'04 Prices'!E577=""),"",LN('04 Prices'!E577/'04 Prices'!E576))</f>
        <v/>
      </c>
      <c r="F576" s="25">
        <f>IF(OR($A576="",'04 Prices'!F576="",'04 Prices'!F577=""),"",LN('04 Prices'!F577/'04 Prices'!F576))</f>
        <v/>
      </c>
      <c r="G576" s="25">
        <f>IF(OR($A576="",'04 Prices'!G576="",'04 Prices'!G577=""),"",LN('04 Prices'!G577/'04 Prices'!G576))</f>
        <v/>
      </c>
      <c r="H576" s="25">
        <f>IF(OR($A576="",'04 Prices'!H576="",'04 Prices'!H577=""),"",LN('04 Prices'!H577/'04 Prices'!H576))</f>
        <v/>
      </c>
    </row>
    <row r="577">
      <c r="A577" s="23">
        <f>IF('04 Prices'!A578="","",'04 Prices'!A578)</f>
        <v/>
      </c>
      <c r="B577" s="25">
        <f>IF(OR($A577="",'04 Prices'!B577="",'04 Prices'!B578=""),"",LN('04 Prices'!B578/'04 Prices'!B577))</f>
        <v/>
      </c>
      <c r="C577" s="25">
        <f>IF(OR($A577="",'04 Prices'!C577="",'04 Prices'!C578=""),"",LN('04 Prices'!C578/'04 Prices'!C577))</f>
        <v/>
      </c>
      <c r="D577" s="25">
        <f>IF(OR($A577="",'04 Prices'!D577="",'04 Prices'!D578=""),"",LN('04 Prices'!D578/'04 Prices'!D577))</f>
        <v/>
      </c>
      <c r="E577" s="25">
        <f>IF(OR($A577="",'04 Prices'!E577="",'04 Prices'!E578=""),"",LN('04 Prices'!E578/'04 Prices'!E577))</f>
        <v/>
      </c>
      <c r="F577" s="25">
        <f>IF(OR($A577="",'04 Prices'!F577="",'04 Prices'!F578=""),"",LN('04 Prices'!F578/'04 Prices'!F577))</f>
        <v/>
      </c>
      <c r="G577" s="25">
        <f>IF(OR($A577="",'04 Prices'!G577="",'04 Prices'!G578=""),"",LN('04 Prices'!G578/'04 Prices'!G577))</f>
        <v/>
      </c>
      <c r="H577" s="25">
        <f>IF(OR($A577="",'04 Prices'!H577="",'04 Prices'!H578=""),"",LN('04 Prices'!H578/'04 Prices'!H577))</f>
        <v/>
      </c>
    </row>
    <row r="578">
      <c r="A578" s="23">
        <f>IF('04 Prices'!A579="","",'04 Prices'!A579)</f>
        <v/>
      </c>
      <c r="B578" s="25">
        <f>IF(OR($A578="",'04 Prices'!B578="",'04 Prices'!B579=""),"",LN('04 Prices'!B579/'04 Prices'!B578))</f>
        <v/>
      </c>
      <c r="C578" s="25">
        <f>IF(OR($A578="",'04 Prices'!C578="",'04 Prices'!C579=""),"",LN('04 Prices'!C579/'04 Prices'!C578))</f>
        <v/>
      </c>
      <c r="D578" s="25">
        <f>IF(OR($A578="",'04 Prices'!D578="",'04 Prices'!D579=""),"",LN('04 Prices'!D579/'04 Prices'!D578))</f>
        <v/>
      </c>
      <c r="E578" s="25">
        <f>IF(OR($A578="",'04 Prices'!E578="",'04 Prices'!E579=""),"",LN('04 Prices'!E579/'04 Prices'!E578))</f>
        <v/>
      </c>
      <c r="F578" s="25">
        <f>IF(OR($A578="",'04 Prices'!F578="",'04 Prices'!F579=""),"",LN('04 Prices'!F579/'04 Prices'!F578))</f>
        <v/>
      </c>
      <c r="G578" s="25">
        <f>IF(OR($A578="",'04 Prices'!G578="",'04 Prices'!G579=""),"",LN('04 Prices'!G579/'04 Prices'!G578))</f>
        <v/>
      </c>
      <c r="H578" s="25">
        <f>IF(OR($A578="",'04 Prices'!H578="",'04 Prices'!H579=""),"",LN('04 Prices'!H579/'04 Prices'!H578))</f>
        <v/>
      </c>
    </row>
    <row r="579">
      <c r="A579" s="23">
        <f>IF('04 Prices'!A580="","",'04 Prices'!A580)</f>
        <v/>
      </c>
      <c r="B579" s="25">
        <f>IF(OR($A579="",'04 Prices'!B579="",'04 Prices'!B580=""),"",LN('04 Prices'!B580/'04 Prices'!B579))</f>
        <v/>
      </c>
      <c r="C579" s="25">
        <f>IF(OR($A579="",'04 Prices'!C579="",'04 Prices'!C580=""),"",LN('04 Prices'!C580/'04 Prices'!C579))</f>
        <v/>
      </c>
      <c r="D579" s="25">
        <f>IF(OR($A579="",'04 Prices'!D579="",'04 Prices'!D580=""),"",LN('04 Prices'!D580/'04 Prices'!D579))</f>
        <v/>
      </c>
      <c r="E579" s="25">
        <f>IF(OR($A579="",'04 Prices'!E579="",'04 Prices'!E580=""),"",LN('04 Prices'!E580/'04 Prices'!E579))</f>
        <v/>
      </c>
      <c r="F579" s="25">
        <f>IF(OR($A579="",'04 Prices'!F579="",'04 Prices'!F580=""),"",LN('04 Prices'!F580/'04 Prices'!F579))</f>
        <v/>
      </c>
      <c r="G579" s="25">
        <f>IF(OR($A579="",'04 Prices'!G579="",'04 Prices'!G580=""),"",LN('04 Prices'!G580/'04 Prices'!G579))</f>
        <v/>
      </c>
      <c r="H579" s="25">
        <f>IF(OR($A579="",'04 Prices'!H579="",'04 Prices'!H580=""),"",LN('04 Prices'!H580/'04 Prices'!H579))</f>
        <v/>
      </c>
    </row>
    <row r="580">
      <c r="A580" s="23">
        <f>IF('04 Prices'!A581="","",'04 Prices'!A581)</f>
        <v/>
      </c>
      <c r="B580" s="25">
        <f>IF(OR($A580="",'04 Prices'!B580="",'04 Prices'!B581=""),"",LN('04 Prices'!B581/'04 Prices'!B580))</f>
        <v/>
      </c>
      <c r="C580" s="25">
        <f>IF(OR($A580="",'04 Prices'!C580="",'04 Prices'!C581=""),"",LN('04 Prices'!C581/'04 Prices'!C580))</f>
        <v/>
      </c>
      <c r="D580" s="25">
        <f>IF(OR($A580="",'04 Prices'!D580="",'04 Prices'!D581=""),"",LN('04 Prices'!D581/'04 Prices'!D580))</f>
        <v/>
      </c>
      <c r="E580" s="25">
        <f>IF(OR($A580="",'04 Prices'!E580="",'04 Prices'!E581=""),"",LN('04 Prices'!E581/'04 Prices'!E580))</f>
        <v/>
      </c>
      <c r="F580" s="25">
        <f>IF(OR($A580="",'04 Prices'!F580="",'04 Prices'!F581=""),"",LN('04 Prices'!F581/'04 Prices'!F580))</f>
        <v/>
      </c>
      <c r="G580" s="25">
        <f>IF(OR($A580="",'04 Prices'!G580="",'04 Prices'!G581=""),"",LN('04 Prices'!G581/'04 Prices'!G580))</f>
        <v/>
      </c>
      <c r="H580" s="25">
        <f>IF(OR($A580="",'04 Prices'!H580="",'04 Prices'!H581=""),"",LN('04 Prices'!H581/'04 Prices'!H580))</f>
        <v/>
      </c>
    </row>
    <row r="581">
      <c r="A581" s="23">
        <f>IF('04 Prices'!A582="","",'04 Prices'!A582)</f>
        <v/>
      </c>
      <c r="B581" s="25">
        <f>IF(OR($A581="",'04 Prices'!B581="",'04 Prices'!B582=""),"",LN('04 Prices'!B582/'04 Prices'!B581))</f>
        <v/>
      </c>
      <c r="C581" s="25">
        <f>IF(OR($A581="",'04 Prices'!C581="",'04 Prices'!C582=""),"",LN('04 Prices'!C582/'04 Prices'!C581))</f>
        <v/>
      </c>
      <c r="D581" s="25">
        <f>IF(OR($A581="",'04 Prices'!D581="",'04 Prices'!D582=""),"",LN('04 Prices'!D582/'04 Prices'!D581))</f>
        <v/>
      </c>
      <c r="E581" s="25">
        <f>IF(OR($A581="",'04 Prices'!E581="",'04 Prices'!E582=""),"",LN('04 Prices'!E582/'04 Prices'!E581))</f>
        <v/>
      </c>
      <c r="F581" s="25">
        <f>IF(OR($A581="",'04 Prices'!F581="",'04 Prices'!F582=""),"",LN('04 Prices'!F582/'04 Prices'!F581))</f>
        <v/>
      </c>
      <c r="G581" s="25">
        <f>IF(OR($A581="",'04 Prices'!G581="",'04 Prices'!G582=""),"",LN('04 Prices'!G582/'04 Prices'!G581))</f>
        <v/>
      </c>
      <c r="H581" s="25">
        <f>IF(OR($A581="",'04 Prices'!H581="",'04 Prices'!H582=""),"",LN('04 Prices'!H582/'04 Prices'!H581))</f>
        <v/>
      </c>
    </row>
    <row r="582">
      <c r="A582" s="23">
        <f>IF('04 Prices'!A583="","",'04 Prices'!A583)</f>
        <v/>
      </c>
      <c r="B582" s="25">
        <f>IF(OR($A582="",'04 Prices'!B582="",'04 Prices'!B583=""),"",LN('04 Prices'!B583/'04 Prices'!B582))</f>
        <v/>
      </c>
      <c r="C582" s="25">
        <f>IF(OR($A582="",'04 Prices'!C582="",'04 Prices'!C583=""),"",LN('04 Prices'!C583/'04 Prices'!C582))</f>
        <v/>
      </c>
      <c r="D582" s="25">
        <f>IF(OR($A582="",'04 Prices'!D582="",'04 Prices'!D583=""),"",LN('04 Prices'!D583/'04 Prices'!D582))</f>
        <v/>
      </c>
      <c r="E582" s="25">
        <f>IF(OR($A582="",'04 Prices'!E582="",'04 Prices'!E583=""),"",LN('04 Prices'!E583/'04 Prices'!E582))</f>
        <v/>
      </c>
      <c r="F582" s="25">
        <f>IF(OR($A582="",'04 Prices'!F582="",'04 Prices'!F583=""),"",LN('04 Prices'!F583/'04 Prices'!F582))</f>
        <v/>
      </c>
      <c r="G582" s="25">
        <f>IF(OR($A582="",'04 Prices'!G582="",'04 Prices'!G583=""),"",LN('04 Prices'!G583/'04 Prices'!G582))</f>
        <v/>
      </c>
      <c r="H582" s="25">
        <f>IF(OR($A582="",'04 Prices'!H582="",'04 Prices'!H583=""),"",LN('04 Prices'!H583/'04 Prices'!H582))</f>
        <v/>
      </c>
    </row>
    <row r="583">
      <c r="A583" s="23">
        <f>IF('04 Prices'!A584="","",'04 Prices'!A584)</f>
        <v/>
      </c>
      <c r="B583" s="25">
        <f>IF(OR($A583="",'04 Prices'!B583="",'04 Prices'!B584=""),"",LN('04 Prices'!B584/'04 Prices'!B583))</f>
        <v/>
      </c>
      <c r="C583" s="25">
        <f>IF(OR($A583="",'04 Prices'!C583="",'04 Prices'!C584=""),"",LN('04 Prices'!C584/'04 Prices'!C583))</f>
        <v/>
      </c>
      <c r="D583" s="25">
        <f>IF(OR($A583="",'04 Prices'!D583="",'04 Prices'!D584=""),"",LN('04 Prices'!D584/'04 Prices'!D583))</f>
        <v/>
      </c>
      <c r="E583" s="25">
        <f>IF(OR($A583="",'04 Prices'!E583="",'04 Prices'!E584=""),"",LN('04 Prices'!E584/'04 Prices'!E583))</f>
        <v/>
      </c>
      <c r="F583" s="25">
        <f>IF(OR($A583="",'04 Prices'!F583="",'04 Prices'!F584=""),"",LN('04 Prices'!F584/'04 Prices'!F583))</f>
        <v/>
      </c>
      <c r="G583" s="25">
        <f>IF(OR($A583="",'04 Prices'!G583="",'04 Prices'!G584=""),"",LN('04 Prices'!G584/'04 Prices'!G583))</f>
        <v/>
      </c>
      <c r="H583" s="25">
        <f>IF(OR($A583="",'04 Prices'!H583="",'04 Prices'!H584=""),"",LN('04 Prices'!H584/'04 Prices'!H583))</f>
        <v/>
      </c>
    </row>
    <row r="584">
      <c r="A584" s="23">
        <f>IF('04 Prices'!A585="","",'04 Prices'!A585)</f>
        <v/>
      </c>
      <c r="B584" s="25">
        <f>IF(OR($A584="",'04 Prices'!B584="",'04 Prices'!B585=""),"",LN('04 Prices'!B585/'04 Prices'!B584))</f>
        <v/>
      </c>
      <c r="C584" s="25">
        <f>IF(OR($A584="",'04 Prices'!C584="",'04 Prices'!C585=""),"",LN('04 Prices'!C585/'04 Prices'!C584))</f>
        <v/>
      </c>
      <c r="D584" s="25">
        <f>IF(OR($A584="",'04 Prices'!D584="",'04 Prices'!D585=""),"",LN('04 Prices'!D585/'04 Prices'!D584))</f>
        <v/>
      </c>
      <c r="E584" s="25">
        <f>IF(OR($A584="",'04 Prices'!E584="",'04 Prices'!E585=""),"",LN('04 Prices'!E585/'04 Prices'!E584))</f>
        <v/>
      </c>
      <c r="F584" s="25">
        <f>IF(OR($A584="",'04 Prices'!F584="",'04 Prices'!F585=""),"",LN('04 Prices'!F585/'04 Prices'!F584))</f>
        <v/>
      </c>
      <c r="G584" s="25">
        <f>IF(OR($A584="",'04 Prices'!G584="",'04 Prices'!G585=""),"",LN('04 Prices'!G585/'04 Prices'!G584))</f>
        <v/>
      </c>
      <c r="H584" s="25">
        <f>IF(OR($A584="",'04 Prices'!H584="",'04 Prices'!H585=""),"",LN('04 Prices'!H585/'04 Prices'!H584))</f>
        <v/>
      </c>
    </row>
    <row r="585">
      <c r="A585" s="23">
        <f>IF('04 Prices'!A586="","",'04 Prices'!A586)</f>
        <v/>
      </c>
      <c r="B585" s="25">
        <f>IF(OR($A585="",'04 Prices'!B585="",'04 Prices'!B586=""),"",LN('04 Prices'!B586/'04 Prices'!B585))</f>
        <v/>
      </c>
      <c r="C585" s="25">
        <f>IF(OR($A585="",'04 Prices'!C585="",'04 Prices'!C586=""),"",LN('04 Prices'!C586/'04 Prices'!C585))</f>
        <v/>
      </c>
      <c r="D585" s="25">
        <f>IF(OR($A585="",'04 Prices'!D585="",'04 Prices'!D586=""),"",LN('04 Prices'!D586/'04 Prices'!D585))</f>
        <v/>
      </c>
      <c r="E585" s="25">
        <f>IF(OR($A585="",'04 Prices'!E585="",'04 Prices'!E586=""),"",LN('04 Prices'!E586/'04 Prices'!E585))</f>
        <v/>
      </c>
      <c r="F585" s="25">
        <f>IF(OR($A585="",'04 Prices'!F585="",'04 Prices'!F586=""),"",LN('04 Prices'!F586/'04 Prices'!F585))</f>
        <v/>
      </c>
      <c r="G585" s="25">
        <f>IF(OR($A585="",'04 Prices'!G585="",'04 Prices'!G586=""),"",LN('04 Prices'!G586/'04 Prices'!G585))</f>
        <v/>
      </c>
      <c r="H585" s="25">
        <f>IF(OR($A585="",'04 Prices'!H585="",'04 Prices'!H586=""),"",LN('04 Prices'!H586/'04 Prices'!H585))</f>
        <v/>
      </c>
    </row>
    <row r="586">
      <c r="A586" s="23">
        <f>IF('04 Prices'!A587="","",'04 Prices'!A587)</f>
        <v/>
      </c>
      <c r="B586" s="25">
        <f>IF(OR($A586="",'04 Prices'!B586="",'04 Prices'!B587=""),"",LN('04 Prices'!B587/'04 Prices'!B586))</f>
        <v/>
      </c>
      <c r="C586" s="25">
        <f>IF(OR($A586="",'04 Prices'!C586="",'04 Prices'!C587=""),"",LN('04 Prices'!C587/'04 Prices'!C586))</f>
        <v/>
      </c>
      <c r="D586" s="25">
        <f>IF(OR($A586="",'04 Prices'!D586="",'04 Prices'!D587=""),"",LN('04 Prices'!D587/'04 Prices'!D586))</f>
        <v/>
      </c>
      <c r="E586" s="25">
        <f>IF(OR($A586="",'04 Prices'!E586="",'04 Prices'!E587=""),"",LN('04 Prices'!E587/'04 Prices'!E586))</f>
        <v/>
      </c>
      <c r="F586" s="25">
        <f>IF(OR($A586="",'04 Prices'!F586="",'04 Prices'!F587=""),"",LN('04 Prices'!F587/'04 Prices'!F586))</f>
        <v/>
      </c>
      <c r="G586" s="25">
        <f>IF(OR($A586="",'04 Prices'!G586="",'04 Prices'!G587=""),"",LN('04 Prices'!G587/'04 Prices'!G586))</f>
        <v/>
      </c>
      <c r="H586" s="25">
        <f>IF(OR($A586="",'04 Prices'!H586="",'04 Prices'!H587=""),"",LN('04 Prices'!H587/'04 Prices'!H586))</f>
        <v/>
      </c>
    </row>
    <row r="587">
      <c r="A587" s="23">
        <f>IF('04 Prices'!A588="","",'04 Prices'!A588)</f>
        <v/>
      </c>
      <c r="B587" s="25">
        <f>IF(OR($A587="",'04 Prices'!B587="",'04 Prices'!B588=""),"",LN('04 Prices'!B588/'04 Prices'!B587))</f>
        <v/>
      </c>
      <c r="C587" s="25">
        <f>IF(OR($A587="",'04 Prices'!C587="",'04 Prices'!C588=""),"",LN('04 Prices'!C588/'04 Prices'!C587))</f>
        <v/>
      </c>
      <c r="D587" s="25">
        <f>IF(OR($A587="",'04 Prices'!D587="",'04 Prices'!D588=""),"",LN('04 Prices'!D588/'04 Prices'!D587))</f>
        <v/>
      </c>
      <c r="E587" s="25">
        <f>IF(OR($A587="",'04 Prices'!E587="",'04 Prices'!E588=""),"",LN('04 Prices'!E588/'04 Prices'!E587))</f>
        <v/>
      </c>
      <c r="F587" s="25">
        <f>IF(OR($A587="",'04 Prices'!F587="",'04 Prices'!F588=""),"",LN('04 Prices'!F588/'04 Prices'!F587))</f>
        <v/>
      </c>
      <c r="G587" s="25">
        <f>IF(OR($A587="",'04 Prices'!G587="",'04 Prices'!G588=""),"",LN('04 Prices'!G588/'04 Prices'!G587))</f>
        <v/>
      </c>
      <c r="H587" s="25">
        <f>IF(OR($A587="",'04 Prices'!H587="",'04 Prices'!H588=""),"",LN('04 Prices'!H588/'04 Prices'!H587))</f>
        <v/>
      </c>
    </row>
    <row r="588">
      <c r="A588" s="23">
        <f>IF('04 Prices'!A589="","",'04 Prices'!A589)</f>
        <v/>
      </c>
      <c r="B588" s="25">
        <f>IF(OR($A588="",'04 Prices'!B588="",'04 Prices'!B589=""),"",LN('04 Prices'!B589/'04 Prices'!B588))</f>
        <v/>
      </c>
      <c r="C588" s="25">
        <f>IF(OR($A588="",'04 Prices'!C588="",'04 Prices'!C589=""),"",LN('04 Prices'!C589/'04 Prices'!C588))</f>
        <v/>
      </c>
      <c r="D588" s="25">
        <f>IF(OR($A588="",'04 Prices'!D588="",'04 Prices'!D589=""),"",LN('04 Prices'!D589/'04 Prices'!D588))</f>
        <v/>
      </c>
      <c r="E588" s="25">
        <f>IF(OR($A588="",'04 Prices'!E588="",'04 Prices'!E589=""),"",LN('04 Prices'!E589/'04 Prices'!E588))</f>
        <v/>
      </c>
      <c r="F588" s="25">
        <f>IF(OR($A588="",'04 Prices'!F588="",'04 Prices'!F589=""),"",LN('04 Prices'!F589/'04 Prices'!F588))</f>
        <v/>
      </c>
      <c r="G588" s="25">
        <f>IF(OR($A588="",'04 Prices'!G588="",'04 Prices'!G589=""),"",LN('04 Prices'!G589/'04 Prices'!G588))</f>
        <v/>
      </c>
      <c r="H588" s="25">
        <f>IF(OR($A588="",'04 Prices'!H588="",'04 Prices'!H589=""),"",LN('04 Prices'!H589/'04 Prices'!H588))</f>
        <v/>
      </c>
    </row>
    <row r="589">
      <c r="A589" s="23">
        <f>IF('04 Prices'!A590="","",'04 Prices'!A590)</f>
        <v/>
      </c>
      <c r="B589" s="25">
        <f>IF(OR($A589="",'04 Prices'!B589="",'04 Prices'!B590=""),"",LN('04 Prices'!B590/'04 Prices'!B589))</f>
        <v/>
      </c>
      <c r="C589" s="25">
        <f>IF(OR($A589="",'04 Prices'!C589="",'04 Prices'!C590=""),"",LN('04 Prices'!C590/'04 Prices'!C589))</f>
        <v/>
      </c>
      <c r="D589" s="25">
        <f>IF(OR($A589="",'04 Prices'!D589="",'04 Prices'!D590=""),"",LN('04 Prices'!D590/'04 Prices'!D589))</f>
        <v/>
      </c>
      <c r="E589" s="25">
        <f>IF(OR($A589="",'04 Prices'!E589="",'04 Prices'!E590=""),"",LN('04 Prices'!E590/'04 Prices'!E589))</f>
        <v/>
      </c>
      <c r="F589" s="25">
        <f>IF(OR($A589="",'04 Prices'!F589="",'04 Prices'!F590=""),"",LN('04 Prices'!F590/'04 Prices'!F589))</f>
        <v/>
      </c>
      <c r="G589" s="25">
        <f>IF(OR($A589="",'04 Prices'!G589="",'04 Prices'!G590=""),"",LN('04 Prices'!G590/'04 Prices'!G589))</f>
        <v/>
      </c>
      <c r="H589" s="25">
        <f>IF(OR($A589="",'04 Prices'!H589="",'04 Prices'!H590=""),"",LN('04 Prices'!H590/'04 Prices'!H589))</f>
        <v/>
      </c>
    </row>
    <row r="590">
      <c r="A590" s="23">
        <f>IF('04 Prices'!A591="","",'04 Prices'!A591)</f>
        <v/>
      </c>
      <c r="B590" s="25">
        <f>IF(OR($A590="",'04 Prices'!B590="",'04 Prices'!B591=""),"",LN('04 Prices'!B591/'04 Prices'!B590))</f>
        <v/>
      </c>
      <c r="C590" s="25">
        <f>IF(OR($A590="",'04 Prices'!C590="",'04 Prices'!C591=""),"",LN('04 Prices'!C591/'04 Prices'!C590))</f>
        <v/>
      </c>
      <c r="D590" s="25">
        <f>IF(OR($A590="",'04 Prices'!D590="",'04 Prices'!D591=""),"",LN('04 Prices'!D591/'04 Prices'!D590))</f>
        <v/>
      </c>
      <c r="E590" s="25">
        <f>IF(OR($A590="",'04 Prices'!E590="",'04 Prices'!E591=""),"",LN('04 Prices'!E591/'04 Prices'!E590))</f>
        <v/>
      </c>
      <c r="F590" s="25">
        <f>IF(OR($A590="",'04 Prices'!F590="",'04 Prices'!F591=""),"",LN('04 Prices'!F591/'04 Prices'!F590))</f>
        <v/>
      </c>
      <c r="G590" s="25">
        <f>IF(OR($A590="",'04 Prices'!G590="",'04 Prices'!G591=""),"",LN('04 Prices'!G591/'04 Prices'!G590))</f>
        <v/>
      </c>
      <c r="H590" s="25">
        <f>IF(OR($A590="",'04 Prices'!H590="",'04 Prices'!H591=""),"",LN('04 Prices'!H591/'04 Prices'!H590))</f>
        <v/>
      </c>
    </row>
    <row r="591">
      <c r="A591" s="23">
        <f>IF('04 Prices'!A592="","",'04 Prices'!A592)</f>
        <v/>
      </c>
      <c r="B591" s="25">
        <f>IF(OR($A591="",'04 Prices'!B591="",'04 Prices'!B592=""),"",LN('04 Prices'!B592/'04 Prices'!B591))</f>
        <v/>
      </c>
      <c r="C591" s="25">
        <f>IF(OR($A591="",'04 Prices'!C591="",'04 Prices'!C592=""),"",LN('04 Prices'!C592/'04 Prices'!C591))</f>
        <v/>
      </c>
      <c r="D591" s="25">
        <f>IF(OR($A591="",'04 Prices'!D591="",'04 Prices'!D592=""),"",LN('04 Prices'!D592/'04 Prices'!D591))</f>
        <v/>
      </c>
      <c r="E591" s="25">
        <f>IF(OR($A591="",'04 Prices'!E591="",'04 Prices'!E592=""),"",LN('04 Prices'!E592/'04 Prices'!E591))</f>
        <v/>
      </c>
      <c r="F591" s="25">
        <f>IF(OR($A591="",'04 Prices'!F591="",'04 Prices'!F592=""),"",LN('04 Prices'!F592/'04 Prices'!F591))</f>
        <v/>
      </c>
      <c r="G591" s="25">
        <f>IF(OR($A591="",'04 Prices'!G591="",'04 Prices'!G592=""),"",LN('04 Prices'!G592/'04 Prices'!G591))</f>
        <v/>
      </c>
      <c r="H591" s="25">
        <f>IF(OR($A591="",'04 Prices'!H591="",'04 Prices'!H592=""),"",LN('04 Prices'!H592/'04 Prices'!H591))</f>
        <v/>
      </c>
    </row>
    <row r="592">
      <c r="A592" s="23">
        <f>IF('04 Prices'!A593="","",'04 Prices'!A593)</f>
        <v/>
      </c>
      <c r="B592" s="25">
        <f>IF(OR($A592="",'04 Prices'!B592="",'04 Prices'!B593=""),"",LN('04 Prices'!B593/'04 Prices'!B592))</f>
        <v/>
      </c>
      <c r="C592" s="25">
        <f>IF(OR($A592="",'04 Prices'!C592="",'04 Prices'!C593=""),"",LN('04 Prices'!C593/'04 Prices'!C592))</f>
        <v/>
      </c>
      <c r="D592" s="25">
        <f>IF(OR($A592="",'04 Prices'!D592="",'04 Prices'!D593=""),"",LN('04 Prices'!D593/'04 Prices'!D592))</f>
        <v/>
      </c>
      <c r="E592" s="25">
        <f>IF(OR($A592="",'04 Prices'!E592="",'04 Prices'!E593=""),"",LN('04 Prices'!E593/'04 Prices'!E592))</f>
        <v/>
      </c>
      <c r="F592" s="25">
        <f>IF(OR($A592="",'04 Prices'!F592="",'04 Prices'!F593=""),"",LN('04 Prices'!F593/'04 Prices'!F592))</f>
        <v/>
      </c>
      <c r="G592" s="25">
        <f>IF(OR($A592="",'04 Prices'!G592="",'04 Prices'!G593=""),"",LN('04 Prices'!G593/'04 Prices'!G592))</f>
        <v/>
      </c>
      <c r="H592" s="25">
        <f>IF(OR($A592="",'04 Prices'!H592="",'04 Prices'!H593=""),"",LN('04 Prices'!H593/'04 Prices'!H592))</f>
        <v/>
      </c>
    </row>
    <row r="593">
      <c r="A593" s="23">
        <f>IF('04 Prices'!A594="","",'04 Prices'!A594)</f>
        <v/>
      </c>
      <c r="B593" s="25">
        <f>IF(OR($A593="",'04 Prices'!B593="",'04 Prices'!B594=""),"",LN('04 Prices'!B594/'04 Prices'!B593))</f>
        <v/>
      </c>
      <c r="C593" s="25">
        <f>IF(OR($A593="",'04 Prices'!C593="",'04 Prices'!C594=""),"",LN('04 Prices'!C594/'04 Prices'!C593))</f>
        <v/>
      </c>
      <c r="D593" s="25">
        <f>IF(OR($A593="",'04 Prices'!D593="",'04 Prices'!D594=""),"",LN('04 Prices'!D594/'04 Prices'!D593))</f>
        <v/>
      </c>
      <c r="E593" s="25">
        <f>IF(OR($A593="",'04 Prices'!E593="",'04 Prices'!E594=""),"",LN('04 Prices'!E594/'04 Prices'!E593))</f>
        <v/>
      </c>
      <c r="F593" s="25">
        <f>IF(OR($A593="",'04 Prices'!F593="",'04 Prices'!F594=""),"",LN('04 Prices'!F594/'04 Prices'!F593))</f>
        <v/>
      </c>
      <c r="G593" s="25">
        <f>IF(OR($A593="",'04 Prices'!G593="",'04 Prices'!G594=""),"",LN('04 Prices'!G594/'04 Prices'!G593))</f>
        <v/>
      </c>
      <c r="H593" s="25">
        <f>IF(OR($A593="",'04 Prices'!H593="",'04 Prices'!H594=""),"",LN('04 Prices'!H594/'04 Prices'!H593))</f>
        <v/>
      </c>
    </row>
    <row r="594">
      <c r="A594" s="23">
        <f>IF('04 Prices'!A595="","",'04 Prices'!A595)</f>
        <v/>
      </c>
      <c r="B594" s="25">
        <f>IF(OR($A594="",'04 Prices'!B594="",'04 Prices'!B595=""),"",LN('04 Prices'!B595/'04 Prices'!B594))</f>
        <v/>
      </c>
      <c r="C594" s="25">
        <f>IF(OR($A594="",'04 Prices'!C594="",'04 Prices'!C595=""),"",LN('04 Prices'!C595/'04 Prices'!C594))</f>
        <v/>
      </c>
      <c r="D594" s="25">
        <f>IF(OR($A594="",'04 Prices'!D594="",'04 Prices'!D595=""),"",LN('04 Prices'!D595/'04 Prices'!D594))</f>
        <v/>
      </c>
      <c r="E594" s="25">
        <f>IF(OR($A594="",'04 Prices'!E594="",'04 Prices'!E595=""),"",LN('04 Prices'!E595/'04 Prices'!E594))</f>
        <v/>
      </c>
      <c r="F594" s="25">
        <f>IF(OR($A594="",'04 Prices'!F594="",'04 Prices'!F595=""),"",LN('04 Prices'!F595/'04 Prices'!F594))</f>
        <v/>
      </c>
      <c r="G594" s="25">
        <f>IF(OR($A594="",'04 Prices'!G594="",'04 Prices'!G595=""),"",LN('04 Prices'!G595/'04 Prices'!G594))</f>
        <v/>
      </c>
      <c r="H594" s="25">
        <f>IF(OR($A594="",'04 Prices'!H594="",'04 Prices'!H595=""),"",LN('04 Prices'!H595/'04 Prices'!H594))</f>
        <v/>
      </c>
    </row>
    <row r="595">
      <c r="A595" s="23">
        <f>IF('04 Prices'!A596="","",'04 Prices'!A596)</f>
        <v/>
      </c>
      <c r="B595" s="25">
        <f>IF(OR($A595="",'04 Prices'!B595="",'04 Prices'!B596=""),"",LN('04 Prices'!B596/'04 Prices'!B595))</f>
        <v/>
      </c>
      <c r="C595" s="25">
        <f>IF(OR($A595="",'04 Prices'!C595="",'04 Prices'!C596=""),"",LN('04 Prices'!C596/'04 Prices'!C595))</f>
        <v/>
      </c>
      <c r="D595" s="25">
        <f>IF(OR($A595="",'04 Prices'!D595="",'04 Prices'!D596=""),"",LN('04 Prices'!D596/'04 Prices'!D595))</f>
        <v/>
      </c>
      <c r="E595" s="25">
        <f>IF(OR($A595="",'04 Prices'!E595="",'04 Prices'!E596=""),"",LN('04 Prices'!E596/'04 Prices'!E595))</f>
        <v/>
      </c>
      <c r="F595" s="25">
        <f>IF(OR($A595="",'04 Prices'!F595="",'04 Prices'!F596=""),"",LN('04 Prices'!F596/'04 Prices'!F595))</f>
        <v/>
      </c>
      <c r="G595" s="25">
        <f>IF(OR($A595="",'04 Prices'!G595="",'04 Prices'!G596=""),"",LN('04 Prices'!G596/'04 Prices'!G595))</f>
        <v/>
      </c>
      <c r="H595" s="25">
        <f>IF(OR($A595="",'04 Prices'!H595="",'04 Prices'!H596=""),"",LN('04 Prices'!H596/'04 Prices'!H595))</f>
        <v/>
      </c>
    </row>
    <row r="596">
      <c r="A596" s="23">
        <f>IF('04 Prices'!A597="","",'04 Prices'!A597)</f>
        <v/>
      </c>
      <c r="B596" s="25">
        <f>IF(OR($A596="",'04 Prices'!B596="",'04 Prices'!B597=""),"",LN('04 Prices'!B597/'04 Prices'!B596))</f>
        <v/>
      </c>
      <c r="C596" s="25">
        <f>IF(OR($A596="",'04 Prices'!C596="",'04 Prices'!C597=""),"",LN('04 Prices'!C597/'04 Prices'!C596))</f>
        <v/>
      </c>
      <c r="D596" s="25">
        <f>IF(OR($A596="",'04 Prices'!D596="",'04 Prices'!D597=""),"",LN('04 Prices'!D597/'04 Prices'!D596))</f>
        <v/>
      </c>
      <c r="E596" s="25">
        <f>IF(OR($A596="",'04 Prices'!E596="",'04 Prices'!E597=""),"",LN('04 Prices'!E597/'04 Prices'!E596))</f>
        <v/>
      </c>
      <c r="F596" s="25">
        <f>IF(OR($A596="",'04 Prices'!F596="",'04 Prices'!F597=""),"",LN('04 Prices'!F597/'04 Prices'!F596))</f>
        <v/>
      </c>
      <c r="G596" s="25">
        <f>IF(OR($A596="",'04 Prices'!G596="",'04 Prices'!G597=""),"",LN('04 Prices'!G597/'04 Prices'!G596))</f>
        <v/>
      </c>
      <c r="H596" s="25">
        <f>IF(OR($A596="",'04 Prices'!H596="",'04 Prices'!H597=""),"",LN('04 Prices'!H597/'04 Prices'!H596))</f>
        <v/>
      </c>
    </row>
    <row r="597">
      <c r="A597" s="23">
        <f>IF('04 Prices'!A598="","",'04 Prices'!A598)</f>
        <v/>
      </c>
      <c r="B597" s="25">
        <f>IF(OR($A597="",'04 Prices'!B597="",'04 Prices'!B598=""),"",LN('04 Prices'!B598/'04 Prices'!B597))</f>
        <v/>
      </c>
      <c r="C597" s="25">
        <f>IF(OR($A597="",'04 Prices'!C597="",'04 Prices'!C598=""),"",LN('04 Prices'!C598/'04 Prices'!C597))</f>
        <v/>
      </c>
      <c r="D597" s="25">
        <f>IF(OR($A597="",'04 Prices'!D597="",'04 Prices'!D598=""),"",LN('04 Prices'!D598/'04 Prices'!D597))</f>
        <v/>
      </c>
      <c r="E597" s="25">
        <f>IF(OR($A597="",'04 Prices'!E597="",'04 Prices'!E598=""),"",LN('04 Prices'!E598/'04 Prices'!E597))</f>
        <v/>
      </c>
      <c r="F597" s="25">
        <f>IF(OR($A597="",'04 Prices'!F597="",'04 Prices'!F598=""),"",LN('04 Prices'!F598/'04 Prices'!F597))</f>
        <v/>
      </c>
      <c r="G597" s="25">
        <f>IF(OR($A597="",'04 Prices'!G597="",'04 Prices'!G598=""),"",LN('04 Prices'!G598/'04 Prices'!G597))</f>
        <v/>
      </c>
      <c r="H597" s="25">
        <f>IF(OR($A597="",'04 Prices'!H597="",'04 Prices'!H598=""),"",LN('04 Prices'!H598/'04 Prices'!H597))</f>
        <v/>
      </c>
    </row>
    <row r="598">
      <c r="A598" s="23">
        <f>IF('04 Prices'!A599="","",'04 Prices'!A599)</f>
        <v/>
      </c>
      <c r="B598" s="25">
        <f>IF(OR($A598="",'04 Prices'!B598="",'04 Prices'!B599=""),"",LN('04 Prices'!B599/'04 Prices'!B598))</f>
        <v/>
      </c>
      <c r="C598" s="25">
        <f>IF(OR($A598="",'04 Prices'!C598="",'04 Prices'!C599=""),"",LN('04 Prices'!C599/'04 Prices'!C598))</f>
        <v/>
      </c>
      <c r="D598" s="25">
        <f>IF(OR($A598="",'04 Prices'!D598="",'04 Prices'!D599=""),"",LN('04 Prices'!D599/'04 Prices'!D598))</f>
        <v/>
      </c>
      <c r="E598" s="25">
        <f>IF(OR($A598="",'04 Prices'!E598="",'04 Prices'!E599=""),"",LN('04 Prices'!E599/'04 Prices'!E598))</f>
        <v/>
      </c>
      <c r="F598" s="25">
        <f>IF(OR($A598="",'04 Prices'!F598="",'04 Prices'!F599=""),"",LN('04 Prices'!F599/'04 Prices'!F598))</f>
        <v/>
      </c>
      <c r="G598" s="25">
        <f>IF(OR($A598="",'04 Prices'!G598="",'04 Prices'!G599=""),"",LN('04 Prices'!G599/'04 Prices'!G598))</f>
        <v/>
      </c>
      <c r="H598" s="25">
        <f>IF(OR($A598="",'04 Prices'!H598="",'04 Prices'!H599=""),"",LN('04 Prices'!H599/'04 Prices'!H598))</f>
        <v/>
      </c>
    </row>
    <row r="599">
      <c r="A599" s="23">
        <f>IF('04 Prices'!A600="","",'04 Prices'!A600)</f>
        <v/>
      </c>
      <c r="B599" s="25">
        <f>IF(OR($A599="",'04 Prices'!B599="",'04 Prices'!B600=""),"",LN('04 Prices'!B600/'04 Prices'!B599))</f>
        <v/>
      </c>
      <c r="C599" s="25">
        <f>IF(OR($A599="",'04 Prices'!C599="",'04 Prices'!C600=""),"",LN('04 Prices'!C600/'04 Prices'!C599))</f>
        <v/>
      </c>
      <c r="D599" s="25">
        <f>IF(OR($A599="",'04 Prices'!D599="",'04 Prices'!D600=""),"",LN('04 Prices'!D600/'04 Prices'!D599))</f>
        <v/>
      </c>
      <c r="E599" s="25">
        <f>IF(OR($A599="",'04 Prices'!E599="",'04 Prices'!E600=""),"",LN('04 Prices'!E600/'04 Prices'!E599))</f>
        <v/>
      </c>
      <c r="F599" s="25">
        <f>IF(OR($A599="",'04 Prices'!F599="",'04 Prices'!F600=""),"",LN('04 Prices'!F600/'04 Prices'!F599))</f>
        <v/>
      </c>
      <c r="G599" s="25">
        <f>IF(OR($A599="",'04 Prices'!G599="",'04 Prices'!G600=""),"",LN('04 Prices'!G600/'04 Prices'!G599))</f>
        <v/>
      </c>
      <c r="H599" s="25">
        <f>IF(OR($A599="",'04 Prices'!H599="",'04 Prices'!H600=""),"",LN('04 Prices'!H600/'04 Prices'!H599))</f>
        <v/>
      </c>
    </row>
    <row r="600">
      <c r="A600" s="23">
        <f>IF('04 Prices'!A601="","",'04 Prices'!A601)</f>
        <v/>
      </c>
      <c r="B600" s="25">
        <f>IF(OR($A600="",'04 Prices'!B600="",'04 Prices'!B601=""),"",LN('04 Prices'!B601/'04 Prices'!B600))</f>
        <v/>
      </c>
      <c r="C600" s="25">
        <f>IF(OR($A600="",'04 Prices'!C600="",'04 Prices'!C601=""),"",LN('04 Prices'!C601/'04 Prices'!C600))</f>
        <v/>
      </c>
      <c r="D600" s="25">
        <f>IF(OR($A600="",'04 Prices'!D600="",'04 Prices'!D601=""),"",LN('04 Prices'!D601/'04 Prices'!D600))</f>
        <v/>
      </c>
      <c r="E600" s="25">
        <f>IF(OR($A600="",'04 Prices'!E600="",'04 Prices'!E601=""),"",LN('04 Prices'!E601/'04 Prices'!E600))</f>
        <v/>
      </c>
      <c r="F600" s="25">
        <f>IF(OR($A600="",'04 Prices'!F600="",'04 Prices'!F601=""),"",LN('04 Prices'!F601/'04 Prices'!F600))</f>
        <v/>
      </c>
      <c r="G600" s="25">
        <f>IF(OR($A600="",'04 Prices'!G600="",'04 Prices'!G601=""),"",LN('04 Prices'!G601/'04 Prices'!G600))</f>
        <v/>
      </c>
      <c r="H600" s="25">
        <f>IF(OR($A600="",'04 Prices'!H600="",'04 Prices'!H601=""),"",LN('04 Prices'!H601/'04 Prices'!H600))</f>
        <v/>
      </c>
    </row>
    <row r="601">
      <c r="A601" s="23">
        <f>IF('04 Prices'!A602="","",'04 Prices'!A602)</f>
        <v/>
      </c>
      <c r="B601" s="25">
        <f>IF(OR($A601="",'04 Prices'!B601="",'04 Prices'!B602=""),"",LN('04 Prices'!B602/'04 Prices'!B601))</f>
        <v/>
      </c>
      <c r="C601" s="25">
        <f>IF(OR($A601="",'04 Prices'!C601="",'04 Prices'!C602=""),"",LN('04 Prices'!C602/'04 Prices'!C601))</f>
        <v/>
      </c>
      <c r="D601" s="25">
        <f>IF(OR($A601="",'04 Prices'!D601="",'04 Prices'!D602=""),"",LN('04 Prices'!D602/'04 Prices'!D601))</f>
        <v/>
      </c>
      <c r="E601" s="25">
        <f>IF(OR($A601="",'04 Prices'!E601="",'04 Prices'!E602=""),"",LN('04 Prices'!E602/'04 Prices'!E601))</f>
        <v/>
      </c>
      <c r="F601" s="25">
        <f>IF(OR($A601="",'04 Prices'!F601="",'04 Prices'!F602=""),"",LN('04 Prices'!F602/'04 Prices'!F601))</f>
        <v/>
      </c>
      <c r="G601" s="25">
        <f>IF(OR($A601="",'04 Prices'!G601="",'04 Prices'!G602=""),"",LN('04 Prices'!G602/'04 Prices'!G601))</f>
        <v/>
      </c>
      <c r="H601" s="25">
        <f>IF(OR($A601="",'04 Prices'!H601="",'04 Prices'!H602=""),"",LN('04 Prices'!H602/'04 Prices'!H601))</f>
        <v/>
      </c>
    </row>
    <row r="602">
      <c r="A602" s="23">
        <f>IF('04 Prices'!A603="","",'04 Prices'!A603)</f>
        <v/>
      </c>
      <c r="B602" s="25">
        <f>IF(OR($A602="",'04 Prices'!B602="",'04 Prices'!B603=""),"",LN('04 Prices'!B603/'04 Prices'!B602))</f>
        <v/>
      </c>
      <c r="C602" s="25">
        <f>IF(OR($A602="",'04 Prices'!C602="",'04 Prices'!C603=""),"",LN('04 Prices'!C603/'04 Prices'!C602))</f>
        <v/>
      </c>
      <c r="D602" s="25">
        <f>IF(OR($A602="",'04 Prices'!D602="",'04 Prices'!D603=""),"",LN('04 Prices'!D603/'04 Prices'!D602))</f>
        <v/>
      </c>
      <c r="E602" s="25">
        <f>IF(OR($A602="",'04 Prices'!E602="",'04 Prices'!E603=""),"",LN('04 Prices'!E603/'04 Prices'!E602))</f>
        <v/>
      </c>
      <c r="F602" s="25">
        <f>IF(OR($A602="",'04 Prices'!F602="",'04 Prices'!F603=""),"",LN('04 Prices'!F603/'04 Prices'!F602))</f>
        <v/>
      </c>
      <c r="G602" s="25">
        <f>IF(OR($A602="",'04 Prices'!G602="",'04 Prices'!G603=""),"",LN('04 Prices'!G603/'04 Prices'!G602))</f>
        <v/>
      </c>
      <c r="H602" s="25">
        <f>IF(OR($A602="",'04 Prices'!H602="",'04 Prices'!H603=""),"",LN('04 Prices'!H603/'04 Prices'!H602))</f>
        <v/>
      </c>
    </row>
    <row r="603">
      <c r="A603" s="23">
        <f>IF('04 Prices'!A604="","",'04 Prices'!A604)</f>
        <v/>
      </c>
      <c r="B603" s="25">
        <f>IF(OR($A603="",'04 Prices'!B603="",'04 Prices'!B604=""),"",LN('04 Prices'!B604/'04 Prices'!B603))</f>
        <v/>
      </c>
      <c r="C603" s="25">
        <f>IF(OR($A603="",'04 Prices'!C603="",'04 Prices'!C604=""),"",LN('04 Prices'!C604/'04 Prices'!C603))</f>
        <v/>
      </c>
      <c r="D603" s="25">
        <f>IF(OR($A603="",'04 Prices'!D603="",'04 Prices'!D604=""),"",LN('04 Prices'!D604/'04 Prices'!D603))</f>
        <v/>
      </c>
      <c r="E603" s="25">
        <f>IF(OR($A603="",'04 Prices'!E603="",'04 Prices'!E604=""),"",LN('04 Prices'!E604/'04 Prices'!E603))</f>
        <v/>
      </c>
      <c r="F603" s="25">
        <f>IF(OR($A603="",'04 Prices'!F603="",'04 Prices'!F604=""),"",LN('04 Prices'!F604/'04 Prices'!F603))</f>
        <v/>
      </c>
      <c r="G603" s="25">
        <f>IF(OR($A603="",'04 Prices'!G603="",'04 Prices'!G604=""),"",LN('04 Prices'!G604/'04 Prices'!G603))</f>
        <v/>
      </c>
      <c r="H603" s="25">
        <f>IF(OR($A603="",'04 Prices'!H603="",'04 Prices'!H604=""),"",LN('04 Prices'!H604/'04 Prices'!H603))</f>
        <v/>
      </c>
    </row>
    <row r="604">
      <c r="A604" s="23">
        <f>IF('04 Prices'!A605="","",'04 Prices'!A605)</f>
        <v/>
      </c>
      <c r="B604" s="25">
        <f>IF(OR($A604="",'04 Prices'!B604="",'04 Prices'!B605=""),"",LN('04 Prices'!B605/'04 Prices'!B604))</f>
        <v/>
      </c>
      <c r="C604" s="25">
        <f>IF(OR($A604="",'04 Prices'!C604="",'04 Prices'!C605=""),"",LN('04 Prices'!C605/'04 Prices'!C604))</f>
        <v/>
      </c>
      <c r="D604" s="25">
        <f>IF(OR($A604="",'04 Prices'!D604="",'04 Prices'!D605=""),"",LN('04 Prices'!D605/'04 Prices'!D604))</f>
        <v/>
      </c>
      <c r="E604" s="25">
        <f>IF(OR($A604="",'04 Prices'!E604="",'04 Prices'!E605=""),"",LN('04 Prices'!E605/'04 Prices'!E604))</f>
        <v/>
      </c>
      <c r="F604" s="25">
        <f>IF(OR($A604="",'04 Prices'!F604="",'04 Prices'!F605=""),"",LN('04 Prices'!F605/'04 Prices'!F604))</f>
        <v/>
      </c>
      <c r="G604" s="25">
        <f>IF(OR($A604="",'04 Prices'!G604="",'04 Prices'!G605=""),"",LN('04 Prices'!G605/'04 Prices'!G604))</f>
        <v/>
      </c>
      <c r="H604" s="25">
        <f>IF(OR($A604="",'04 Prices'!H604="",'04 Prices'!H605=""),"",LN('04 Prices'!H605/'04 Prices'!H604))</f>
        <v/>
      </c>
    </row>
    <row r="605">
      <c r="A605" s="23">
        <f>IF('04 Prices'!A606="","",'04 Prices'!A606)</f>
        <v/>
      </c>
      <c r="B605" s="25">
        <f>IF(OR($A605="",'04 Prices'!B605="",'04 Prices'!B606=""),"",LN('04 Prices'!B606/'04 Prices'!B605))</f>
        <v/>
      </c>
      <c r="C605" s="25">
        <f>IF(OR($A605="",'04 Prices'!C605="",'04 Prices'!C606=""),"",LN('04 Prices'!C606/'04 Prices'!C605))</f>
        <v/>
      </c>
      <c r="D605" s="25">
        <f>IF(OR($A605="",'04 Prices'!D605="",'04 Prices'!D606=""),"",LN('04 Prices'!D606/'04 Prices'!D605))</f>
        <v/>
      </c>
      <c r="E605" s="25">
        <f>IF(OR($A605="",'04 Prices'!E605="",'04 Prices'!E606=""),"",LN('04 Prices'!E606/'04 Prices'!E605))</f>
        <v/>
      </c>
      <c r="F605" s="25">
        <f>IF(OR($A605="",'04 Prices'!F605="",'04 Prices'!F606=""),"",LN('04 Prices'!F606/'04 Prices'!F605))</f>
        <v/>
      </c>
      <c r="G605" s="25">
        <f>IF(OR($A605="",'04 Prices'!G605="",'04 Prices'!G606=""),"",LN('04 Prices'!G606/'04 Prices'!G605))</f>
        <v/>
      </c>
      <c r="H605" s="25">
        <f>IF(OR($A605="",'04 Prices'!H605="",'04 Prices'!H606=""),"",LN('04 Prices'!H606/'04 Prices'!H605))</f>
        <v/>
      </c>
    </row>
    <row r="606">
      <c r="A606" s="23">
        <f>IF('04 Prices'!A607="","",'04 Prices'!A607)</f>
        <v/>
      </c>
      <c r="B606" s="25">
        <f>IF(OR($A606="",'04 Prices'!B606="",'04 Prices'!B607=""),"",LN('04 Prices'!B607/'04 Prices'!B606))</f>
        <v/>
      </c>
      <c r="C606" s="25">
        <f>IF(OR($A606="",'04 Prices'!C606="",'04 Prices'!C607=""),"",LN('04 Prices'!C607/'04 Prices'!C606))</f>
        <v/>
      </c>
      <c r="D606" s="25">
        <f>IF(OR($A606="",'04 Prices'!D606="",'04 Prices'!D607=""),"",LN('04 Prices'!D607/'04 Prices'!D606))</f>
        <v/>
      </c>
      <c r="E606" s="25">
        <f>IF(OR($A606="",'04 Prices'!E606="",'04 Prices'!E607=""),"",LN('04 Prices'!E607/'04 Prices'!E606))</f>
        <v/>
      </c>
      <c r="F606" s="25">
        <f>IF(OR($A606="",'04 Prices'!F606="",'04 Prices'!F607=""),"",LN('04 Prices'!F607/'04 Prices'!F606))</f>
        <v/>
      </c>
      <c r="G606" s="25">
        <f>IF(OR($A606="",'04 Prices'!G606="",'04 Prices'!G607=""),"",LN('04 Prices'!G607/'04 Prices'!G606))</f>
        <v/>
      </c>
      <c r="H606" s="25">
        <f>IF(OR($A606="",'04 Prices'!H606="",'04 Prices'!H607=""),"",LN('04 Prices'!H607/'04 Prices'!H606))</f>
        <v/>
      </c>
    </row>
    <row r="607">
      <c r="A607" s="23">
        <f>IF('04 Prices'!A608="","",'04 Prices'!A608)</f>
        <v/>
      </c>
      <c r="B607" s="25">
        <f>IF(OR($A607="",'04 Prices'!B607="",'04 Prices'!B608=""),"",LN('04 Prices'!B608/'04 Prices'!B607))</f>
        <v/>
      </c>
      <c r="C607" s="25">
        <f>IF(OR($A607="",'04 Prices'!C607="",'04 Prices'!C608=""),"",LN('04 Prices'!C608/'04 Prices'!C607))</f>
        <v/>
      </c>
      <c r="D607" s="25">
        <f>IF(OR($A607="",'04 Prices'!D607="",'04 Prices'!D608=""),"",LN('04 Prices'!D608/'04 Prices'!D607))</f>
        <v/>
      </c>
      <c r="E607" s="25">
        <f>IF(OR($A607="",'04 Prices'!E607="",'04 Prices'!E608=""),"",LN('04 Prices'!E608/'04 Prices'!E607))</f>
        <v/>
      </c>
      <c r="F607" s="25">
        <f>IF(OR($A607="",'04 Prices'!F607="",'04 Prices'!F608=""),"",LN('04 Prices'!F608/'04 Prices'!F607))</f>
        <v/>
      </c>
      <c r="G607" s="25">
        <f>IF(OR($A607="",'04 Prices'!G607="",'04 Prices'!G608=""),"",LN('04 Prices'!G608/'04 Prices'!G607))</f>
        <v/>
      </c>
      <c r="H607" s="25">
        <f>IF(OR($A607="",'04 Prices'!H607="",'04 Prices'!H608=""),"",LN('04 Prices'!H608/'04 Prices'!H607))</f>
        <v/>
      </c>
    </row>
    <row r="608">
      <c r="A608" s="23">
        <f>IF('04 Prices'!A609="","",'04 Prices'!A609)</f>
        <v/>
      </c>
      <c r="B608" s="25">
        <f>IF(OR($A608="",'04 Prices'!B608="",'04 Prices'!B609=""),"",LN('04 Prices'!B609/'04 Prices'!B608))</f>
        <v/>
      </c>
      <c r="C608" s="25">
        <f>IF(OR($A608="",'04 Prices'!C608="",'04 Prices'!C609=""),"",LN('04 Prices'!C609/'04 Prices'!C608))</f>
        <v/>
      </c>
      <c r="D608" s="25">
        <f>IF(OR($A608="",'04 Prices'!D608="",'04 Prices'!D609=""),"",LN('04 Prices'!D609/'04 Prices'!D608))</f>
        <v/>
      </c>
      <c r="E608" s="25">
        <f>IF(OR($A608="",'04 Prices'!E608="",'04 Prices'!E609=""),"",LN('04 Prices'!E609/'04 Prices'!E608))</f>
        <v/>
      </c>
      <c r="F608" s="25">
        <f>IF(OR($A608="",'04 Prices'!F608="",'04 Prices'!F609=""),"",LN('04 Prices'!F609/'04 Prices'!F608))</f>
        <v/>
      </c>
      <c r="G608" s="25">
        <f>IF(OR($A608="",'04 Prices'!G608="",'04 Prices'!G609=""),"",LN('04 Prices'!G609/'04 Prices'!G608))</f>
        <v/>
      </c>
      <c r="H608" s="25">
        <f>IF(OR($A608="",'04 Prices'!H608="",'04 Prices'!H609=""),"",LN('04 Prices'!H609/'04 Prices'!H608))</f>
        <v/>
      </c>
    </row>
    <row r="609">
      <c r="A609" s="23">
        <f>IF('04 Prices'!A610="","",'04 Prices'!A610)</f>
        <v/>
      </c>
      <c r="B609" s="25">
        <f>IF(OR($A609="",'04 Prices'!B609="",'04 Prices'!B610=""),"",LN('04 Prices'!B610/'04 Prices'!B609))</f>
        <v/>
      </c>
      <c r="C609" s="25">
        <f>IF(OR($A609="",'04 Prices'!C609="",'04 Prices'!C610=""),"",LN('04 Prices'!C610/'04 Prices'!C609))</f>
        <v/>
      </c>
      <c r="D609" s="25">
        <f>IF(OR($A609="",'04 Prices'!D609="",'04 Prices'!D610=""),"",LN('04 Prices'!D610/'04 Prices'!D609))</f>
        <v/>
      </c>
      <c r="E609" s="25">
        <f>IF(OR($A609="",'04 Prices'!E609="",'04 Prices'!E610=""),"",LN('04 Prices'!E610/'04 Prices'!E609))</f>
        <v/>
      </c>
      <c r="F609" s="25">
        <f>IF(OR($A609="",'04 Prices'!F609="",'04 Prices'!F610=""),"",LN('04 Prices'!F610/'04 Prices'!F609))</f>
        <v/>
      </c>
      <c r="G609" s="25">
        <f>IF(OR($A609="",'04 Prices'!G609="",'04 Prices'!G610=""),"",LN('04 Prices'!G610/'04 Prices'!G609))</f>
        <v/>
      </c>
      <c r="H609" s="25">
        <f>IF(OR($A609="",'04 Prices'!H609="",'04 Prices'!H610=""),"",LN('04 Prices'!H610/'04 Prices'!H609))</f>
        <v/>
      </c>
    </row>
    <row r="610">
      <c r="A610" s="23">
        <f>IF('04 Prices'!A611="","",'04 Prices'!A611)</f>
        <v/>
      </c>
      <c r="B610" s="25">
        <f>IF(OR($A610="",'04 Prices'!B610="",'04 Prices'!B611=""),"",LN('04 Prices'!B611/'04 Prices'!B610))</f>
        <v/>
      </c>
      <c r="C610" s="25">
        <f>IF(OR($A610="",'04 Prices'!C610="",'04 Prices'!C611=""),"",LN('04 Prices'!C611/'04 Prices'!C610))</f>
        <v/>
      </c>
      <c r="D610" s="25">
        <f>IF(OR($A610="",'04 Prices'!D610="",'04 Prices'!D611=""),"",LN('04 Prices'!D611/'04 Prices'!D610))</f>
        <v/>
      </c>
      <c r="E610" s="25">
        <f>IF(OR($A610="",'04 Prices'!E610="",'04 Prices'!E611=""),"",LN('04 Prices'!E611/'04 Prices'!E610))</f>
        <v/>
      </c>
      <c r="F610" s="25">
        <f>IF(OR($A610="",'04 Prices'!F610="",'04 Prices'!F611=""),"",LN('04 Prices'!F611/'04 Prices'!F610))</f>
        <v/>
      </c>
      <c r="G610" s="25">
        <f>IF(OR($A610="",'04 Prices'!G610="",'04 Prices'!G611=""),"",LN('04 Prices'!G611/'04 Prices'!G610))</f>
        <v/>
      </c>
      <c r="H610" s="25">
        <f>IF(OR($A610="",'04 Prices'!H610="",'04 Prices'!H611=""),"",LN('04 Prices'!H611/'04 Prices'!H610))</f>
        <v/>
      </c>
    </row>
    <row r="611">
      <c r="A611" s="23">
        <f>IF('04 Prices'!A612="","",'04 Prices'!A612)</f>
        <v/>
      </c>
      <c r="B611" s="25">
        <f>IF(OR($A611="",'04 Prices'!B611="",'04 Prices'!B612=""),"",LN('04 Prices'!B612/'04 Prices'!B611))</f>
        <v/>
      </c>
      <c r="C611" s="25">
        <f>IF(OR($A611="",'04 Prices'!C611="",'04 Prices'!C612=""),"",LN('04 Prices'!C612/'04 Prices'!C611))</f>
        <v/>
      </c>
      <c r="D611" s="25">
        <f>IF(OR($A611="",'04 Prices'!D611="",'04 Prices'!D612=""),"",LN('04 Prices'!D612/'04 Prices'!D611))</f>
        <v/>
      </c>
      <c r="E611" s="25">
        <f>IF(OR($A611="",'04 Prices'!E611="",'04 Prices'!E612=""),"",LN('04 Prices'!E612/'04 Prices'!E611))</f>
        <v/>
      </c>
      <c r="F611" s="25">
        <f>IF(OR($A611="",'04 Prices'!F611="",'04 Prices'!F612=""),"",LN('04 Prices'!F612/'04 Prices'!F611))</f>
        <v/>
      </c>
      <c r="G611" s="25">
        <f>IF(OR($A611="",'04 Prices'!G611="",'04 Prices'!G612=""),"",LN('04 Prices'!G612/'04 Prices'!G611))</f>
        <v/>
      </c>
      <c r="H611" s="25">
        <f>IF(OR($A611="",'04 Prices'!H611="",'04 Prices'!H612=""),"",LN('04 Prices'!H612/'04 Prices'!H611))</f>
        <v/>
      </c>
    </row>
    <row r="612">
      <c r="A612" s="23">
        <f>IF('04 Prices'!A613="","",'04 Prices'!A613)</f>
        <v/>
      </c>
      <c r="B612" s="25">
        <f>IF(OR($A612="",'04 Prices'!B612="",'04 Prices'!B613=""),"",LN('04 Prices'!B613/'04 Prices'!B612))</f>
        <v/>
      </c>
      <c r="C612" s="25">
        <f>IF(OR($A612="",'04 Prices'!C612="",'04 Prices'!C613=""),"",LN('04 Prices'!C613/'04 Prices'!C612))</f>
        <v/>
      </c>
      <c r="D612" s="25">
        <f>IF(OR($A612="",'04 Prices'!D612="",'04 Prices'!D613=""),"",LN('04 Prices'!D613/'04 Prices'!D612))</f>
        <v/>
      </c>
      <c r="E612" s="25">
        <f>IF(OR($A612="",'04 Prices'!E612="",'04 Prices'!E613=""),"",LN('04 Prices'!E613/'04 Prices'!E612))</f>
        <v/>
      </c>
      <c r="F612" s="25">
        <f>IF(OR($A612="",'04 Prices'!F612="",'04 Prices'!F613=""),"",LN('04 Prices'!F613/'04 Prices'!F612))</f>
        <v/>
      </c>
      <c r="G612" s="25">
        <f>IF(OR($A612="",'04 Prices'!G612="",'04 Prices'!G613=""),"",LN('04 Prices'!G613/'04 Prices'!G612))</f>
        <v/>
      </c>
      <c r="H612" s="25">
        <f>IF(OR($A612="",'04 Prices'!H612="",'04 Prices'!H613=""),"",LN('04 Prices'!H613/'04 Prices'!H612))</f>
        <v/>
      </c>
    </row>
    <row r="613">
      <c r="A613" s="23">
        <f>IF('04 Prices'!A614="","",'04 Prices'!A614)</f>
        <v/>
      </c>
      <c r="B613" s="25">
        <f>IF(OR($A613="",'04 Prices'!B613="",'04 Prices'!B614=""),"",LN('04 Prices'!B614/'04 Prices'!B613))</f>
        <v/>
      </c>
      <c r="C613" s="25">
        <f>IF(OR($A613="",'04 Prices'!C613="",'04 Prices'!C614=""),"",LN('04 Prices'!C614/'04 Prices'!C613))</f>
        <v/>
      </c>
      <c r="D613" s="25">
        <f>IF(OR($A613="",'04 Prices'!D613="",'04 Prices'!D614=""),"",LN('04 Prices'!D614/'04 Prices'!D613))</f>
        <v/>
      </c>
      <c r="E613" s="25">
        <f>IF(OR($A613="",'04 Prices'!E613="",'04 Prices'!E614=""),"",LN('04 Prices'!E614/'04 Prices'!E613))</f>
        <v/>
      </c>
      <c r="F613" s="25">
        <f>IF(OR($A613="",'04 Prices'!F613="",'04 Prices'!F614=""),"",LN('04 Prices'!F614/'04 Prices'!F613))</f>
        <v/>
      </c>
      <c r="G613" s="25">
        <f>IF(OR($A613="",'04 Prices'!G613="",'04 Prices'!G614=""),"",LN('04 Prices'!G614/'04 Prices'!G613))</f>
        <v/>
      </c>
      <c r="H613" s="25">
        <f>IF(OR($A613="",'04 Prices'!H613="",'04 Prices'!H614=""),"",LN('04 Prices'!H614/'04 Prices'!H613))</f>
        <v/>
      </c>
    </row>
    <row r="614">
      <c r="A614" s="23">
        <f>IF('04 Prices'!A615="","",'04 Prices'!A615)</f>
        <v/>
      </c>
      <c r="B614" s="25">
        <f>IF(OR($A614="",'04 Prices'!B614="",'04 Prices'!B615=""),"",LN('04 Prices'!B615/'04 Prices'!B614))</f>
        <v/>
      </c>
      <c r="C614" s="25">
        <f>IF(OR($A614="",'04 Prices'!C614="",'04 Prices'!C615=""),"",LN('04 Prices'!C615/'04 Prices'!C614))</f>
        <v/>
      </c>
      <c r="D614" s="25">
        <f>IF(OR($A614="",'04 Prices'!D614="",'04 Prices'!D615=""),"",LN('04 Prices'!D615/'04 Prices'!D614))</f>
        <v/>
      </c>
      <c r="E614" s="25">
        <f>IF(OR($A614="",'04 Prices'!E614="",'04 Prices'!E615=""),"",LN('04 Prices'!E615/'04 Prices'!E614))</f>
        <v/>
      </c>
      <c r="F614" s="25">
        <f>IF(OR($A614="",'04 Prices'!F614="",'04 Prices'!F615=""),"",LN('04 Prices'!F615/'04 Prices'!F614))</f>
        <v/>
      </c>
      <c r="G614" s="25">
        <f>IF(OR($A614="",'04 Prices'!G614="",'04 Prices'!G615=""),"",LN('04 Prices'!G615/'04 Prices'!G614))</f>
        <v/>
      </c>
      <c r="H614" s="25">
        <f>IF(OR($A614="",'04 Prices'!H614="",'04 Prices'!H615=""),"",LN('04 Prices'!H615/'04 Prices'!H614))</f>
        <v/>
      </c>
    </row>
    <row r="615">
      <c r="A615" s="23">
        <f>IF('04 Prices'!A616="","",'04 Prices'!A616)</f>
        <v/>
      </c>
      <c r="B615" s="25">
        <f>IF(OR($A615="",'04 Prices'!B615="",'04 Prices'!B616=""),"",LN('04 Prices'!B616/'04 Prices'!B615))</f>
        <v/>
      </c>
      <c r="C615" s="25">
        <f>IF(OR($A615="",'04 Prices'!C615="",'04 Prices'!C616=""),"",LN('04 Prices'!C616/'04 Prices'!C615))</f>
        <v/>
      </c>
      <c r="D615" s="25">
        <f>IF(OR($A615="",'04 Prices'!D615="",'04 Prices'!D616=""),"",LN('04 Prices'!D616/'04 Prices'!D615))</f>
        <v/>
      </c>
      <c r="E615" s="25">
        <f>IF(OR($A615="",'04 Prices'!E615="",'04 Prices'!E616=""),"",LN('04 Prices'!E616/'04 Prices'!E615))</f>
        <v/>
      </c>
      <c r="F615" s="25">
        <f>IF(OR($A615="",'04 Prices'!F615="",'04 Prices'!F616=""),"",LN('04 Prices'!F616/'04 Prices'!F615))</f>
        <v/>
      </c>
      <c r="G615" s="25">
        <f>IF(OR($A615="",'04 Prices'!G615="",'04 Prices'!G616=""),"",LN('04 Prices'!G616/'04 Prices'!G615))</f>
        <v/>
      </c>
      <c r="H615" s="25">
        <f>IF(OR($A615="",'04 Prices'!H615="",'04 Prices'!H616=""),"",LN('04 Prices'!H616/'04 Prices'!H615))</f>
        <v/>
      </c>
    </row>
    <row r="616">
      <c r="A616" s="23">
        <f>IF('04 Prices'!A617="","",'04 Prices'!A617)</f>
        <v/>
      </c>
      <c r="B616" s="25">
        <f>IF(OR($A616="",'04 Prices'!B616="",'04 Prices'!B617=""),"",LN('04 Prices'!B617/'04 Prices'!B616))</f>
        <v/>
      </c>
      <c r="C616" s="25">
        <f>IF(OR($A616="",'04 Prices'!C616="",'04 Prices'!C617=""),"",LN('04 Prices'!C617/'04 Prices'!C616))</f>
        <v/>
      </c>
      <c r="D616" s="25">
        <f>IF(OR($A616="",'04 Prices'!D616="",'04 Prices'!D617=""),"",LN('04 Prices'!D617/'04 Prices'!D616))</f>
        <v/>
      </c>
      <c r="E616" s="25">
        <f>IF(OR($A616="",'04 Prices'!E616="",'04 Prices'!E617=""),"",LN('04 Prices'!E617/'04 Prices'!E616))</f>
        <v/>
      </c>
      <c r="F616" s="25">
        <f>IF(OR($A616="",'04 Prices'!F616="",'04 Prices'!F617=""),"",LN('04 Prices'!F617/'04 Prices'!F616))</f>
        <v/>
      </c>
      <c r="G616" s="25">
        <f>IF(OR($A616="",'04 Prices'!G616="",'04 Prices'!G617=""),"",LN('04 Prices'!G617/'04 Prices'!G616))</f>
        <v/>
      </c>
      <c r="H616" s="25">
        <f>IF(OR($A616="",'04 Prices'!H616="",'04 Prices'!H617=""),"",LN('04 Prices'!H617/'04 Prices'!H616))</f>
        <v/>
      </c>
    </row>
    <row r="617">
      <c r="A617" s="23">
        <f>IF('04 Prices'!A618="","",'04 Prices'!A618)</f>
        <v/>
      </c>
      <c r="B617" s="25">
        <f>IF(OR($A617="",'04 Prices'!B617="",'04 Prices'!B618=""),"",LN('04 Prices'!B618/'04 Prices'!B617))</f>
        <v/>
      </c>
      <c r="C617" s="25">
        <f>IF(OR($A617="",'04 Prices'!C617="",'04 Prices'!C618=""),"",LN('04 Prices'!C618/'04 Prices'!C617))</f>
        <v/>
      </c>
      <c r="D617" s="25">
        <f>IF(OR($A617="",'04 Prices'!D617="",'04 Prices'!D618=""),"",LN('04 Prices'!D618/'04 Prices'!D617))</f>
        <v/>
      </c>
      <c r="E617" s="25">
        <f>IF(OR($A617="",'04 Prices'!E617="",'04 Prices'!E618=""),"",LN('04 Prices'!E618/'04 Prices'!E617))</f>
        <v/>
      </c>
      <c r="F617" s="25">
        <f>IF(OR($A617="",'04 Prices'!F617="",'04 Prices'!F618=""),"",LN('04 Prices'!F618/'04 Prices'!F617))</f>
        <v/>
      </c>
      <c r="G617" s="25">
        <f>IF(OR($A617="",'04 Prices'!G617="",'04 Prices'!G618=""),"",LN('04 Prices'!G618/'04 Prices'!G617))</f>
        <v/>
      </c>
      <c r="H617" s="25">
        <f>IF(OR($A617="",'04 Prices'!H617="",'04 Prices'!H618=""),"",LN('04 Prices'!H618/'04 Prices'!H617))</f>
        <v/>
      </c>
    </row>
    <row r="618">
      <c r="A618" s="23">
        <f>IF('04 Prices'!A619="","",'04 Prices'!A619)</f>
        <v/>
      </c>
      <c r="B618" s="25">
        <f>IF(OR($A618="",'04 Prices'!B618="",'04 Prices'!B619=""),"",LN('04 Prices'!B619/'04 Prices'!B618))</f>
        <v/>
      </c>
      <c r="C618" s="25">
        <f>IF(OR($A618="",'04 Prices'!C618="",'04 Prices'!C619=""),"",LN('04 Prices'!C619/'04 Prices'!C618))</f>
        <v/>
      </c>
      <c r="D618" s="25">
        <f>IF(OR($A618="",'04 Prices'!D618="",'04 Prices'!D619=""),"",LN('04 Prices'!D619/'04 Prices'!D618))</f>
        <v/>
      </c>
      <c r="E618" s="25">
        <f>IF(OR($A618="",'04 Prices'!E618="",'04 Prices'!E619=""),"",LN('04 Prices'!E619/'04 Prices'!E618))</f>
        <v/>
      </c>
      <c r="F618" s="25">
        <f>IF(OR($A618="",'04 Prices'!F618="",'04 Prices'!F619=""),"",LN('04 Prices'!F619/'04 Prices'!F618))</f>
        <v/>
      </c>
      <c r="G618" s="25">
        <f>IF(OR($A618="",'04 Prices'!G618="",'04 Prices'!G619=""),"",LN('04 Prices'!G619/'04 Prices'!G618))</f>
        <v/>
      </c>
      <c r="H618" s="25">
        <f>IF(OR($A618="",'04 Prices'!H618="",'04 Prices'!H619=""),"",LN('04 Prices'!H619/'04 Prices'!H618))</f>
        <v/>
      </c>
    </row>
    <row r="619">
      <c r="A619" s="23">
        <f>IF('04 Prices'!A620="","",'04 Prices'!A620)</f>
        <v/>
      </c>
      <c r="B619" s="25">
        <f>IF(OR($A619="",'04 Prices'!B619="",'04 Prices'!B620=""),"",LN('04 Prices'!B620/'04 Prices'!B619))</f>
        <v/>
      </c>
      <c r="C619" s="25">
        <f>IF(OR($A619="",'04 Prices'!C619="",'04 Prices'!C620=""),"",LN('04 Prices'!C620/'04 Prices'!C619))</f>
        <v/>
      </c>
      <c r="D619" s="25">
        <f>IF(OR($A619="",'04 Prices'!D619="",'04 Prices'!D620=""),"",LN('04 Prices'!D620/'04 Prices'!D619))</f>
        <v/>
      </c>
      <c r="E619" s="25">
        <f>IF(OR($A619="",'04 Prices'!E619="",'04 Prices'!E620=""),"",LN('04 Prices'!E620/'04 Prices'!E619))</f>
        <v/>
      </c>
      <c r="F619" s="25">
        <f>IF(OR($A619="",'04 Prices'!F619="",'04 Prices'!F620=""),"",LN('04 Prices'!F620/'04 Prices'!F619))</f>
        <v/>
      </c>
      <c r="G619" s="25">
        <f>IF(OR($A619="",'04 Prices'!G619="",'04 Prices'!G620=""),"",LN('04 Prices'!G620/'04 Prices'!G619))</f>
        <v/>
      </c>
      <c r="H619" s="25">
        <f>IF(OR($A619="",'04 Prices'!H619="",'04 Prices'!H620=""),"",LN('04 Prices'!H620/'04 Prices'!H619))</f>
        <v/>
      </c>
    </row>
    <row r="620">
      <c r="A620" s="23">
        <f>IF('04 Prices'!A621="","",'04 Prices'!A621)</f>
        <v/>
      </c>
      <c r="B620" s="25">
        <f>IF(OR($A620="",'04 Prices'!B620="",'04 Prices'!B621=""),"",LN('04 Prices'!B621/'04 Prices'!B620))</f>
        <v/>
      </c>
      <c r="C620" s="25">
        <f>IF(OR($A620="",'04 Prices'!C620="",'04 Prices'!C621=""),"",LN('04 Prices'!C621/'04 Prices'!C620))</f>
        <v/>
      </c>
      <c r="D620" s="25">
        <f>IF(OR($A620="",'04 Prices'!D620="",'04 Prices'!D621=""),"",LN('04 Prices'!D621/'04 Prices'!D620))</f>
        <v/>
      </c>
      <c r="E620" s="25">
        <f>IF(OR($A620="",'04 Prices'!E620="",'04 Prices'!E621=""),"",LN('04 Prices'!E621/'04 Prices'!E620))</f>
        <v/>
      </c>
      <c r="F620" s="25">
        <f>IF(OR($A620="",'04 Prices'!F620="",'04 Prices'!F621=""),"",LN('04 Prices'!F621/'04 Prices'!F620))</f>
        <v/>
      </c>
      <c r="G620" s="25">
        <f>IF(OR($A620="",'04 Prices'!G620="",'04 Prices'!G621=""),"",LN('04 Prices'!G621/'04 Prices'!G620))</f>
        <v/>
      </c>
      <c r="H620" s="25">
        <f>IF(OR($A620="",'04 Prices'!H620="",'04 Prices'!H621=""),"",LN('04 Prices'!H621/'04 Prices'!H620))</f>
        <v/>
      </c>
    </row>
    <row r="621">
      <c r="A621" s="23">
        <f>IF('04 Prices'!A622="","",'04 Prices'!A622)</f>
        <v/>
      </c>
      <c r="B621" s="25">
        <f>IF(OR($A621="",'04 Prices'!B621="",'04 Prices'!B622=""),"",LN('04 Prices'!B622/'04 Prices'!B621))</f>
        <v/>
      </c>
      <c r="C621" s="25">
        <f>IF(OR($A621="",'04 Prices'!C621="",'04 Prices'!C622=""),"",LN('04 Prices'!C622/'04 Prices'!C621))</f>
        <v/>
      </c>
      <c r="D621" s="25">
        <f>IF(OR($A621="",'04 Prices'!D621="",'04 Prices'!D622=""),"",LN('04 Prices'!D622/'04 Prices'!D621))</f>
        <v/>
      </c>
      <c r="E621" s="25">
        <f>IF(OR($A621="",'04 Prices'!E621="",'04 Prices'!E622=""),"",LN('04 Prices'!E622/'04 Prices'!E621))</f>
        <v/>
      </c>
      <c r="F621" s="25">
        <f>IF(OR($A621="",'04 Prices'!F621="",'04 Prices'!F622=""),"",LN('04 Prices'!F622/'04 Prices'!F621))</f>
        <v/>
      </c>
      <c r="G621" s="25">
        <f>IF(OR($A621="",'04 Prices'!G621="",'04 Prices'!G622=""),"",LN('04 Prices'!G622/'04 Prices'!G621))</f>
        <v/>
      </c>
      <c r="H621" s="25">
        <f>IF(OR($A621="",'04 Prices'!H621="",'04 Prices'!H622=""),"",LN('04 Prices'!H622/'04 Prices'!H621))</f>
        <v/>
      </c>
    </row>
    <row r="622">
      <c r="A622" s="23">
        <f>IF('04 Prices'!A623="","",'04 Prices'!A623)</f>
        <v/>
      </c>
      <c r="B622" s="25">
        <f>IF(OR($A622="",'04 Prices'!B622="",'04 Prices'!B623=""),"",LN('04 Prices'!B623/'04 Prices'!B622))</f>
        <v/>
      </c>
      <c r="C622" s="25">
        <f>IF(OR($A622="",'04 Prices'!C622="",'04 Prices'!C623=""),"",LN('04 Prices'!C623/'04 Prices'!C622))</f>
        <v/>
      </c>
      <c r="D622" s="25">
        <f>IF(OR($A622="",'04 Prices'!D622="",'04 Prices'!D623=""),"",LN('04 Prices'!D623/'04 Prices'!D622))</f>
        <v/>
      </c>
      <c r="E622" s="25">
        <f>IF(OR($A622="",'04 Prices'!E622="",'04 Prices'!E623=""),"",LN('04 Prices'!E623/'04 Prices'!E622))</f>
        <v/>
      </c>
      <c r="F622" s="25">
        <f>IF(OR($A622="",'04 Prices'!F622="",'04 Prices'!F623=""),"",LN('04 Prices'!F623/'04 Prices'!F622))</f>
        <v/>
      </c>
      <c r="G622" s="25">
        <f>IF(OR($A622="",'04 Prices'!G622="",'04 Prices'!G623=""),"",LN('04 Prices'!G623/'04 Prices'!G622))</f>
        <v/>
      </c>
      <c r="H622" s="25">
        <f>IF(OR($A622="",'04 Prices'!H622="",'04 Prices'!H623=""),"",LN('04 Prices'!H623/'04 Prices'!H622))</f>
        <v/>
      </c>
    </row>
    <row r="623">
      <c r="A623" s="23">
        <f>IF('04 Prices'!A624="","",'04 Prices'!A624)</f>
        <v/>
      </c>
      <c r="B623" s="25">
        <f>IF(OR($A623="",'04 Prices'!B623="",'04 Prices'!B624=""),"",LN('04 Prices'!B624/'04 Prices'!B623))</f>
        <v/>
      </c>
      <c r="C623" s="25">
        <f>IF(OR($A623="",'04 Prices'!C623="",'04 Prices'!C624=""),"",LN('04 Prices'!C624/'04 Prices'!C623))</f>
        <v/>
      </c>
      <c r="D623" s="25">
        <f>IF(OR($A623="",'04 Prices'!D623="",'04 Prices'!D624=""),"",LN('04 Prices'!D624/'04 Prices'!D623))</f>
        <v/>
      </c>
      <c r="E623" s="25">
        <f>IF(OR($A623="",'04 Prices'!E623="",'04 Prices'!E624=""),"",LN('04 Prices'!E624/'04 Prices'!E623))</f>
        <v/>
      </c>
      <c r="F623" s="25">
        <f>IF(OR($A623="",'04 Prices'!F623="",'04 Prices'!F624=""),"",LN('04 Prices'!F624/'04 Prices'!F623))</f>
        <v/>
      </c>
      <c r="G623" s="25">
        <f>IF(OR($A623="",'04 Prices'!G623="",'04 Prices'!G624=""),"",LN('04 Prices'!G624/'04 Prices'!G623))</f>
        <v/>
      </c>
      <c r="H623" s="25">
        <f>IF(OR($A623="",'04 Prices'!H623="",'04 Prices'!H624=""),"",LN('04 Prices'!H624/'04 Prices'!H623))</f>
        <v/>
      </c>
    </row>
    <row r="624">
      <c r="A624" s="23">
        <f>IF('04 Prices'!A625="","",'04 Prices'!A625)</f>
        <v/>
      </c>
      <c r="B624" s="25">
        <f>IF(OR($A624="",'04 Prices'!B624="",'04 Prices'!B625=""),"",LN('04 Prices'!B625/'04 Prices'!B624))</f>
        <v/>
      </c>
      <c r="C624" s="25">
        <f>IF(OR($A624="",'04 Prices'!C624="",'04 Prices'!C625=""),"",LN('04 Prices'!C625/'04 Prices'!C624))</f>
        <v/>
      </c>
      <c r="D624" s="25">
        <f>IF(OR($A624="",'04 Prices'!D624="",'04 Prices'!D625=""),"",LN('04 Prices'!D625/'04 Prices'!D624))</f>
        <v/>
      </c>
      <c r="E624" s="25">
        <f>IF(OR($A624="",'04 Prices'!E624="",'04 Prices'!E625=""),"",LN('04 Prices'!E625/'04 Prices'!E624))</f>
        <v/>
      </c>
      <c r="F624" s="25">
        <f>IF(OR($A624="",'04 Prices'!F624="",'04 Prices'!F625=""),"",LN('04 Prices'!F625/'04 Prices'!F624))</f>
        <v/>
      </c>
      <c r="G624" s="25">
        <f>IF(OR($A624="",'04 Prices'!G624="",'04 Prices'!G625=""),"",LN('04 Prices'!G625/'04 Prices'!G624))</f>
        <v/>
      </c>
      <c r="H624" s="25">
        <f>IF(OR($A624="",'04 Prices'!H624="",'04 Prices'!H625=""),"",LN('04 Prices'!H625/'04 Prices'!H624))</f>
        <v/>
      </c>
    </row>
    <row r="625">
      <c r="A625" s="23">
        <f>IF('04 Prices'!A626="","",'04 Prices'!A626)</f>
        <v/>
      </c>
      <c r="B625" s="25">
        <f>IF(OR($A625="",'04 Prices'!B625="",'04 Prices'!B626=""),"",LN('04 Prices'!B626/'04 Prices'!B625))</f>
        <v/>
      </c>
      <c r="C625" s="25">
        <f>IF(OR($A625="",'04 Prices'!C625="",'04 Prices'!C626=""),"",LN('04 Prices'!C626/'04 Prices'!C625))</f>
        <v/>
      </c>
      <c r="D625" s="25">
        <f>IF(OR($A625="",'04 Prices'!D625="",'04 Prices'!D626=""),"",LN('04 Prices'!D626/'04 Prices'!D625))</f>
        <v/>
      </c>
      <c r="E625" s="25">
        <f>IF(OR($A625="",'04 Prices'!E625="",'04 Prices'!E626=""),"",LN('04 Prices'!E626/'04 Prices'!E625))</f>
        <v/>
      </c>
      <c r="F625" s="25">
        <f>IF(OR($A625="",'04 Prices'!F625="",'04 Prices'!F626=""),"",LN('04 Prices'!F626/'04 Prices'!F625))</f>
        <v/>
      </c>
      <c r="G625" s="25">
        <f>IF(OR($A625="",'04 Prices'!G625="",'04 Prices'!G626=""),"",LN('04 Prices'!G626/'04 Prices'!G625))</f>
        <v/>
      </c>
      <c r="H625" s="25">
        <f>IF(OR($A625="",'04 Prices'!H625="",'04 Prices'!H626=""),"",LN('04 Prices'!H626/'04 Prices'!H625))</f>
        <v/>
      </c>
    </row>
    <row r="626">
      <c r="A626" s="23">
        <f>IF('04 Prices'!A627="","",'04 Prices'!A627)</f>
        <v/>
      </c>
      <c r="B626" s="25">
        <f>IF(OR($A626="",'04 Prices'!B626="",'04 Prices'!B627=""),"",LN('04 Prices'!B627/'04 Prices'!B626))</f>
        <v/>
      </c>
      <c r="C626" s="25">
        <f>IF(OR($A626="",'04 Prices'!C626="",'04 Prices'!C627=""),"",LN('04 Prices'!C627/'04 Prices'!C626))</f>
        <v/>
      </c>
      <c r="D626" s="25">
        <f>IF(OR($A626="",'04 Prices'!D626="",'04 Prices'!D627=""),"",LN('04 Prices'!D627/'04 Prices'!D626))</f>
        <v/>
      </c>
      <c r="E626" s="25">
        <f>IF(OR($A626="",'04 Prices'!E626="",'04 Prices'!E627=""),"",LN('04 Prices'!E627/'04 Prices'!E626))</f>
        <v/>
      </c>
      <c r="F626" s="25">
        <f>IF(OR($A626="",'04 Prices'!F626="",'04 Prices'!F627=""),"",LN('04 Prices'!F627/'04 Prices'!F626))</f>
        <v/>
      </c>
      <c r="G626" s="25">
        <f>IF(OR($A626="",'04 Prices'!G626="",'04 Prices'!G627=""),"",LN('04 Prices'!G627/'04 Prices'!G626))</f>
        <v/>
      </c>
      <c r="H626" s="25">
        <f>IF(OR($A626="",'04 Prices'!H626="",'04 Prices'!H627=""),"",LN('04 Prices'!H627/'04 Prices'!H626))</f>
        <v/>
      </c>
    </row>
    <row r="627">
      <c r="A627" s="23">
        <f>IF('04 Prices'!A628="","",'04 Prices'!A628)</f>
        <v/>
      </c>
      <c r="B627" s="25">
        <f>IF(OR($A627="",'04 Prices'!B627="",'04 Prices'!B628=""),"",LN('04 Prices'!B628/'04 Prices'!B627))</f>
        <v/>
      </c>
      <c r="C627" s="25">
        <f>IF(OR($A627="",'04 Prices'!C627="",'04 Prices'!C628=""),"",LN('04 Prices'!C628/'04 Prices'!C627))</f>
        <v/>
      </c>
      <c r="D627" s="25">
        <f>IF(OR($A627="",'04 Prices'!D627="",'04 Prices'!D628=""),"",LN('04 Prices'!D628/'04 Prices'!D627))</f>
        <v/>
      </c>
      <c r="E627" s="25">
        <f>IF(OR($A627="",'04 Prices'!E627="",'04 Prices'!E628=""),"",LN('04 Prices'!E628/'04 Prices'!E627))</f>
        <v/>
      </c>
      <c r="F627" s="25">
        <f>IF(OR($A627="",'04 Prices'!F627="",'04 Prices'!F628=""),"",LN('04 Prices'!F628/'04 Prices'!F627))</f>
        <v/>
      </c>
      <c r="G627" s="25">
        <f>IF(OR($A627="",'04 Prices'!G627="",'04 Prices'!G628=""),"",LN('04 Prices'!G628/'04 Prices'!G627))</f>
        <v/>
      </c>
      <c r="H627" s="25">
        <f>IF(OR($A627="",'04 Prices'!H627="",'04 Prices'!H628=""),"",LN('04 Prices'!H628/'04 Prices'!H627))</f>
        <v/>
      </c>
    </row>
    <row r="628">
      <c r="A628" s="23">
        <f>IF('04 Prices'!A629="","",'04 Prices'!A629)</f>
        <v/>
      </c>
      <c r="B628" s="25">
        <f>IF(OR($A628="",'04 Prices'!B628="",'04 Prices'!B629=""),"",LN('04 Prices'!B629/'04 Prices'!B628))</f>
        <v/>
      </c>
      <c r="C628" s="25">
        <f>IF(OR($A628="",'04 Prices'!C628="",'04 Prices'!C629=""),"",LN('04 Prices'!C629/'04 Prices'!C628))</f>
        <v/>
      </c>
      <c r="D628" s="25">
        <f>IF(OR($A628="",'04 Prices'!D628="",'04 Prices'!D629=""),"",LN('04 Prices'!D629/'04 Prices'!D628))</f>
        <v/>
      </c>
      <c r="E628" s="25">
        <f>IF(OR($A628="",'04 Prices'!E628="",'04 Prices'!E629=""),"",LN('04 Prices'!E629/'04 Prices'!E628))</f>
        <v/>
      </c>
      <c r="F628" s="25">
        <f>IF(OR($A628="",'04 Prices'!F628="",'04 Prices'!F629=""),"",LN('04 Prices'!F629/'04 Prices'!F628))</f>
        <v/>
      </c>
      <c r="G628" s="25">
        <f>IF(OR($A628="",'04 Prices'!G628="",'04 Prices'!G629=""),"",LN('04 Prices'!G629/'04 Prices'!G628))</f>
        <v/>
      </c>
      <c r="H628" s="25">
        <f>IF(OR($A628="",'04 Prices'!H628="",'04 Prices'!H629=""),"",LN('04 Prices'!H629/'04 Prices'!H628))</f>
        <v/>
      </c>
    </row>
    <row r="629">
      <c r="A629" s="23">
        <f>IF('04 Prices'!A630="","",'04 Prices'!A630)</f>
        <v/>
      </c>
      <c r="B629" s="25">
        <f>IF(OR($A629="",'04 Prices'!B629="",'04 Prices'!B630=""),"",LN('04 Prices'!B630/'04 Prices'!B629))</f>
        <v/>
      </c>
      <c r="C629" s="25">
        <f>IF(OR($A629="",'04 Prices'!C629="",'04 Prices'!C630=""),"",LN('04 Prices'!C630/'04 Prices'!C629))</f>
        <v/>
      </c>
      <c r="D629" s="25">
        <f>IF(OR($A629="",'04 Prices'!D629="",'04 Prices'!D630=""),"",LN('04 Prices'!D630/'04 Prices'!D629))</f>
        <v/>
      </c>
      <c r="E629" s="25">
        <f>IF(OR($A629="",'04 Prices'!E629="",'04 Prices'!E630=""),"",LN('04 Prices'!E630/'04 Prices'!E629))</f>
        <v/>
      </c>
      <c r="F629" s="25">
        <f>IF(OR($A629="",'04 Prices'!F629="",'04 Prices'!F630=""),"",LN('04 Prices'!F630/'04 Prices'!F629))</f>
        <v/>
      </c>
      <c r="G629" s="25">
        <f>IF(OR($A629="",'04 Prices'!G629="",'04 Prices'!G630=""),"",LN('04 Prices'!G630/'04 Prices'!G629))</f>
        <v/>
      </c>
      <c r="H629" s="25">
        <f>IF(OR($A629="",'04 Prices'!H629="",'04 Prices'!H630=""),"",LN('04 Prices'!H630/'04 Prices'!H629))</f>
        <v/>
      </c>
    </row>
    <row r="630">
      <c r="A630" s="23">
        <f>IF('04 Prices'!A631="","",'04 Prices'!A631)</f>
        <v/>
      </c>
      <c r="B630" s="25">
        <f>IF(OR($A630="",'04 Prices'!B630="",'04 Prices'!B631=""),"",LN('04 Prices'!B631/'04 Prices'!B630))</f>
        <v/>
      </c>
      <c r="C630" s="25">
        <f>IF(OR($A630="",'04 Prices'!C630="",'04 Prices'!C631=""),"",LN('04 Prices'!C631/'04 Prices'!C630))</f>
        <v/>
      </c>
      <c r="D630" s="25">
        <f>IF(OR($A630="",'04 Prices'!D630="",'04 Prices'!D631=""),"",LN('04 Prices'!D631/'04 Prices'!D630))</f>
        <v/>
      </c>
      <c r="E630" s="25">
        <f>IF(OR($A630="",'04 Prices'!E630="",'04 Prices'!E631=""),"",LN('04 Prices'!E631/'04 Prices'!E630))</f>
        <v/>
      </c>
      <c r="F630" s="25">
        <f>IF(OR($A630="",'04 Prices'!F630="",'04 Prices'!F631=""),"",LN('04 Prices'!F631/'04 Prices'!F630))</f>
        <v/>
      </c>
      <c r="G630" s="25">
        <f>IF(OR($A630="",'04 Prices'!G630="",'04 Prices'!G631=""),"",LN('04 Prices'!G631/'04 Prices'!G630))</f>
        <v/>
      </c>
      <c r="H630" s="25">
        <f>IF(OR($A630="",'04 Prices'!H630="",'04 Prices'!H631=""),"",LN('04 Prices'!H631/'04 Prices'!H630))</f>
        <v/>
      </c>
    </row>
    <row r="631">
      <c r="A631" s="23">
        <f>IF('04 Prices'!A632="","",'04 Prices'!A632)</f>
        <v/>
      </c>
      <c r="B631" s="25">
        <f>IF(OR($A631="",'04 Prices'!B631="",'04 Prices'!B632=""),"",LN('04 Prices'!B632/'04 Prices'!B631))</f>
        <v/>
      </c>
      <c r="C631" s="25">
        <f>IF(OR($A631="",'04 Prices'!C631="",'04 Prices'!C632=""),"",LN('04 Prices'!C632/'04 Prices'!C631))</f>
        <v/>
      </c>
      <c r="D631" s="25">
        <f>IF(OR($A631="",'04 Prices'!D631="",'04 Prices'!D632=""),"",LN('04 Prices'!D632/'04 Prices'!D631))</f>
        <v/>
      </c>
      <c r="E631" s="25">
        <f>IF(OR($A631="",'04 Prices'!E631="",'04 Prices'!E632=""),"",LN('04 Prices'!E632/'04 Prices'!E631))</f>
        <v/>
      </c>
      <c r="F631" s="25">
        <f>IF(OR($A631="",'04 Prices'!F631="",'04 Prices'!F632=""),"",LN('04 Prices'!F632/'04 Prices'!F631))</f>
        <v/>
      </c>
      <c r="G631" s="25">
        <f>IF(OR($A631="",'04 Prices'!G631="",'04 Prices'!G632=""),"",LN('04 Prices'!G632/'04 Prices'!G631))</f>
        <v/>
      </c>
      <c r="H631" s="25">
        <f>IF(OR($A631="",'04 Prices'!H631="",'04 Prices'!H632=""),"",LN('04 Prices'!H632/'04 Prices'!H631))</f>
        <v/>
      </c>
    </row>
    <row r="632">
      <c r="A632" s="23">
        <f>IF('04 Prices'!A633="","",'04 Prices'!A633)</f>
        <v/>
      </c>
      <c r="B632" s="25">
        <f>IF(OR($A632="",'04 Prices'!B632="",'04 Prices'!B633=""),"",LN('04 Prices'!B633/'04 Prices'!B632))</f>
        <v/>
      </c>
      <c r="C632" s="25">
        <f>IF(OR($A632="",'04 Prices'!C632="",'04 Prices'!C633=""),"",LN('04 Prices'!C633/'04 Prices'!C632))</f>
        <v/>
      </c>
      <c r="D632" s="25">
        <f>IF(OR($A632="",'04 Prices'!D632="",'04 Prices'!D633=""),"",LN('04 Prices'!D633/'04 Prices'!D632))</f>
        <v/>
      </c>
      <c r="E632" s="25">
        <f>IF(OR($A632="",'04 Prices'!E632="",'04 Prices'!E633=""),"",LN('04 Prices'!E633/'04 Prices'!E632))</f>
        <v/>
      </c>
      <c r="F632" s="25">
        <f>IF(OR($A632="",'04 Prices'!F632="",'04 Prices'!F633=""),"",LN('04 Prices'!F633/'04 Prices'!F632))</f>
        <v/>
      </c>
      <c r="G632" s="25">
        <f>IF(OR($A632="",'04 Prices'!G632="",'04 Prices'!G633=""),"",LN('04 Prices'!G633/'04 Prices'!G632))</f>
        <v/>
      </c>
      <c r="H632" s="25">
        <f>IF(OR($A632="",'04 Prices'!H632="",'04 Prices'!H633=""),"",LN('04 Prices'!H633/'04 Prices'!H632))</f>
        <v/>
      </c>
    </row>
    <row r="633">
      <c r="A633" s="23">
        <f>IF('04 Prices'!A634="","",'04 Prices'!A634)</f>
        <v/>
      </c>
      <c r="B633" s="25">
        <f>IF(OR($A633="",'04 Prices'!B633="",'04 Prices'!B634=""),"",LN('04 Prices'!B634/'04 Prices'!B633))</f>
        <v/>
      </c>
      <c r="C633" s="25">
        <f>IF(OR($A633="",'04 Prices'!C633="",'04 Prices'!C634=""),"",LN('04 Prices'!C634/'04 Prices'!C633))</f>
        <v/>
      </c>
      <c r="D633" s="25">
        <f>IF(OR($A633="",'04 Prices'!D633="",'04 Prices'!D634=""),"",LN('04 Prices'!D634/'04 Prices'!D633))</f>
        <v/>
      </c>
      <c r="E633" s="25">
        <f>IF(OR($A633="",'04 Prices'!E633="",'04 Prices'!E634=""),"",LN('04 Prices'!E634/'04 Prices'!E633))</f>
        <v/>
      </c>
      <c r="F633" s="25">
        <f>IF(OR($A633="",'04 Prices'!F633="",'04 Prices'!F634=""),"",LN('04 Prices'!F634/'04 Prices'!F633))</f>
        <v/>
      </c>
      <c r="G633" s="25">
        <f>IF(OR($A633="",'04 Prices'!G633="",'04 Prices'!G634=""),"",LN('04 Prices'!G634/'04 Prices'!G633))</f>
        <v/>
      </c>
      <c r="H633" s="25">
        <f>IF(OR($A633="",'04 Prices'!H633="",'04 Prices'!H634=""),"",LN('04 Prices'!H634/'04 Prices'!H633))</f>
        <v/>
      </c>
    </row>
    <row r="634">
      <c r="A634" s="23">
        <f>IF('04 Prices'!A635="","",'04 Prices'!A635)</f>
        <v/>
      </c>
      <c r="B634" s="25">
        <f>IF(OR($A634="",'04 Prices'!B634="",'04 Prices'!B635=""),"",LN('04 Prices'!B635/'04 Prices'!B634))</f>
        <v/>
      </c>
      <c r="C634" s="25">
        <f>IF(OR($A634="",'04 Prices'!C634="",'04 Prices'!C635=""),"",LN('04 Prices'!C635/'04 Prices'!C634))</f>
        <v/>
      </c>
      <c r="D634" s="25">
        <f>IF(OR($A634="",'04 Prices'!D634="",'04 Prices'!D635=""),"",LN('04 Prices'!D635/'04 Prices'!D634))</f>
        <v/>
      </c>
      <c r="E634" s="25">
        <f>IF(OR($A634="",'04 Prices'!E634="",'04 Prices'!E635=""),"",LN('04 Prices'!E635/'04 Prices'!E634))</f>
        <v/>
      </c>
      <c r="F634" s="25">
        <f>IF(OR($A634="",'04 Prices'!F634="",'04 Prices'!F635=""),"",LN('04 Prices'!F635/'04 Prices'!F634))</f>
        <v/>
      </c>
      <c r="G634" s="25">
        <f>IF(OR($A634="",'04 Prices'!G634="",'04 Prices'!G635=""),"",LN('04 Prices'!G635/'04 Prices'!G634))</f>
        <v/>
      </c>
      <c r="H634" s="25">
        <f>IF(OR($A634="",'04 Prices'!H634="",'04 Prices'!H635=""),"",LN('04 Prices'!H635/'04 Prices'!H634))</f>
        <v/>
      </c>
    </row>
    <row r="635">
      <c r="A635" s="23">
        <f>IF('04 Prices'!A636="","",'04 Prices'!A636)</f>
        <v/>
      </c>
      <c r="B635" s="25">
        <f>IF(OR($A635="",'04 Prices'!B635="",'04 Prices'!B636=""),"",LN('04 Prices'!B636/'04 Prices'!B635))</f>
        <v/>
      </c>
      <c r="C635" s="25">
        <f>IF(OR($A635="",'04 Prices'!C635="",'04 Prices'!C636=""),"",LN('04 Prices'!C636/'04 Prices'!C635))</f>
        <v/>
      </c>
      <c r="D635" s="25">
        <f>IF(OR($A635="",'04 Prices'!D635="",'04 Prices'!D636=""),"",LN('04 Prices'!D636/'04 Prices'!D635))</f>
        <v/>
      </c>
      <c r="E635" s="25">
        <f>IF(OR($A635="",'04 Prices'!E635="",'04 Prices'!E636=""),"",LN('04 Prices'!E636/'04 Prices'!E635))</f>
        <v/>
      </c>
      <c r="F635" s="25">
        <f>IF(OR($A635="",'04 Prices'!F635="",'04 Prices'!F636=""),"",LN('04 Prices'!F636/'04 Prices'!F635))</f>
        <v/>
      </c>
      <c r="G635" s="25">
        <f>IF(OR($A635="",'04 Prices'!G635="",'04 Prices'!G636=""),"",LN('04 Prices'!G636/'04 Prices'!G635))</f>
        <v/>
      </c>
      <c r="H635" s="25">
        <f>IF(OR($A635="",'04 Prices'!H635="",'04 Prices'!H636=""),"",LN('04 Prices'!H636/'04 Prices'!H635))</f>
        <v/>
      </c>
    </row>
    <row r="636">
      <c r="A636" s="23">
        <f>IF('04 Prices'!A637="","",'04 Prices'!A637)</f>
        <v/>
      </c>
      <c r="B636" s="25">
        <f>IF(OR($A636="",'04 Prices'!B636="",'04 Prices'!B637=""),"",LN('04 Prices'!B637/'04 Prices'!B636))</f>
        <v/>
      </c>
      <c r="C636" s="25">
        <f>IF(OR($A636="",'04 Prices'!C636="",'04 Prices'!C637=""),"",LN('04 Prices'!C637/'04 Prices'!C636))</f>
        <v/>
      </c>
      <c r="D636" s="25">
        <f>IF(OR($A636="",'04 Prices'!D636="",'04 Prices'!D637=""),"",LN('04 Prices'!D637/'04 Prices'!D636))</f>
        <v/>
      </c>
      <c r="E636" s="25">
        <f>IF(OR($A636="",'04 Prices'!E636="",'04 Prices'!E637=""),"",LN('04 Prices'!E637/'04 Prices'!E636))</f>
        <v/>
      </c>
      <c r="F636" s="25">
        <f>IF(OR($A636="",'04 Prices'!F636="",'04 Prices'!F637=""),"",LN('04 Prices'!F637/'04 Prices'!F636))</f>
        <v/>
      </c>
      <c r="G636" s="25">
        <f>IF(OR($A636="",'04 Prices'!G636="",'04 Prices'!G637=""),"",LN('04 Prices'!G637/'04 Prices'!G636))</f>
        <v/>
      </c>
      <c r="H636" s="25">
        <f>IF(OR($A636="",'04 Prices'!H636="",'04 Prices'!H637=""),"",LN('04 Prices'!H637/'04 Prices'!H636))</f>
        <v/>
      </c>
    </row>
    <row r="637">
      <c r="A637" s="23">
        <f>IF('04 Prices'!A638="","",'04 Prices'!A638)</f>
        <v/>
      </c>
      <c r="B637" s="25">
        <f>IF(OR($A637="",'04 Prices'!B637="",'04 Prices'!B638=""),"",LN('04 Prices'!B638/'04 Prices'!B637))</f>
        <v/>
      </c>
      <c r="C637" s="25">
        <f>IF(OR($A637="",'04 Prices'!C637="",'04 Prices'!C638=""),"",LN('04 Prices'!C638/'04 Prices'!C637))</f>
        <v/>
      </c>
      <c r="D637" s="25">
        <f>IF(OR($A637="",'04 Prices'!D637="",'04 Prices'!D638=""),"",LN('04 Prices'!D638/'04 Prices'!D637))</f>
        <v/>
      </c>
      <c r="E637" s="25">
        <f>IF(OR($A637="",'04 Prices'!E637="",'04 Prices'!E638=""),"",LN('04 Prices'!E638/'04 Prices'!E637))</f>
        <v/>
      </c>
      <c r="F637" s="25">
        <f>IF(OR($A637="",'04 Prices'!F637="",'04 Prices'!F638=""),"",LN('04 Prices'!F638/'04 Prices'!F637))</f>
        <v/>
      </c>
      <c r="G637" s="25">
        <f>IF(OR($A637="",'04 Prices'!G637="",'04 Prices'!G638=""),"",LN('04 Prices'!G638/'04 Prices'!G637))</f>
        <v/>
      </c>
      <c r="H637" s="25">
        <f>IF(OR($A637="",'04 Prices'!H637="",'04 Prices'!H638=""),"",LN('04 Prices'!H638/'04 Prices'!H637))</f>
        <v/>
      </c>
    </row>
    <row r="638">
      <c r="A638" s="23">
        <f>IF('04 Prices'!A639="","",'04 Prices'!A639)</f>
        <v/>
      </c>
      <c r="B638" s="25">
        <f>IF(OR($A638="",'04 Prices'!B638="",'04 Prices'!B639=""),"",LN('04 Prices'!B639/'04 Prices'!B638))</f>
        <v/>
      </c>
      <c r="C638" s="25">
        <f>IF(OR($A638="",'04 Prices'!C638="",'04 Prices'!C639=""),"",LN('04 Prices'!C639/'04 Prices'!C638))</f>
        <v/>
      </c>
      <c r="D638" s="25">
        <f>IF(OR($A638="",'04 Prices'!D638="",'04 Prices'!D639=""),"",LN('04 Prices'!D639/'04 Prices'!D638))</f>
        <v/>
      </c>
      <c r="E638" s="25">
        <f>IF(OR($A638="",'04 Prices'!E638="",'04 Prices'!E639=""),"",LN('04 Prices'!E639/'04 Prices'!E638))</f>
        <v/>
      </c>
      <c r="F638" s="25">
        <f>IF(OR($A638="",'04 Prices'!F638="",'04 Prices'!F639=""),"",LN('04 Prices'!F639/'04 Prices'!F638))</f>
        <v/>
      </c>
      <c r="G638" s="25">
        <f>IF(OR($A638="",'04 Prices'!G638="",'04 Prices'!G639=""),"",LN('04 Prices'!G639/'04 Prices'!G638))</f>
        <v/>
      </c>
      <c r="H638" s="25">
        <f>IF(OR($A638="",'04 Prices'!H638="",'04 Prices'!H639=""),"",LN('04 Prices'!H639/'04 Prices'!H638))</f>
        <v/>
      </c>
    </row>
    <row r="639">
      <c r="A639" s="23">
        <f>IF('04 Prices'!A640="","",'04 Prices'!A640)</f>
        <v/>
      </c>
      <c r="B639" s="25">
        <f>IF(OR($A639="",'04 Prices'!B639="",'04 Prices'!B640=""),"",LN('04 Prices'!B640/'04 Prices'!B639))</f>
        <v/>
      </c>
      <c r="C639" s="25">
        <f>IF(OR($A639="",'04 Prices'!C639="",'04 Prices'!C640=""),"",LN('04 Prices'!C640/'04 Prices'!C639))</f>
        <v/>
      </c>
      <c r="D639" s="25">
        <f>IF(OR($A639="",'04 Prices'!D639="",'04 Prices'!D640=""),"",LN('04 Prices'!D640/'04 Prices'!D639))</f>
        <v/>
      </c>
      <c r="E639" s="25">
        <f>IF(OR($A639="",'04 Prices'!E639="",'04 Prices'!E640=""),"",LN('04 Prices'!E640/'04 Prices'!E639))</f>
        <v/>
      </c>
      <c r="F639" s="25">
        <f>IF(OR($A639="",'04 Prices'!F639="",'04 Prices'!F640=""),"",LN('04 Prices'!F640/'04 Prices'!F639))</f>
        <v/>
      </c>
      <c r="G639" s="25">
        <f>IF(OR($A639="",'04 Prices'!G639="",'04 Prices'!G640=""),"",LN('04 Prices'!G640/'04 Prices'!G639))</f>
        <v/>
      </c>
      <c r="H639" s="25">
        <f>IF(OR($A639="",'04 Prices'!H639="",'04 Prices'!H640=""),"",LN('04 Prices'!H640/'04 Prices'!H639))</f>
        <v/>
      </c>
    </row>
    <row r="640">
      <c r="A640" s="23">
        <f>IF('04 Prices'!A641="","",'04 Prices'!A641)</f>
        <v/>
      </c>
      <c r="B640" s="25">
        <f>IF(OR($A640="",'04 Prices'!B640="",'04 Prices'!B641=""),"",LN('04 Prices'!B641/'04 Prices'!B640))</f>
        <v/>
      </c>
      <c r="C640" s="25">
        <f>IF(OR($A640="",'04 Prices'!C640="",'04 Prices'!C641=""),"",LN('04 Prices'!C641/'04 Prices'!C640))</f>
        <v/>
      </c>
      <c r="D640" s="25">
        <f>IF(OR($A640="",'04 Prices'!D640="",'04 Prices'!D641=""),"",LN('04 Prices'!D641/'04 Prices'!D640))</f>
        <v/>
      </c>
      <c r="E640" s="25">
        <f>IF(OR($A640="",'04 Prices'!E640="",'04 Prices'!E641=""),"",LN('04 Prices'!E641/'04 Prices'!E640))</f>
        <v/>
      </c>
      <c r="F640" s="25">
        <f>IF(OR($A640="",'04 Prices'!F640="",'04 Prices'!F641=""),"",LN('04 Prices'!F641/'04 Prices'!F640))</f>
        <v/>
      </c>
      <c r="G640" s="25">
        <f>IF(OR($A640="",'04 Prices'!G640="",'04 Prices'!G641=""),"",LN('04 Prices'!G641/'04 Prices'!G640))</f>
        <v/>
      </c>
      <c r="H640" s="25">
        <f>IF(OR($A640="",'04 Prices'!H640="",'04 Prices'!H641=""),"",LN('04 Prices'!H641/'04 Prices'!H640))</f>
        <v/>
      </c>
    </row>
    <row r="641">
      <c r="A641" s="23">
        <f>IF('04 Prices'!A642="","",'04 Prices'!A642)</f>
        <v/>
      </c>
      <c r="B641" s="25">
        <f>IF(OR($A641="",'04 Prices'!B641="",'04 Prices'!B642=""),"",LN('04 Prices'!B642/'04 Prices'!B641))</f>
        <v/>
      </c>
      <c r="C641" s="25">
        <f>IF(OR($A641="",'04 Prices'!C641="",'04 Prices'!C642=""),"",LN('04 Prices'!C642/'04 Prices'!C641))</f>
        <v/>
      </c>
      <c r="D641" s="25">
        <f>IF(OR($A641="",'04 Prices'!D641="",'04 Prices'!D642=""),"",LN('04 Prices'!D642/'04 Prices'!D641))</f>
        <v/>
      </c>
      <c r="E641" s="25">
        <f>IF(OR($A641="",'04 Prices'!E641="",'04 Prices'!E642=""),"",LN('04 Prices'!E642/'04 Prices'!E641))</f>
        <v/>
      </c>
      <c r="F641" s="25">
        <f>IF(OR($A641="",'04 Prices'!F641="",'04 Prices'!F642=""),"",LN('04 Prices'!F642/'04 Prices'!F641))</f>
        <v/>
      </c>
      <c r="G641" s="25">
        <f>IF(OR($A641="",'04 Prices'!G641="",'04 Prices'!G642=""),"",LN('04 Prices'!G642/'04 Prices'!G641))</f>
        <v/>
      </c>
      <c r="H641" s="25">
        <f>IF(OR($A641="",'04 Prices'!H641="",'04 Prices'!H642=""),"",LN('04 Prices'!H642/'04 Prices'!H641))</f>
        <v/>
      </c>
    </row>
    <row r="642">
      <c r="A642" s="23">
        <f>IF('04 Prices'!A643="","",'04 Prices'!A643)</f>
        <v/>
      </c>
      <c r="B642" s="25">
        <f>IF(OR($A642="",'04 Prices'!B642="",'04 Prices'!B643=""),"",LN('04 Prices'!B643/'04 Prices'!B642))</f>
        <v/>
      </c>
      <c r="C642" s="25">
        <f>IF(OR($A642="",'04 Prices'!C642="",'04 Prices'!C643=""),"",LN('04 Prices'!C643/'04 Prices'!C642))</f>
        <v/>
      </c>
      <c r="D642" s="25">
        <f>IF(OR($A642="",'04 Prices'!D642="",'04 Prices'!D643=""),"",LN('04 Prices'!D643/'04 Prices'!D642))</f>
        <v/>
      </c>
      <c r="E642" s="25">
        <f>IF(OR($A642="",'04 Prices'!E642="",'04 Prices'!E643=""),"",LN('04 Prices'!E643/'04 Prices'!E642))</f>
        <v/>
      </c>
      <c r="F642" s="25">
        <f>IF(OR($A642="",'04 Prices'!F642="",'04 Prices'!F643=""),"",LN('04 Prices'!F643/'04 Prices'!F642))</f>
        <v/>
      </c>
      <c r="G642" s="25">
        <f>IF(OR($A642="",'04 Prices'!G642="",'04 Prices'!G643=""),"",LN('04 Prices'!G643/'04 Prices'!G642))</f>
        <v/>
      </c>
      <c r="H642" s="25">
        <f>IF(OR($A642="",'04 Prices'!H642="",'04 Prices'!H643=""),"",LN('04 Prices'!H643/'04 Prices'!H642))</f>
        <v/>
      </c>
    </row>
    <row r="643">
      <c r="A643" s="23">
        <f>IF('04 Prices'!A644="","",'04 Prices'!A644)</f>
        <v/>
      </c>
      <c r="B643" s="25">
        <f>IF(OR($A643="",'04 Prices'!B643="",'04 Prices'!B644=""),"",LN('04 Prices'!B644/'04 Prices'!B643))</f>
        <v/>
      </c>
      <c r="C643" s="25">
        <f>IF(OR($A643="",'04 Prices'!C643="",'04 Prices'!C644=""),"",LN('04 Prices'!C644/'04 Prices'!C643))</f>
        <v/>
      </c>
      <c r="D643" s="25">
        <f>IF(OR($A643="",'04 Prices'!D643="",'04 Prices'!D644=""),"",LN('04 Prices'!D644/'04 Prices'!D643))</f>
        <v/>
      </c>
      <c r="E643" s="25">
        <f>IF(OR($A643="",'04 Prices'!E643="",'04 Prices'!E644=""),"",LN('04 Prices'!E644/'04 Prices'!E643))</f>
        <v/>
      </c>
      <c r="F643" s="25">
        <f>IF(OR($A643="",'04 Prices'!F643="",'04 Prices'!F644=""),"",LN('04 Prices'!F644/'04 Prices'!F643))</f>
        <v/>
      </c>
      <c r="G643" s="25">
        <f>IF(OR($A643="",'04 Prices'!G643="",'04 Prices'!G644=""),"",LN('04 Prices'!G644/'04 Prices'!G643))</f>
        <v/>
      </c>
      <c r="H643" s="25">
        <f>IF(OR($A643="",'04 Prices'!H643="",'04 Prices'!H644=""),"",LN('04 Prices'!H644/'04 Prices'!H643))</f>
        <v/>
      </c>
    </row>
    <row r="644">
      <c r="A644" s="23">
        <f>IF('04 Prices'!A645="","",'04 Prices'!A645)</f>
        <v/>
      </c>
      <c r="B644" s="25">
        <f>IF(OR($A644="",'04 Prices'!B644="",'04 Prices'!B645=""),"",LN('04 Prices'!B645/'04 Prices'!B644))</f>
        <v/>
      </c>
      <c r="C644" s="25">
        <f>IF(OR($A644="",'04 Prices'!C644="",'04 Prices'!C645=""),"",LN('04 Prices'!C645/'04 Prices'!C644))</f>
        <v/>
      </c>
      <c r="D644" s="25">
        <f>IF(OR($A644="",'04 Prices'!D644="",'04 Prices'!D645=""),"",LN('04 Prices'!D645/'04 Prices'!D644))</f>
        <v/>
      </c>
      <c r="E644" s="25">
        <f>IF(OR($A644="",'04 Prices'!E644="",'04 Prices'!E645=""),"",LN('04 Prices'!E645/'04 Prices'!E644))</f>
        <v/>
      </c>
      <c r="F644" s="25">
        <f>IF(OR($A644="",'04 Prices'!F644="",'04 Prices'!F645=""),"",LN('04 Prices'!F645/'04 Prices'!F644))</f>
        <v/>
      </c>
      <c r="G644" s="25">
        <f>IF(OR($A644="",'04 Prices'!G644="",'04 Prices'!G645=""),"",LN('04 Prices'!G645/'04 Prices'!G644))</f>
        <v/>
      </c>
      <c r="H644" s="25">
        <f>IF(OR($A644="",'04 Prices'!H644="",'04 Prices'!H645=""),"",LN('04 Prices'!H645/'04 Prices'!H644))</f>
        <v/>
      </c>
    </row>
    <row r="645">
      <c r="A645" s="23">
        <f>IF('04 Prices'!A646="","",'04 Prices'!A646)</f>
        <v/>
      </c>
      <c r="B645" s="25">
        <f>IF(OR($A645="",'04 Prices'!B645="",'04 Prices'!B646=""),"",LN('04 Prices'!B646/'04 Prices'!B645))</f>
        <v/>
      </c>
      <c r="C645" s="25">
        <f>IF(OR($A645="",'04 Prices'!C645="",'04 Prices'!C646=""),"",LN('04 Prices'!C646/'04 Prices'!C645))</f>
        <v/>
      </c>
      <c r="D645" s="25">
        <f>IF(OR($A645="",'04 Prices'!D645="",'04 Prices'!D646=""),"",LN('04 Prices'!D646/'04 Prices'!D645))</f>
        <v/>
      </c>
      <c r="E645" s="25">
        <f>IF(OR($A645="",'04 Prices'!E645="",'04 Prices'!E646=""),"",LN('04 Prices'!E646/'04 Prices'!E645))</f>
        <v/>
      </c>
      <c r="F645" s="25">
        <f>IF(OR($A645="",'04 Prices'!F645="",'04 Prices'!F646=""),"",LN('04 Prices'!F646/'04 Prices'!F645))</f>
        <v/>
      </c>
      <c r="G645" s="25">
        <f>IF(OR($A645="",'04 Prices'!G645="",'04 Prices'!G646=""),"",LN('04 Prices'!G646/'04 Prices'!G645))</f>
        <v/>
      </c>
      <c r="H645" s="25">
        <f>IF(OR($A645="",'04 Prices'!H645="",'04 Prices'!H646=""),"",LN('04 Prices'!H646/'04 Prices'!H645))</f>
        <v/>
      </c>
    </row>
    <row r="646">
      <c r="A646" s="23">
        <f>IF('04 Prices'!A647="","",'04 Prices'!A647)</f>
        <v/>
      </c>
      <c r="B646" s="25">
        <f>IF(OR($A646="",'04 Prices'!B646="",'04 Prices'!B647=""),"",LN('04 Prices'!B647/'04 Prices'!B646))</f>
        <v/>
      </c>
      <c r="C646" s="25">
        <f>IF(OR($A646="",'04 Prices'!C646="",'04 Prices'!C647=""),"",LN('04 Prices'!C647/'04 Prices'!C646))</f>
        <v/>
      </c>
      <c r="D646" s="25">
        <f>IF(OR($A646="",'04 Prices'!D646="",'04 Prices'!D647=""),"",LN('04 Prices'!D647/'04 Prices'!D646))</f>
        <v/>
      </c>
      <c r="E646" s="25">
        <f>IF(OR($A646="",'04 Prices'!E646="",'04 Prices'!E647=""),"",LN('04 Prices'!E647/'04 Prices'!E646))</f>
        <v/>
      </c>
      <c r="F646" s="25">
        <f>IF(OR($A646="",'04 Prices'!F646="",'04 Prices'!F647=""),"",LN('04 Prices'!F647/'04 Prices'!F646))</f>
        <v/>
      </c>
      <c r="G646" s="25">
        <f>IF(OR($A646="",'04 Prices'!G646="",'04 Prices'!G647=""),"",LN('04 Prices'!G647/'04 Prices'!G646))</f>
        <v/>
      </c>
      <c r="H646" s="25">
        <f>IF(OR($A646="",'04 Prices'!H646="",'04 Prices'!H647=""),"",LN('04 Prices'!H647/'04 Prices'!H646))</f>
        <v/>
      </c>
    </row>
    <row r="647">
      <c r="A647" s="23">
        <f>IF('04 Prices'!A648="","",'04 Prices'!A648)</f>
        <v/>
      </c>
      <c r="B647" s="25">
        <f>IF(OR($A647="",'04 Prices'!B647="",'04 Prices'!B648=""),"",LN('04 Prices'!B648/'04 Prices'!B647))</f>
        <v/>
      </c>
      <c r="C647" s="25">
        <f>IF(OR($A647="",'04 Prices'!C647="",'04 Prices'!C648=""),"",LN('04 Prices'!C648/'04 Prices'!C647))</f>
        <v/>
      </c>
      <c r="D647" s="25">
        <f>IF(OR($A647="",'04 Prices'!D647="",'04 Prices'!D648=""),"",LN('04 Prices'!D648/'04 Prices'!D647))</f>
        <v/>
      </c>
      <c r="E647" s="25">
        <f>IF(OR($A647="",'04 Prices'!E647="",'04 Prices'!E648=""),"",LN('04 Prices'!E648/'04 Prices'!E647))</f>
        <v/>
      </c>
      <c r="F647" s="25">
        <f>IF(OR($A647="",'04 Prices'!F647="",'04 Prices'!F648=""),"",LN('04 Prices'!F648/'04 Prices'!F647))</f>
        <v/>
      </c>
      <c r="G647" s="25">
        <f>IF(OR($A647="",'04 Prices'!G647="",'04 Prices'!G648=""),"",LN('04 Prices'!G648/'04 Prices'!G647))</f>
        <v/>
      </c>
      <c r="H647" s="25">
        <f>IF(OR($A647="",'04 Prices'!H647="",'04 Prices'!H648=""),"",LN('04 Prices'!H648/'04 Prices'!H647))</f>
        <v/>
      </c>
    </row>
    <row r="648">
      <c r="A648" s="23">
        <f>IF('04 Prices'!A649="","",'04 Prices'!A649)</f>
        <v/>
      </c>
      <c r="B648" s="25">
        <f>IF(OR($A648="",'04 Prices'!B648="",'04 Prices'!B649=""),"",LN('04 Prices'!B649/'04 Prices'!B648))</f>
        <v/>
      </c>
      <c r="C648" s="25">
        <f>IF(OR($A648="",'04 Prices'!C648="",'04 Prices'!C649=""),"",LN('04 Prices'!C649/'04 Prices'!C648))</f>
        <v/>
      </c>
      <c r="D648" s="25">
        <f>IF(OR($A648="",'04 Prices'!D648="",'04 Prices'!D649=""),"",LN('04 Prices'!D649/'04 Prices'!D648))</f>
        <v/>
      </c>
      <c r="E648" s="25">
        <f>IF(OR($A648="",'04 Prices'!E648="",'04 Prices'!E649=""),"",LN('04 Prices'!E649/'04 Prices'!E648))</f>
        <v/>
      </c>
      <c r="F648" s="25">
        <f>IF(OR($A648="",'04 Prices'!F648="",'04 Prices'!F649=""),"",LN('04 Prices'!F649/'04 Prices'!F648))</f>
        <v/>
      </c>
      <c r="G648" s="25">
        <f>IF(OR($A648="",'04 Prices'!G648="",'04 Prices'!G649=""),"",LN('04 Prices'!G649/'04 Prices'!G648))</f>
        <v/>
      </c>
      <c r="H648" s="25">
        <f>IF(OR($A648="",'04 Prices'!H648="",'04 Prices'!H649=""),"",LN('04 Prices'!H649/'04 Prices'!H648))</f>
        <v/>
      </c>
    </row>
    <row r="649">
      <c r="A649" s="23">
        <f>IF('04 Prices'!A650="","",'04 Prices'!A650)</f>
        <v/>
      </c>
      <c r="B649" s="25">
        <f>IF(OR($A649="",'04 Prices'!B649="",'04 Prices'!B650=""),"",LN('04 Prices'!B650/'04 Prices'!B649))</f>
        <v/>
      </c>
      <c r="C649" s="25">
        <f>IF(OR($A649="",'04 Prices'!C649="",'04 Prices'!C650=""),"",LN('04 Prices'!C650/'04 Prices'!C649))</f>
        <v/>
      </c>
      <c r="D649" s="25">
        <f>IF(OR($A649="",'04 Prices'!D649="",'04 Prices'!D650=""),"",LN('04 Prices'!D650/'04 Prices'!D649))</f>
        <v/>
      </c>
      <c r="E649" s="25">
        <f>IF(OR($A649="",'04 Prices'!E649="",'04 Prices'!E650=""),"",LN('04 Prices'!E650/'04 Prices'!E649))</f>
        <v/>
      </c>
      <c r="F649" s="25">
        <f>IF(OR($A649="",'04 Prices'!F649="",'04 Prices'!F650=""),"",LN('04 Prices'!F650/'04 Prices'!F649))</f>
        <v/>
      </c>
      <c r="G649" s="25">
        <f>IF(OR($A649="",'04 Prices'!G649="",'04 Prices'!G650=""),"",LN('04 Prices'!G650/'04 Prices'!G649))</f>
        <v/>
      </c>
      <c r="H649" s="25">
        <f>IF(OR($A649="",'04 Prices'!H649="",'04 Prices'!H650=""),"",LN('04 Prices'!H650/'04 Prices'!H649))</f>
        <v/>
      </c>
    </row>
    <row r="650">
      <c r="A650" s="23">
        <f>IF('04 Prices'!A651="","",'04 Prices'!A651)</f>
        <v/>
      </c>
      <c r="B650" s="25">
        <f>IF(OR($A650="",'04 Prices'!B650="",'04 Prices'!B651=""),"",LN('04 Prices'!B651/'04 Prices'!B650))</f>
        <v/>
      </c>
      <c r="C650" s="25">
        <f>IF(OR($A650="",'04 Prices'!C650="",'04 Prices'!C651=""),"",LN('04 Prices'!C651/'04 Prices'!C650))</f>
        <v/>
      </c>
      <c r="D650" s="25">
        <f>IF(OR($A650="",'04 Prices'!D650="",'04 Prices'!D651=""),"",LN('04 Prices'!D651/'04 Prices'!D650))</f>
        <v/>
      </c>
      <c r="E650" s="25">
        <f>IF(OR($A650="",'04 Prices'!E650="",'04 Prices'!E651=""),"",LN('04 Prices'!E651/'04 Prices'!E650))</f>
        <v/>
      </c>
      <c r="F650" s="25">
        <f>IF(OR($A650="",'04 Prices'!F650="",'04 Prices'!F651=""),"",LN('04 Prices'!F651/'04 Prices'!F650))</f>
        <v/>
      </c>
      <c r="G650" s="25">
        <f>IF(OR($A650="",'04 Prices'!G650="",'04 Prices'!G651=""),"",LN('04 Prices'!G651/'04 Prices'!G650))</f>
        <v/>
      </c>
      <c r="H650" s="25">
        <f>IF(OR($A650="",'04 Prices'!H650="",'04 Prices'!H651=""),"",LN('04 Prices'!H651/'04 Prices'!H650))</f>
        <v/>
      </c>
    </row>
    <row r="651">
      <c r="A651" s="23">
        <f>IF('04 Prices'!A652="","",'04 Prices'!A652)</f>
        <v/>
      </c>
      <c r="B651" s="25">
        <f>IF(OR($A651="",'04 Prices'!B651="",'04 Prices'!B652=""),"",LN('04 Prices'!B652/'04 Prices'!B651))</f>
        <v/>
      </c>
      <c r="C651" s="25">
        <f>IF(OR($A651="",'04 Prices'!C651="",'04 Prices'!C652=""),"",LN('04 Prices'!C652/'04 Prices'!C651))</f>
        <v/>
      </c>
      <c r="D651" s="25">
        <f>IF(OR($A651="",'04 Prices'!D651="",'04 Prices'!D652=""),"",LN('04 Prices'!D652/'04 Prices'!D651))</f>
        <v/>
      </c>
      <c r="E651" s="25">
        <f>IF(OR($A651="",'04 Prices'!E651="",'04 Prices'!E652=""),"",LN('04 Prices'!E652/'04 Prices'!E651))</f>
        <v/>
      </c>
      <c r="F651" s="25">
        <f>IF(OR($A651="",'04 Prices'!F651="",'04 Prices'!F652=""),"",LN('04 Prices'!F652/'04 Prices'!F651))</f>
        <v/>
      </c>
      <c r="G651" s="25">
        <f>IF(OR($A651="",'04 Prices'!G651="",'04 Prices'!G652=""),"",LN('04 Prices'!G652/'04 Prices'!G651))</f>
        <v/>
      </c>
      <c r="H651" s="25">
        <f>IF(OR($A651="",'04 Prices'!H651="",'04 Prices'!H652=""),"",LN('04 Prices'!H652/'04 Prices'!H651))</f>
        <v/>
      </c>
    </row>
    <row r="652">
      <c r="A652" s="23">
        <f>IF('04 Prices'!A653="","",'04 Prices'!A653)</f>
        <v/>
      </c>
      <c r="B652" s="25">
        <f>IF(OR($A652="",'04 Prices'!B652="",'04 Prices'!B653=""),"",LN('04 Prices'!B653/'04 Prices'!B652))</f>
        <v/>
      </c>
      <c r="C652" s="25">
        <f>IF(OR($A652="",'04 Prices'!C652="",'04 Prices'!C653=""),"",LN('04 Prices'!C653/'04 Prices'!C652))</f>
        <v/>
      </c>
      <c r="D652" s="25">
        <f>IF(OR($A652="",'04 Prices'!D652="",'04 Prices'!D653=""),"",LN('04 Prices'!D653/'04 Prices'!D652))</f>
        <v/>
      </c>
      <c r="E652" s="25">
        <f>IF(OR($A652="",'04 Prices'!E652="",'04 Prices'!E653=""),"",LN('04 Prices'!E653/'04 Prices'!E652))</f>
        <v/>
      </c>
      <c r="F652" s="25">
        <f>IF(OR($A652="",'04 Prices'!F652="",'04 Prices'!F653=""),"",LN('04 Prices'!F653/'04 Prices'!F652))</f>
        <v/>
      </c>
      <c r="G652" s="25">
        <f>IF(OR($A652="",'04 Prices'!G652="",'04 Prices'!G653=""),"",LN('04 Prices'!G653/'04 Prices'!G652))</f>
        <v/>
      </c>
      <c r="H652" s="25">
        <f>IF(OR($A652="",'04 Prices'!H652="",'04 Prices'!H653=""),"",LN('04 Prices'!H653/'04 Prices'!H652))</f>
        <v/>
      </c>
    </row>
    <row r="653">
      <c r="A653" s="23">
        <f>IF('04 Prices'!A654="","",'04 Prices'!A654)</f>
        <v/>
      </c>
      <c r="B653" s="25">
        <f>IF(OR($A653="",'04 Prices'!B653="",'04 Prices'!B654=""),"",LN('04 Prices'!B654/'04 Prices'!B653))</f>
        <v/>
      </c>
      <c r="C653" s="25">
        <f>IF(OR($A653="",'04 Prices'!C653="",'04 Prices'!C654=""),"",LN('04 Prices'!C654/'04 Prices'!C653))</f>
        <v/>
      </c>
      <c r="D653" s="25">
        <f>IF(OR($A653="",'04 Prices'!D653="",'04 Prices'!D654=""),"",LN('04 Prices'!D654/'04 Prices'!D653))</f>
        <v/>
      </c>
      <c r="E653" s="25">
        <f>IF(OR($A653="",'04 Prices'!E653="",'04 Prices'!E654=""),"",LN('04 Prices'!E654/'04 Prices'!E653))</f>
        <v/>
      </c>
      <c r="F653" s="25">
        <f>IF(OR($A653="",'04 Prices'!F653="",'04 Prices'!F654=""),"",LN('04 Prices'!F654/'04 Prices'!F653))</f>
        <v/>
      </c>
      <c r="G653" s="25">
        <f>IF(OR($A653="",'04 Prices'!G653="",'04 Prices'!G654=""),"",LN('04 Prices'!G654/'04 Prices'!G653))</f>
        <v/>
      </c>
      <c r="H653" s="25">
        <f>IF(OR($A653="",'04 Prices'!H653="",'04 Prices'!H654=""),"",LN('04 Prices'!H654/'04 Prices'!H653))</f>
        <v/>
      </c>
    </row>
    <row r="654">
      <c r="A654" s="23">
        <f>IF('04 Prices'!A655="","",'04 Prices'!A655)</f>
        <v/>
      </c>
      <c r="B654" s="25">
        <f>IF(OR($A654="",'04 Prices'!B654="",'04 Prices'!B655=""),"",LN('04 Prices'!B655/'04 Prices'!B654))</f>
        <v/>
      </c>
      <c r="C654" s="25">
        <f>IF(OR($A654="",'04 Prices'!C654="",'04 Prices'!C655=""),"",LN('04 Prices'!C655/'04 Prices'!C654))</f>
        <v/>
      </c>
      <c r="D654" s="25">
        <f>IF(OR($A654="",'04 Prices'!D654="",'04 Prices'!D655=""),"",LN('04 Prices'!D655/'04 Prices'!D654))</f>
        <v/>
      </c>
      <c r="E654" s="25">
        <f>IF(OR($A654="",'04 Prices'!E654="",'04 Prices'!E655=""),"",LN('04 Prices'!E655/'04 Prices'!E654))</f>
        <v/>
      </c>
      <c r="F654" s="25">
        <f>IF(OR($A654="",'04 Prices'!F654="",'04 Prices'!F655=""),"",LN('04 Prices'!F655/'04 Prices'!F654))</f>
        <v/>
      </c>
      <c r="G654" s="25">
        <f>IF(OR($A654="",'04 Prices'!G654="",'04 Prices'!G655=""),"",LN('04 Prices'!G655/'04 Prices'!G654))</f>
        <v/>
      </c>
      <c r="H654" s="25">
        <f>IF(OR($A654="",'04 Prices'!H654="",'04 Prices'!H655=""),"",LN('04 Prices'!H655/'04 Prices'!H654))</f>
        <v/>
      </c>
    </row>
    <row r="655">
      <c r="A655" s="23">
        <f>IF('04 Prices'!A656="","",'04 Prices'!A656)</f>
        <v/>
      </c>
      <c r="B655" s="25">
        <f>IF(OR($A655="",'04 Prices'!B655="",'04 Prices'!B656=""),"",LN('04 Prices'!B656/'04 Prices'!B655))</f>
        <v/>
      </c>
      <c r="C655" s="25">
        <f>IF(OR($A655="",'04 Prices'!C655="",'04 Prices'!C656=""),"",LN('04 Prices'!C656/'04 Prices'!C655))</f>
        <v/>
      </c>
      <c r="D655" s="25">
        <f>IF(OR($A655="",'04 Prices'!D655="",'04 Prices'!D656=""),"",LN('04 Prices'!D656/'04 Prices'!D655))</f>
        <v/>
      </c>
      <c r="E655" s="25">
        <f>IF(OR($A655="",'04 Prices'!E655="",'04 Prices'!E656=""),"",LN('04 Prices'!E656/'04 Prices'!E655))</f>
        <v/>
      </c>
      <c r="F655" s="25">
        <f>IF(OR($A655="",'04 Prices'!F655="",'04 Prices'!F656=""),"",LN('04 Prices'!F656/'04 Prices'!F655))</f>
        <v/>
      </c>
      <c r="G655" s="25">
        <f>IF(OR($A655="",'04 Prices'!G655="",'04 Prices'!G656=""),"",LN('04 Prices'!G656/'04 Prices'!G655))</f>
        <v/>
      </c>
      <c r="H655" s="25">
        <f>IF(OR($A655="",'04 Prices'!H655="",'04 Prices'!H656=""),"",LN('04 Prices'!H656/'04 Prices'!H655))</f>
        <v/>
      </c>
    </row>
    <row r="656">
      <c r="A656" s="23">
        <f>IF('04 Prices'!A657="","",'04 Prices'!A657)</f>
        <v/>
      </c>
      <c r="B656" s="25">
        <f>IF(OR($A656="",'04 Prices'!B656="",'04 Prices'!B657=""),"",LN('04 Prices'!B657/'04 Prices'!B656))</f>
        <v/>
      </c>
      <c r="C656" s="25">
        <f>IF(OR($A656="",'04 Prices'!C656="",'04 Prices'!C657=""),"",LN('04 Prices'!C657/'04 Prices'!C656))</f>
        <v/>
      </c>
      <c r="D656" s="25">
        <f>IF(OR($A656="",'04 Prices'!D656="",'04 Prices'!D657=""),"",LN('04 Prices'!D657/'04 Prices'!D656))</f>
        <v/>
      </c>
      <c r="E656" s="25">
        <f>IF(OR($A656="",'04 Prices'!E656="",'04 Prices'!E657=""),"",LN('04 Prices'!E657/'04 Prices'!E656))</f>
        <v/>
      </c>
      <c r="F656" s="25">
        <f>IF(OR($A656="",'04 Prices'!F656="",'04 Prices'!F657=""),"",LN('04 Prices'!F657/'04 Prices'!F656))</f>
        <v/>
      </c>
      <c r="G656" s="25">
        <f>IF(OR($A656="",'04 Prices'!G656="",'04 Prices'!G657=""),"",LN('04 Prices'!G657/'04 Prices'!G656))</f>
        <v/>
      </c>
      <c r="H656" s="25">
        <f>IF(OR($A656="",'04 Prices'!H656="",'04 Prices'!H657=""),"",LN('04 Prices'!H657/'04 Prices'!H656))</f>
        <v/>
      </c>
    </row>
    <row r="657">
      <c r="A657" s="23">
        <f>IF('04 Prices'!A658="","",'04 Prices'!A658)</f>
        <v/>
      </c>
      <c r="B657" s="25">
        <f>IF(OR($A657="",'04 Prices'!B657="",'04 Prices'!B658=""),"",LN('04 Prices'!B658/'04 Prices'!B657))</f>
        <v/>
      </c>
      <c r="C657" s="25">
        <f>IF(OR($A657="",'04 Prices'!C657="",'04 Prices'!C658=""),"",LN('04 Prices'!C658/'04 Prices'!C657))</f>
        <v/>
      </c>
      <c r="D657" s="25">
        <f>IF(OR($A657="",'04 Prices'!D657="",'04 Prices'!D658=""),"",LN('04 Prices'!D658/'04 Prices'!D657))</f>
        <v/>
      </c>
      <c r="E657" s="25">
        <f>IF(OR($A657="",'04 Prices'!E657="",'04 Prices'!E658=""),"",LN('04 Prices'!E658/'04 Prices'!E657))</f>
        <v/>
      </c>
      <c r="F657" s="25">
        <f>IF(OR($A657="",'04 Prices'!F657="",'04 Prices'!F658=""),"",LN('04 Prices'!F658/'04 Prices'!F657))</f>
        <v/>
      </c>
      <c r="G657" s="25">
        <f>IF(OR($A657="",'04 Prices'!G657="",'04 Prices'!G658=""),"",LN('04 Prices'!G658/'04 Prices'!G657))</f>
        <v/>
      </c>
      <c r="H657" s="25">
        <f>IF(OR($A657="",'04 Prices'!H657="",'04 Prices'!H658=""),"",LN('04 Prices'!H658/'04 Prices'!H657))</f>
        <v/>
      </c>
    </row>
    <row r="658">
      <c r="A658" s="23">
        <f>IF('04 Prices'!A659="","",'04 Prices'!A659)</f>
        <v/>
      </c>
      <c r="B658" s="25">
        <f>IF(OR($A658="",'04 Prices'!B658="",'04 Prices'!B659=""),"",LN('04 Prices'!B659/'04 Prices'!B658))</f>
        <v/>
      </c>
      <c r="C658" s="25">
        <f>IF(OR($A658="",'04 Prices'!C658="",'04 Prices'!C659=""),"",LN('04 Prices'!C659/'04 Prices'!C658))</f>
        <v/>
      </c>
      <c r="D658" s="25">
        <f>IF(OR($A658="",'04 Prices'!D658="",'04 Prices'!D659=""),"",LN('04 Prices'!D659/'04 Prices'!D658))</f>
        <v/>
      </c>
      <c r="E658" s="25">
        <f>IF(OR($A658="",'04 Prices'!E658="",'04 Prices'!E659=""),"",LN('04 Prices'!E659/'04 Prices'!E658))</f>
        <v/>
      </c>
      <c r="F658" s="25">
        <f>IF(OR($A658="",'04 Prices'!F658="",'04 Prices'!F659=""),"",LN('04 Prices'!F659/'04 Prices'!F658))</f>
        <v/>
      </c>
      <c r="G658" s="25">
        <f>IF(OR($A658="",'04 Prices'!G658="",'04 Prices'!G659=""),"",LN('04 Prices'!G659/'04 Prices'!G658))</f>
        <v/>
      </c>
      <c r="H658" s="25">
        <f>IF(OR($A658="",'04 Prices'!H658="",'04 Prices'!H659=""),"",LN('04 Prices'!H659/'04 Prices'!H658))</f>
        <v/>
      </c>
    </row>
    <row r="659">
      <c r="A659" s="23">
        <f>IF('04 Prices'!A660="","",'04 Prices'!A660)</f>
        <v/>
      </c>
      <c r="B659" s="25">
        <f>IF(OR($A659="",'04 Prices'!B659="",'04 Prices'!B660=""),"",LN('04 Prices'!B660/'04 Prices'!B659))</f>
        <v/>
      </c>
      <c r="C659" s="25">
        <f>IF(OR($A659="",'04 Prices'!C659="",'04 Prices'!C660=""),"",LN('04 Prices'!C660/'04 Prices'!C659))</f>
        <v/>
      </c>
      <c r="D659" s="25">
        <f>IF(OR($A659="",'04 Prices'!D659="",'04 Prices'!D660=""),"",LN('04 Prices'!D660/'04 Prices'!D659))</f>
        <v/>
      </c>
      <c r="E659" s="25">
        <f>IF(OR($A659="",'04 Prices'!E659="",'04 Prices'!E660=""),"",LN('04 Prices'!E660/'04 Prices'!E659))</f>
        <v/>
      </c>
      <c r="F659" s="25">
        <f>IF(OR($A659="",'04 Prices'!F659="",'04 Prices'!F660=""),"",LN('04 Prices'!F660/'04 Prices'!F659))</f>
        <v/>
      </c>
      <c r="G659" s="25">
        <f>IF(OR($A659="",'04 Prices'!G659="",'04 Prices'!G660=""),"",LN('04 Prices'!G660/'04 Prices'!G659))</f>
        <v/>
      </c>
      <c r="H659" s="25">
        <f>IF(OR($A659="",'04 Prices'!H659="",'04 Prices'!H660=""),"",LN('04 Prices'!H660/'04 Prices'!H659))</f>
        <v/>
      </c>
    </row>
    <row r="660">
      <c r="A660" s="23">
        <f>IF('04 Prices'!A661="","",'04 Prices'!A661)</f>
        <v/>
      </c>
      <c r="B660" s="25">
        <f>IF(OR($A660="",'04 Prices'!B660="",'04 Prices'!B661=""),"",LN('04 Prices'!B661/'04 Prices'!B660))</f>
        <v/>
      </c>
      <c r="C660" s="25">
        <f>IF(OR($A660="",'04 Prices'!C660="",'04 Prices'!C661=""),"",LN('04 Prices'!C661/'04 Prices'!C660))</f>
        <v/>
      </c>
      <c r="D660" s="25">
        <f>IF(OR($A660="",'04 Prices'!D660="",'04 Prices'!D661=""),"",LN('04 Prices'!D661/'04 Prices'!D660))</f>
        <v/>
      </c>
      <c r="E660" s="25">
        <f>IF(OR($A660="",'04 Prices'!E660="",'04 Prices'!E661=""),"",LN('04 Prices'!E661/'04 Prices'!E660))</f>
        <v/>
      </c>
      <c r="F660" s="25">
        <f>IF(OR($A660="",'04 Prices'!F660="",'04 Prices'!F661=""),"",LN('04 Prices'!F661/'04 Prices'!F660))</f>
        <v/>
      </c>
      <c r="G660" s="25">
        <f>IF(OR($A660="",'04 Prices'!G660="",'04 Prices'!G661=""),"",LN('04 Prices'!G661/'04 Prices'!G660))</f>
        <v/>
      </c>
      <c r="H660" s="25">
        <f>IF(OR($A660="",'04 Prices'!H660="",'04 Prices'!H661=""),"",LN('04 Prices'!H661/'04 Prices'!H660))</f>
        <v/>
      </c>
    </row>
    <row r="661">
      <c r="A661" s="23">
        <f>IF('04 Prices'!A662="","",'04 Prices'!A662)</f>
        <v/>
      </c>
      <c r="B661" s="25">
        <f>IF(OR($A661="",'04 Prices'!B661="",'04 Prices'!B662=""),"",LN('04 Prices'!B662/'04 Prices'!B661))</f>
        <v/>
      </c>
      <c r="C661" s="25">
        <f>IF(OR($A661="",'04 Prices'!C661="",'04 Prices'!C662=""),"",LN('04 Prices'!C662/'04 Prices'!C661))</f>
        <v/>
      </c>
      <c r="D661" s="25">
        <f>IF(OR($A661="",'04 Prices'!D661="",'04 Prices'!D662=""),"",LN('04 Prices'!D662/'04 Prices'!D661))</f>
        <v/>
      </c>
      <c r="E661" s="25">
        <f>IF(OR($A661="",'04 Prices'!E661="",'04 Prices'!E662=""),"",LN('04 Prices'!E662/'04 Prices'!E661))</f>
        <v/>
      </c>
      <c r="F661" s="25">
        <f>IF(OR($A661="",'04 Prices'!F661="",'04 Prices'!F662=""),"",LN('04 Prices'!F662/'04 Prices'!F661))</f>
        <v/>
      </c>
      <c r="G661" s="25">
        <f>IF(OR($A661="",'04 Prices'!G661="",'04 Prices'!G662=""),"",LN('04 Prices'!G662/'04 Prices'!G661))</f>
        <v/>
      </c>
      <c r="H661" s="25">
        <f>IF(OR($A661="",'04 Prices'!H661="",'04 Prices'!H662=""),"",LN('04 Prices'!H662/'04 Prices'!H661))</f>
        <v/>
      </c>
    </row>
    <row r="662">
      <c r="A662" s="23">
        <f>IF('04 Prices'!A663="","",'04 Prices'!A663)</f>
        <v/>
      </c>
      <c r="B662" s="25">
        <f>IF(OR($A662="",'04 Prices'!B662="",'04 Prices'!B663=""),"",LN('04 Prices'!B663/'04 Prices'!B662))</f>
        <v/>
      </c>
      <c r="C662" s="25">
        <f>IF(OR($A662="",'04 Prices'!C662="",'04 Prices'!C663=""),"",LN('04 Prices'!C663/'04 Prices'!C662))</f>
        <v/>
      </c>
      <c r="D662" s="25">
        <f>IF(OR($A662="",'04 Prices'!D662="",'04 Prices'!D663=""),"",LN('04 Prices'!D663/'04 Prices'!D662))</f>
        <v/>
      </c>
      <c r="E662" s="25">
        <f>IF(OR($A662="",'04 Prices'!E662="",'04 Prices'!E663=""),"",LN('04 Prices'!E663/'04 Prices'!E662))</f>
        <v/>
      </c>
      <c r="F662" s="25">
        <f>IF(OR($A662="",'04 Prices'!F662="",'04 Prices'!F663=""),"",LN('04 Prices'!F663/'04 Prices'!F662))</f>
        <v/>
      </c>
      <c r="G662" s="25">
        <f>IF(OR($A662="",'04 Prices'!G662="",'04 Prices'!G663=""),"",LN('04 Prices'!G663/'04 Prices'!G662))</f>
        <v/>
      </c>
      <c r="H662" s="25">
        <f>IF(OR($A662="",'04 Prices'!H662="",'04 Prices'!H663=""),"",LN('04 Prices'!H663/'04 Prices'!H662))</f>
        <v/>
      </c>
    </row>
    <row r="663">
      <c r="A663" s="23">
        <f>IF('04 Prices'!A664="","",'04 Prices'!A664)</f>
        <v/>
      </c>
      <c r="B663" s="25">
        <f>IF(OR($A663="",'04 Prices'!B663="",'04 Prices'!B664=""),"",LN('04 Prices'!B664/'04 Prices'!B663))</f>
        <v/>
      </c>
      <c r="C663" s="25">
        <f>IF(OR($A663="",'04 Prices'!C663="",'04 Prices'!C664=""),"",LN('04 Prices'!C664/'04 Prices'!C663))</f>
        <v/>
      </c>
      <c r="D663" s="25">
        <f>IF(OR($A663="",'04 Prices'!D663="",'04 Prices'!D664=""),"",LN('04 Prices'!D664/'04 Prices'!D663))</f>
        <v/>
      </c>
      <c r="E663" s="25">
        <f>IF(OR($A663="",'04 Prices'!E663="",'04 Prices'!E664=""),"",LN('04 Prices'!E664/'04 Prices'!E663))</f>
        <v/>
      </c>
      <c r="F663" s="25">
        <f>IF(OR($A663="",'04 Prices'!F663="",'04 Prices'!F664=""),"",LN('04 Prices'!F664/'04 Prices'!F663))</f>
        <v/>
      </c>
      <c r="G663" s="25">
        <f>IF(OR($A663="",'04 Prices'!G663="",'04 Prices'!G664=""),"",LN('04 Prices'!G664/'04 Prices'!G663))</f>
        <v/>
      </c>
      <c r="H663" s="25">
        <f>IF(OR($A663="",'04 Prices'!H663="",'04 Prices'!H664=""),"",LN('04 Prices'!H664/'04 Prices'!H663))</f>
        <v/>
      </c>
    </row>
    <row r="664">
      <c r="A664" s="23">
        <f>IF('04 Prices'!A665="","",'04 Prices'!A665)</f>
        <v/>
      </c>
      <c r="B664" s="25">
        <f>IF(OR($A664="",'04 Prices'!B664="",'04 Prices'!B665=""),"",LN('04 Prices'!B665/'04 Prices'!B664))</f>
        <v/>
      </c>
      <c r="C664" s="25">
        <f>IF(OR($A664="",'04 Prices'!C664="",'04 Prices'!C665=""),"",LN('04 Prices'!C665/'04 Prices'!C664))</f>
        <v/>
      </c>
      <c r="D664" s="25">
        <f>IF(OR($A664="",'04 Prices'!D664="",'04 Prices'!D665=""),"",LN('04 Prices'!D665/'04 Prices'!D664))</f>
        <v/>
      </c>
      <c r="E664" s="25">
        <f>IF(OR($A664="",'04 Prices'!E664="",'04 Prices'!E665=""),"",LN('04 Prices'!E665/'04 Prices'!E664))</f>
        <v/>
      </c>
      <c r="F664" s="25">
        <f>IF(OR($A664="",'04 Prices'!F664="",'04 Prices'!F665=""),"",LN('04 Prices'!F665/'04 Prices'!F664))</f>
        <v/>
      </c>
      <c r="G664" s="25">
        <f>IF(OR($A664="",'04 Prices'!G664="",'04 Prices'!G665=""),"",LN('04 Prices'!G665/'04 Prices'!G664))</f>
        <v/>
      </c>
      <c r="H664" s="25">
        <f>IF(OR($A664="",'04 Prices'!H664="",'04 Prices'!H665=""),"",LN('04 Prices'!H665/'04 Prices'!H664))</f>
        <v/>
      </c>
    </row>
    <row r="665">
      <c r="A665" s="23">
        <f>IF('04 Prices'!A666="","",'04 Prices'!A666)</f>
        <v/>
      </c>
      <c r="B665" s="25">
        <f>IF(OR($A665="",'04 Prices'!B665="",'04 Prices'!B666=""),"",LN('04 Prices'!B666/'04 Prices'!B665))</f>
        <v/>
      </c>
      <c r="C665" s="25">
        <f>IF(OR($A665="",'04 Prices'!C665="",'04 Prices'!C666=""),"",LN('04 Prices'!C666/'04 Prices'!C665))</f>
        <v/>
      </c>
      <c r="D665" s="25">
        <f>IF(OR($A665="",'04 Prices'!D665="",'04 Prices'!D666=""),"",LN('04 Prices'!D666/'04 Prices'!D665))</f>
        <v/>
      </c>
      <c r="E665" s="25">
        <f>IF(OR($A665="",'04 Prices'!E665="",'04 Prices'!E666=""),"",LN('04 Prices'!E666/'04 Prices'!E665))</f>
        <v/>
      </c>
      <c r="F665" s="25">
        <f>IF(OR($A665="",'04 Prices'!F665="",'04 Prices'!F666=""),"",LN('04 Prices'!F666/'04 Prices'!F665))</f>
        <v/>
      </c>
      <c r="G665" s="25">
        <f>IF(OR($A665="",'04 Prices'!G665="",'04 Prices'!G666=""),"",LN('04 Prices'!G666/'04 Prices'!G665))</f>
        <v/>
      </c>
      <c r="H665" s="25">
        <f>IF(OR($A665="",'04 Prices'!H665="",'04 Prices'!H666=""),"",LN('04 Prices'!H666/'04 Prices'!H665))</f>
        <v/>
      </c>
    </row>
    <row r="666">
      <c r="A666" s="23">
        <f>IF('04 Prices'!A667="","",'04 Prices'!A667)</f>
        <v/>
      </c>
      <c r="B666" s="25">
        <f>IF(OR($A666="",'04 Prices'!B666="",'04 Prices'!B667=""),"",LN('04 Prices'!B667/'04 Prices'!B666))</f>
        <v/>
      </c>
      <c r="C666" s="25">
        <f>IF(OR($A666="",'04 Prices'!C666="",'04 Prices'!C667=""),"",LN('04 Prices'!C667/'04 Prices'!C666))</f>
        <v/>
      </c>
      <c r="D666" s="25">
        <f>IF(OR($A666="",'04 Prices'!D666="",'04 Prices'!D667=""),"",LN('04 Prices'!D667/'04 Prices'!D666))</f>
        <v/>
      </c>
      <c r="E666" s="25">
        <f>IF(OR($A666="",'04 Prices'!E666="",'04 Prices'!E667=""),"",LN('04 Prices'!E667/'04 Prices'!E666))</f>
        <v/>
      </c>
      <c r="F666" s="25">
        <f>IF(OR($A666="",'04 Prices'!F666="",'04 Prices'!F667=""),"",LN('04 Prices'!F667/'04 Prices'!F666))</f>
        <v/>
      </c>
      <c r="G666" s="25">
        <f>IF(OR($A666="",'04 Prices'!G666="",'04 Prices'!G667=""),"",LN('04 Prices'!G667/'04 Prices'!G666))</f>
        <v/>
      </c>
      <c r="H666" s="25">
        <f>IF(OR($A666="",'04 Prices'!H666="",'04 Prices'!H667=""),"",LN('04 Prices'!H667/'04 Prices'!H666))</f>
        <v/>
      </c>
    </row>
    <row r="667">
      <c r="A667" s="23">
        <f>IF('04 Prices'!A668="","",'04 Prices'!A668)</f>
        <v/>
      </c>
      <c r="B667" s="25">
        <f>IF(OR($A667="",'04 Prices'!B667="",'04 Prices'!B668=""),"",LN('04 Prices'!B668/'04 Prices'!B667))</f>
        <v/>
      </c>
      <c r="C667" s="25">
        <f>IF(OR($A667="",'04 Prices'!C667="",'04 Prices'!C668=""),"",LN('04 Prices'!C668/'04 Prices'!C667))</f>
        <v/>
      </c>
      <c r="D667" s="25">
        <f>IF(OR($A667="",'04 Prices'!D667="",'04 Prices'!D668=""),"",LN('04 Prices'!D668/'04 Prices'!D667))</f>
        <v/>
      </c>
      <c r="E667" s="25">
        <f>IF(OR($A667="",'04 Prices'!E667="",'04 Prices'!E668=""),"",LN('04 Prices'!E668/'04 Prices'!E667))</f>
        <v/>
      </c>
      <c r="F667" s="25">
        <f>IF(OR($A667="",'04 Prices'!F667="",'04 Prices'!F668=""),"",LN('04 Prices'!F668/'04 Prices'!F667))</f>
        <v/>
      </c>
      <c r="G667" s="25">
        <f>IF(OR($A667="",'04 Prices'!G667="",'04 Prices'!G668=""),"",LN('04 Prices'!G668/'04 Prices'!G667))</f>
        <v/>
      </c>
      <c r="H667" s="25">
        <f>IF(OR($A667="",'04 Prices'!H667="",'04 Prices'!H668=""),"",LN('04 Prices'!H668/'04 Prices'!H667))</f>
        <v/>
      </c>
    </row>
    <row r="668">
      <c r="A668" s="23">
        <f>IF('04 Prices'!A669="","",'04 Prices'!A669)</f>
        <v/>
      </c>
      <c r="B668" s="25">
        <f>IF(OR($A668="",'04 Prices'!B668="",'04 Prices'!B669=""),"",LN('04 Prices'!B669/'04 Prices'!B668))</f>
        <v/>
      </c>
      <c r="C668" s="25">
        <f>IF(OR($A668="",'04 Prices'!C668="",'04 Prices'!C669=""),"",LN('04 Prices'!C669/'04 Prices'!C668))</f>
        <v/>
      </c>
      <c r="D668" s="25">
        <f>IF(OR($A668="",'04 Prices'!D668="",'04 Prices'!D669=""),"",LN('04 Prices'!D669/'04 Prices'!D668))</f>
        <v/>
      </c>
      <c r="E668" s="25">
        <f>IF(OR($A668="",'04 Prices'!E668="",'04 Prices'!E669=""),"",LN('04 Prices'!E669/'04 Prices'!E668))</f>
        <v/>
      </c>
      <c r="F668" s="25">
        <f>IF(OR($A668="",'04 Prices'!F668="",'04 Prices'!F669=""),"",LN('04 Prices'!F669/'04 Prices'!F668))</f>
        <v/>
      </c>
      <c r="G668" s="25">
        <f>IF(OR($A668="",'04 Prices'!G668="",'04 Prices'!G669=""),"",LN('04 Prices'!G669/'04 Prices'!G668))</f>
        <v/>
      </c>
      <c r="H668" s="25">
        <f>IF(OR($A668="",'04 Prices'!H668="",'04 Prices'!H669=""),"",LN('04 Prices'!H669/'04 Prices'!H668))</f>
        <v/>
      </c>
    </row>
    <row r="669">
      <c r="A669" s="23">
        <f>IF('04 Prices'!A670="","",'04 Prices'!A670)</f>
        <v/>
      </c>
      <c r="B669" s="25">
        <f>IF(OR($A669="",'04 Prices'!B669="",'04 Prices'!B670=""),"",LN('04 Prices'!B670/'04 Prices'!B669))</f>
        <v/>
      </c>
      <c r="C669" s="25">
        <f>IF(OR($A669="",'04 Prices'!C669="",'04 Prices'!C670=""),"",LN('04 Prices'!C670/'04 Prices'!C669))</f>
        <v/>
      </c>
      <c r="D669" s="25">
        <f>IF(OR($A669="",'04 Prices'!D669="",'04 Prices'!D670=""),"",LN('04 Prices'!D670/'04 Prices'!D669))</f>
        <v/>
      </c>
      <c r="E669" s="25">
        <f>IF(OR($A669="",'04 Prices'!E669="",'04 Prices'!E670=""),"",LN('04 Prices'!E670/'04 Prices'!E669))</f>
        <v/>
      </c>
      <c r="F669" s="25">
        <f>IF(OR($A669="",'04 Prices'!F669="",'04 Prices'!F670=""),"",LN('04 Prices'!F670/'04 Prices'!F669))</f>
        <v/>
      </c>
      <c r="G669" s="25">
        <f>IF(OR($A669="",'04 Prices'!G669="",'04 Prices'!G670=""),"",LN('04 Prices'!G670/'04 Prices'!G669))</f>
        <v/>
      </c>
      <c r="H669" s="25">
        <f>IF(OR($A669="",'04 Prices'!H669="",'04 Prices'!H670=""),"",LN('04 Prices'!H670/'04 Prices'!H669))</f>
        <v/>
      </c>
    </row>
    <row r="670">
      <c r="A670" s="23">
        <f>IF('04 Prices'!A671="","",'04 Prices'!A671)</f>
        <v/>
      </c>
      <c r="B670" s="25">
        <f>IF(OR($A670="",'04 Prices'!B670="",'04 Prices'!B671=""),"",LN('04 Prices'!B671/'04 Prices'!B670))</f>
        <v/>
      </c>
      <c r="C670" s="25">
        <f>IF(OR($A670="",'04 Prices'!C670="",'04 Prices'!C671=""),"",LN('04 Prices'!C671/'04 Prices'!C670))</f>
        <v/>
      </c>
      <c r="D670" s="25">
        <f>IF(OR($A670="",'04 Prices'!D670="",'04 Prices'!D671=""),"",LN('04 Prices'!D671/'04 Prices'!D670))</f>
        <v/>
      </c>
      <c r="E670" s="25">
        <f>IF(OR($A670="",'04 Prices'!E670="",'04 Prices'!E671=""),"",LN('04 Prices'!E671/'04 Prices'!E670))</f>
        <v/>
      </c>
      <c r="F670" s="25">
        <f>IF(OR($A670="",'04 Prices'!F670="",'04 Prices'!F671=""),"",LN('04 Prices'!F671/'04 Prices'!F670))</f>
        <v/>
      </c>
      <c r="G670" s="25">
        <f>IF(OR($A670="",'04 Prices'!G670="",'04 Prices'!G671=""),"",LN('04 Prices'!G671/'04 Prices'!G670))</f>
        <v/>
      </c>
      <c r="H670" s="25">
        <f>IF(OR($A670="",'04 Prices'!H670="",'04 Prices'!H671=""),"",LN('04 Prices'!H671/'04 Prices'!H670))</f>
        <v/>
      </c>
    </row>
    <row r="671">
      <c r="A671" s="23">
        <f>IF('04 Prices'!A672="","",'04 Prices'!A672)</f>
        <v/>
      </c>
      <c r="B671" s="25">
        <f>IF(OR($A671="",'04 Prices'!B671="",'04 Prices'!B672=""),"",LN('04 Prices'!B672/'04 Prices'!B671))</f>
        <v/>
      </c>
      <c r="C671" s="25">
        <f>IF(OR($A671="",'04 Prices'!C671="",'04 Prices'!C672=""),"",LN('04 Prices'!C672/'04 Prices'!C671))</f>
        <v/>
      </c>
      <c r="D671" s="25">
        <f>IF(OR($A671="",'04 Prices'!D671="",'04 Prices'!D672=""),"",LN('04 Prices'!D672/'04 Prices'!D671))</f>
        <v/>
      </c>
      <c r="E671" s="25">
        <f>IF(OR($A671="",'04 Prices'!E671="",'04 Prices'!E672=""),"",LN('04 Prices'!E672/'04 Prices'!E671))</f>
        <v/>
      </c>
      <c r="F671" s="25">
        <f>IF(OR($A671="",'04 Prices'!F671="",'04 Prices'!F672=""),"",LN('04 Prices'!F672/'04 Prices'!F671))</f>
        <v/>
      </c>
      <c r="G671" s="25">
        <f>IF(OR($A671="",'04 Prices'!G671="",'04 Prices'!G672=""),"",LN('04 Prices'!G672/'04 Prices'!G671))</f>
        <v/>
      </c>
      <c r="H671" s="25">
        <f>IF(OR($A671="",'04 Prices'!H671="",'04 Prices'!H672=""),"",LN('04 Prices'!H672/'04 Prices'!H671))</f>
        <v/>
      </c>
    </row>
    <row r="672">
      <c r="A672" s="23">
        <f>IF('04 Prices'!A673="","",'04 Prices'!A673)</f>
        <v/>
      </c>
      <c r="B672" s="25">
        <f>IF(OR($A672="",'04 Prices'!B672="",'04 Prices'!B673=""),"",LN('04 Prices'!B673/'04 Prices'!B672))</f>
        <v/>
      </c>
      <c r="C672" s="25">
        <f>IF(OR($A672="",'04 Prices'!C672="",'04 Prices'!C673=""),"",LN('04 Prices'!C673/'04 Prices'!C672))</f>
        <v/>
      </c>
      <c r="D672" s="25">
        <f>IF(OR($A672="",'04 Prices'!D672="",'04 Prices'!D673=""),"",LN('04 Prices'!D673/'04 Prices'!D672))</f>
        <v/>
      </c>
      <c r="E672" s="25">
        <f>IF(OR($A672="",'04 Prices'!E672="",'04 Prices'!E673=""),"",LN('04 Prices'!E673/'04 Prices'!E672))</f>
        <v/>
      </c>
      <c r="F672" s="25">
        <f>IF(OR($A672="",'04 Prices'!F672="",'04 Prices'!F673=""),"",LN('04 Prices'!F673/'04 Prices'!F672))</f>
        <v/>
      </c>
      <c r="G672" s="25">
        <f>IF(OR($A672="",'04 Prices'!G672="",'04 Prices'!G673=""),"",LN('04 Prices'!G673/'04 Prices'!G672))</f>
        <v/>
      </c>
      <c r="H672" s="25">
        <f>IF(OR($A672="",'04 Prices'!H672="",'04 Prices'!H673=""),"",LN('04 Prices'!H673/'04 Prices'!H672))</f>
        <v/>
      </c>
    </row>
    <row r="673">
      <c r="A673" s="23">
        <f>IF('04 Prices'!A674="","",'04 Prices'!A674)</f>
        <v/>
      </c>
      <c r="B673" s="25">
        <f>IF(OR($A673="",'04 Prices'!B673="",'04 Prices'!B674=""),"",LN('04 Prices'!B674/'04 Prices'!B673))</f>
        <v/>
      </c>
      <c r="C673" s="25">
        <f>IF(OR($A673="",'04 Prices'!C673="",'04 Prices'!C674=""),"",LN('04 Prices'!C674/'04 Prices'!C673))</f>
        <v/>
      </c>
      <c r="D673" s="25">
        <f>IF(OR($A673="",'04 Prices'!D673="",'04 Prices'!D674=""),"",LN('04 Prices'!D674/'04 Prices'!D673))</f>
        <v/>
      </c>
      <c r="E673" s="25">
        <f>IF(OR($A673="",'04 Prices'!E673="",'04 Prices'!E674=""),"",LN('04 Prices'!E674/'04 Prices'!E673))</f>
        <v/>
      </c>
      <c r="F673" s="25">
        <f>IF(OR($A673="",'04 Prices'!F673="",'04 Prices'!F674=""),"",LN('04 Prices'!F674/'04 Prices'!F673))</f>
        <v/>
      </c>
      <c r="G673" s="25">
        <f>IF(OR($A673="",'04 Prices'!G673="",'04 Prices'!G674=""),"",LN('04 Prices'!G674/'04 Prices'!G673))</f>
        <v/>
      </c>
      <c r="H673" s="25">
        <f>IF(OR($A673="",'04 Prices'!H673="",'04 Prices'!H674=""),"",LN('04 Prices'!H674/'04 Prices'!H673))</f>
        <v/>
      </c>
    </row>
    <row r="674">
      <c r="A674" s="23">
        <f>IF('04 Prices'!A675="","",'04 Prices'!A675)</f>
        <v/>
      </c>
      <c r="B674" s="25">
        <f>IF(OR($A674="",'04 Prices'!B674="",'04 Prices'!B675=""),"",LN('04 Prices'!B675/'04 Prices'!B674))</f>
        <v/>
      </c>
      <c r="C674" s="25">
        <f>IF(OR($A674="",'04 Prices'!C674="",'04 Prices'!C675=""),"",LN('04 Prices'!C675/'04 Prices'!C674))</f>
        <v/>
      </c>
      <c r="D674" s="25">
        <f>IF(OR($A674="",'04 Prices'!D674="",'04 Prices'!D675=""),"",LN('04 Prices'!D675/'04 Prices'!D674))</f>
        <v/>
      </c>
      <c r="E674" s="25">
        <f>IF(OR($A674="",'04 Prices'!E674="",'04 Prices'!E675=""),"",LN('04 Prices'!E675/'04 Prices'!E674))</f>
        <v/>
      </c>
      <c r="F674" s="25">
        <f>IF(OR($A674="",'04 Prices'!F674="",'04 Prices'!F675=""),"",LN('04 Prices'!F675/'04 Prices'!F674))</f>
        <v/>
      </c>
      <c r="G674" s="25">
        <f>IF(OR($A674="",'04 Prices'!G674="",'04 Prices'!G675=""),"",LN('04 Prices'!G675/'04 Prices'!G674))</f>
        <v/>
      </c>
      <c r="H674" s="25">
        <f>IF(OR($A674="",'04 Prices'!H674="",'04 Prices'!H675=""),"",LN('04 Prices'!H675/'04 Prices'!H674))</f>
        <v/>
      </c>
    </row>
    <row r="675">
      <c r="A675" s="23">
        <f>IF('04 Prices'!A676="","",'04 Prices'!A676)</f>
        <v/>
      </c>
      <c r="B675" s="25">
        <f>IF(OR($A675="",'04 Prices'!B675="",'04 Prices'!B676=""),"",LN('04 Prices'!B676/'04 Prices'!B675))</f>
        <v/>
      </c>
      <c r="C675" s="25">
        <f>IF(OR($A675="",'04 Prices'!C675="",'04 Prices'!C676=""),"",LN('04 Prices'!C676/'04 Prices'!C675))</f>
        <v/>
      </c>
      <c r="D675" s="25">
        <f>IF(OR($A675="",'04 Prices'!D675="",'04 Prices'!D676=""),"",LN('04 Prices'!D676/'04 Prices'!D675))</f>
        <v/>
      </c>
      <c r="E675" s="25">
        <f>IF(OR($A675="",'04 Prices'!E675="",'04 Prices'!E676=""),"",LN('04 Prices'!E676/'04 Prices'!E675))</f>
        <v/>
      </c>
      <c r="F675" s="25">
        <f>IF(OR($A675="",'04 Prices'!F675="",'04 Prices'!F676=""),"",LN('04 Prices'!F676/'04 Prices'!F675))</f>
        <v/>
      </c>
      <c r="G675" s="25">
        <f>IF(OR($A675="",'04 Prices'!G675="",'04 Prices'!G676=""),"",LN('04 Prices'!G676/'04 Prices'!G675))</f>
        <v/>
      </c>
      <c r="H675" s="25">
        <f>IF(OR($A675="",'04 Prices'!H675="",'04 Prices'!H676=""),"",LN('04 Prices'!H676/'04 Prices'!H675))</f>
        <v/>
      </c>
    </row>
    <row r="676">
      <c r="A676" s="23">
        <f>IF('04 Prices'!A677="","",'04 Prices'!A677)</f>
        <v/>
      </c>
      <c r="B676" s="25">
        <f>IF(OR($A676="",'04 Prices'!B676="",'04 Prices'!B677=""),"",LN('04 Prices'!B677/'04 Prices'!B676))</f>
        <v/>
      </c>
      <c r="C676" s="25">
        <f>IF(OR($A676="",'04 Prices'!C676="",'04 Prices'!C677=""),"",LN('04 Prices'!C677/'04 Prices'!C676))</f>
        <v/>
      </c>
      <c r="D676" s="25">
        <f>IF(OR($A676="",'04 Prices'!D676="",'04 Prices'!D677=""),"",LN('04 Prices'!D677/'04 Prices'!D676))</f>
        <v/>
      </c>
      <c r="E676" s="25">
        <f>IF(OR($A676="",'04 Prices'!E676="",'04 Prices'!E677=""),"",LN('04 Prices'!E677/'04 Prices'!E676))</f>
        <v/>
      </c>
      <c r="F676" s="25">
        <f>IF(OR($A676="",'04 Prices'!F676="",'04 Prices'!F677=""),"",LN('04 Prices'!F677/'04 Prices'!F676))</f>
        <v/>
      </c>
      <c r="G676" s="25">
        <f>IF(OR($A676="",'04 Prices'!G676="",'04 Prices'!G677=""),"",LN('04 Prices'!G677/'04 Prices'!G676))</f>
        <v/>
      </c>
      <c r="H676" s="25">
        <f>IF(OR($A676="",'04 Prices'!H676="",'04 Prices'!H677=""),"",LN('04 Prices'!H677/'04 Prices'!H676))</f>
        <v/>
      </c>
    </row>
    <row r="677">
      <c r="A677" s="23">
        <f>IF('04 Prices'!A678="","",'04 Prices'!A678)</f>
        <v/>
      </c>
      <c r="B677" s="25">
        <f>IF(OR($A677="",'04 Prices'!B677="",'04 Prices'!B678=""),"",LN('04 Prices'!B678/'04 Prices'!B677))</f>
        <v/>
      </c>
      <c r="C677" s="25">
        <f>IF(OR($A677="",'04 Prices'!C677="",'04 Prices'!C678=""),"",LN('04 Prices'!C678/'04 Prices'!C677))</f>
        <v/>
      </c>
      <c r="D677" s="25">
        <f>IF(OR($A677="",'04 Prices'!D677="",'04 Prices'!D678=""),"",LN('04 Prices'!D678/'04 Prices'!D677))</f>
        <v/>
      </c>
      <c r="E677" s="25">
        <f>IF(OR($A677="",'04 Prices'!E677="",'04 Prices'!E678=""),"",LN('04 Prices'!E678/'04 Prices'!E677))</f>
        <v/>
      </c>
      <c r="F677" s="25">
        <f>IF(OR($A677="",'04 Prices'!F677="",'04 Prices'!F678=""),"",LN('04 Prices'!F678/'04 Prices'!F677))</f>
        <v/>
      </c>
      <c r="G677" s="25">
        <f>IF(OR($A677="",'04 Prices'!G677="",'04 Prices'!G678=""),"",LN('04 Prices'!G678/'04 Prices'!G677))</f>
        <v/>
      </c>
      <c r="H677" s="25">
        <f>IF(OR($A677="",'04 Prices'!H677="",'04 Prices'!H678=""),"",LN('04 Prices'!H678/'04 Prices'!H677))</f>
        <v/>
      </c>
    </row>
    <row r="678">
      <c r="A678" s="23">
        <f>IF('04 Prices'!A679="","",'04 Prices'!A679)</f>
        <v/>
      </c>
      <c r="B678" s="25">
        <f>IF(OR($A678="",'04 Prices'!B678="",'04 Prices'!B679=""),"",LN('04 Prices'!B679/'04 Prices'!B678))</f>
        <v/>
      </c>
      <c r="C678" s="25">
        <f>IF(OR($A678="",'04 Prices'!C678="",'04 Prices'!C679=""),"",LN('04 Prices'!C679/'04 Prices'!C678))</f>
        <v/>
      </c>
      <c r="D678" s="25">
        <f>IF(OR($A678="",'04 Prices'!D678="",'04 Prices'!D679=""),"",LN('04 Prices'!D679/'04 Prices'!D678))</f>
        <v/>
      </c>
      <c r="E678" s="25">
        <f>IF(OR($A678="",'04 Prices'!E678="",'04 Prices'!E679=""),"",LN('04 Prices'!E679/'04 Prices'!E678))</f>
        <v/>
      </c>
      <c r="F678" s="25">
        <f>IF(OR($A678="",'04 Prices'!F678="",'04 Prices'!F679=""),"",LN('04 Prices'!F679/'04 Prices'!F678))</f>
        <v/>
      </c>
      <c r="G678" s="25">
        <f>IF(OR($A678="",'04 Prices'!G678="",'04 Prices'!G679=""),"",LN('04 Prices'!G679/'04 Prices'!G678))</f>
        <v/>
      </c>
      <c r="H678" s="25">
        <f>IF(OR($A678="",'04 Prices'!H678="",'04 Prices'!H679=""),"",LN('04 Prices'!H679/'04 Prices'!H678))</f>
        <v/>
      </c>
    </row>
    <row r="679">
      <c r="A679" s="23">
        <f>IF('04 Prices'!A680="","",'04 Prices'!A680)</f>
        <v/>
      </c>
      <c r="B679" s="25">
        <f>IF(OR($A679="",'04 Prices'!B679="",'04 Prices'!B680=""),"",LN('04 Prices'!B680/'04 Prices'!B679))</f>
        <v/>
      </c>
      <c r="C679" s="25">
        <f>IF(OR($A679="",'04 Prices'!C679="",'04 Prices'!C680=""),"",LN('04 Prices'!C680/'04 Prices'!C679))</f>
        <v/>
      </c>
      <c r="D679" s="25">
        <f>IF(OR($A679="",'04 Prices'!D679="",'04 Prices'!D680=""),"",LN('04 Prices'!D680/'04 Prices'!D679))</f>
        <v/>
      </c>
      <c r="E679" s="25">
        <f>IF(OR($A679="",'04 Prices'!E679="",'04 Prices'!E680=""),"",LN('04 Prices'!E680/'04 Prices'!E679))</f>
        <v/>
      </c>
      <c r="F679" s="25">
        <f>IF(OR($A679="",'04 Prices'!F679="",'04 Prices'!F680=""),"",LN('04 Prices'!F680/'04 Prices'!F679))</f>
        <v/>
      </c>
      <c r="G679" s="25">
        <f>IF(OR($A679="",'04 Prices'!G679="",'04 Prices'!G680=""),"",LN('04 Prices'!G680/'04 Prices'!G679))</f>
        <v/>
      </c>
      <c r="H679" s="25">
        <f>IF(OR($A679="",'04 Prices'!H679="",'04 Prices'!H680=""),"",LN('04 Prices'!H680/'04 Prices'!H679))</f>
        <v/>
      </c>
    </row>
    <row r="680">
      <c r="A680" s="23">
        <f>IF('04 Prices'!A681="","",'04 Prices'!A681)</f>
        <v/>
      </c>
      <c r="B680" s="25">
        <f>IF(OR($A680="",'04 Prices'!B680="",'04 Prices'!B681=""),"",LN('04 Prices'!B681/'04 Prices'!B680))</f>
        <v/>
      </c>
      <c r="C680" s="25">
        <f>IF(OR($A680="",'04 Prices'!C680="",'04 Prices'!C681=""),"",LN('04 Prices'!C681/'04 Prices'!C680))</f>
        <v/>
      </c>
      <c r="D680" s="25">
        <f>IF(OR($A680="",'04 Prices'!D680="",'04 Prices'!D681=""),"",LN('04 Prices'!D681/'04 Prices'!D680))</f>
        <v/>
      </c>
      <c r="E680" s="25">
        <f>IF(OR($A680="",'04 Prices'!E680="",'04 Prices'!E681=""),"",LN('04 Prices'!E681/'04 Prices'!E680))</f>
        <v/>
      </c>
      <c r="F680" s="25">
        <f>IF(OR($A680="",'04 Prices'!F680="",'04 Prices'!F681=""),"",LN('04 Prices'!F681/'04 Prices'!F680))</f>
        <v/>
      </c>
      <c r="G680" s="25">
        <f>IF(OR($A680="",'04 Prices'!G680="",'04 Prices'!G681=""),"",LN('04 Prices'!G681/'04 Prices'!G680))</f>
        <v/>
      </c>
      <c r="H680" s="25">
        <f>IF(OR($A680="",'04 Prices'!H680="",'04 Prices'!H681=""),"",LN('04 Prices'!H681/'04 Prices'!H680))</f>
        <v/>
      </c>
    </row>
    <row r="681">
      <c r="A681" s="23">
        <f>IF('04 Prices'!A682="","",'04 Prices'!A682)</f>
        <v/>
      </c>
      <c r="B681" s="25">
        <f>IF(OR($A681="",'04 Prices'!B681="",'04 Prices'!B682=""),"",LN('04 Prices'!B682/'04 Prices'!B681))</f>
        <v/>
      </c>
      <c r="C681" s="25">
        <f>IF(OR($A681="",'04 Prices'!C681="",'04 Prices'!C682=""),"",LN('04 Prices'!C682/'04 Prices'!C681))</f>
        <v/>
      </c>
      <c r="D681" s="25">
        <f>IF(OR($A681="",'04 Prices'!D681="",'04 Prices'!D682=""),"",LN('04 Prices'!D682/'04 Prices'!D681))</f>
        <v/>
      </c>
      <c r="E681" s="25">
        <f>IF(OR($A681="",'04 Prices'!E681="",'04 Prices'!E682=""),"",LN('04 Prices'!E682/'04 Prices'!E681))</f>
        <v/>
      </c>
      <c r="F681" s="25">
        <f>IF(OR($A681="",'04 Prices'!F681="",'04 Prices'!F682=""),"",LN('04 Prices'!F682/'04 Prices'!F681))</f>
        <v/>
      </c>
      <c r="G681" s="25">
        <f>IF(OR($A681="",'04 Prices'!G681="",'04 Prices'!G682=""),"",LN('04 Prices'!G682/'04 Prices'!G681))</f>
        <v/>
      </c>
      <c r="H681" s="25">
        <f>IF(OR($A681="",'04 Prices'!H681="",'04 Prices'!H682=""),"",LN('04 Prices'!H682/'04 Prices'!H681))</f>
        <v/>
      </c>
    </row>
    <row r="682">
      <c r="A682" s="23">
        <f>IF('04 Prices'!A683="","",'04 Prices'!A683)</f>
        <v/>
      </c>
      <c r="B682" s="25">
        <f>IF(OR($A682="",'04 Prices'!B682="",'04 Prices'!B683=""),"",LN('04 Prices'!B683/'04 Prices'!B682))</f>
        <v/>
      </c>
      <c r="C682" s="25">
        <f>IF(OR($A682="",'04 Prices'!C682="",'04 Prices'!C683=""),"",LN('04 Prices'!C683/'04 Prices'!C682))</f>
        <v/>
      </c>
      <c r="D682" s="25">
        <f>IF(OR($A682="",'04 Prices'!D682="",'04 Prices'!D683=""),"",LN('04 Prices'!D683/'04 Prices'!D682))</f>
        <v/>
      </c>
      <c r="E682" s="25">
        <f>IF(OR($A682="",'04 Prices'!E682="",'04 Prices'!E683=""),"",LN('04 Prices'!E683/'04 Prices'!E682))</f>
        <v/>
      </c>
      <c r="F682" s="25">
        <f>IF(OR($A682="",'04 Prices'!F682="",'04 Prices'!F683=""),"",LN('04 Prices'!F683/'04 Prices'!F682))</f>
        <v/>
      </c>
      <c r="G682" s="25">
        <f>IF(OR($A682="",'04 Prices'!G682="",'04 Prices'!G683=""),"",LN('04 Prices'!G683/'04 Prices'!G682))</f>
        <v/>
      </c>
      <c r="H682" s="25">
        <f>IF(OR($A682="",'04 Prices'!H682="",'04 Prices'!H683=""),"",LN('04 Prices'!H683/'04 Prices'!H682))</f>
        <v/>
      </c>
    </row>
    <row r="683">
      <c r="A683" s="23">
        <f>IF('04 Prices'!A684="","",'04 Prices'!A684)</f>
        <v/>
      </c>
      <c r="B683" s="25">
        <f>IF(OR($A683="",'04 Prices'!B683="",'04 Prices'!B684=""),"",LN('04 Prices'!B684/'04 Prices'!B683))</f>
        <v/>
      </c>
      <c r="C683" s="25">
        <f>IF(OR($A683="",'04 Prices'!C683="",'04 Prices'!C684=""),"",LN('04 Prices'!C684/'04 Prices'!C683))</f>
        <v/>
      </c>
      <c r="D683" s="25">
        <f>IF(OR($A683="",'04 Prices'!D683="",'04 Prices'!D684=""),"",LN('04 Prices'!D684/'04 Prices'!D683))</f>
        <v/>
      </c>
      <c r="E683" s="25">
        <f>IF(OR($A683="",'04 Prices'!E683="",'04 Prices'!E684=""),"",LN('04 Prices'!E684/'04 Prices'!E683))</f>
        <v/>
      </c>
      <c r="F683" s="25">
        <f>IF(OR($A683="",'04 Prices'!F683="",'04 Prices'!F684=""),"",LN('04 Prices'!F684/'04 Prices'!F683))</f>
        <v/>
      </c>
      <c r="G683" s="25">
        <f>IF(OR($A683="",'04 Prices'!G683="",'04 Prices'!G684=""),"",LN('04 Prices'!G684/'04 Prices'!G683))</f>
        <v/>
      </c>
      <c r="H683" s="25">
        <f>IF(OR($A683="",'04 Prices'!H683="",'04 Prices'!H684=""),"",LN('04 Prices'!H684/'04 Prices'!H683))</f>
        <v/>
      </c>
    </row>
    <row r="684">
      <c r="A684" s="23">
        <f>IF('04 Prices'!A685="","",'04 Prices'!A685)</f>
        <v/>
      </c>
      <c r="B684" s="25">
        <f>IF(OR($A684="",'04 Prices'!B684="",'04 Prices'!B685=""),"",LN('04 Prices'!B685/'04 Prices'!B684))</f>
        <v/>
      </c>
      <c r="C684" s="25">
        <f>IF(OR($A684="",'04 Prices'!C684="",'04 Prices'!C685=""),"",LN('04 Prices'!C685/'04 Prices'!C684))</f>
        <v/>
      </c>
      <c r="D684" s="25">
        <f>IF(OR($A684="",'04 Prices'!D684="",'04 Prices'!D685=""),"",LN('04 Prices'!D685/'04 Prices'!D684))</f>
        <v/>
      </c>
      <c r="E684" s="25">
        <f>IF(OR($A684="",'04 Prices'!E684="",'04 Prices'!E685=""),"",LN('04 Prices'!E685/'04 Prices'!E684))</f>
        <v/>
      </c>
      <c r="F684" s="25">
        <f>IF(OR($A684="",'04 Prices'!F684="",'04 Prices'!F685=""),"",LN('04 Prices'!F685/'04 Prices'!F684))</f>
        <v/>
      </c>
      <c r="G684" s="25">
        <f>IF(OR($A684="",'04 Prices'!G684="",'04 Prices'!G685=""),"",LN('04 Prices'!G685/'04 Prices'!G684))</f>
        <v/>
      </c>
      <c r="H684" s="25">
        <f>IF(OR($A684="",'04 Prices'!H684="",'04 Prices'!H685=""),"",LN('04 Prices'!H685/'04 Prices'!H684))</f>
        <v/>
      </c>
    </row>
    <row r="685">
      <c r="A685" s="23">
        <f>IF('04 Prices'!A686="","",'04 Prices'!A686)</f>
        <v/>
      </c>
      <c r="B685" s="25">
        <f>IF(OR($A685="",'04 Prices'!B685="",'04 Prices'!B686=""),"",LN('04 Prices'!B686/'04 Prices'!B685))</f>
        <v/>
      </c>
      <c r="C685" s="25">
        <f>IF(OR($A685="",'04 Prices'!C685="",'04 Prices'!C686=""),"",LN('04 Prices'!C686/'04 Prices'!C685))</f>
        <v/>
      </c>
      <c r="D685" s="25">
        <f>IF(OR($A685="",'04 Prices'!D685="",'04 Prices'!D686=""),"",LN('04 Prices'!D686/'04 Prices'!D685))</f>
        <v/>
      </c>
      <c r="E685" s="25">
        <f>IF(OR($A685="",'04 Prices'!E685="",'04 Prices'!E686=""),"",LN('04 Prices'!E686/'04 Prices'!E685))</f>
        <v/>
      </c>
      <c r="F685" s="25">
        <f>IF(OR($A685="",'04 Prices'!F685="",'04 Prices'!F686=""),"",LN('04 Prices'!F686/'04 Prices'!F685))</f>
        <v/>
      </c>
      <c r="G685" s="25">
        <f>IF(OR($A685="",'04 Prices'!G685="",'04 Prices'!G686=""),"",LN('04 Prices'!G686/'04 Prices'!G685))</f>
        <v/>
      </c>
      <c r="H685" s="25">
        <f>IF(OR($A685="",'04 Prices'!H685="",'04 Prices'!H686=""),"",LN('04 Prices'!H686/'04 Prices'!H685))</f>
        <v/>
      </c>
    </row>
    <row r="686">
      <c r="A686" s="23">
        <f>IF('04 Prices'!A687="","",'04 Prices'!A687)</f>
        <v/>
      </c>
      <c r="B686" s="25">
        <f>IF(OR($A686="",'04 Prices'!B686="",'04 Prices'!B687=""),"",LN('04 Prices'!B687/'04 Prices'!B686))</f>
        <v/>
      </c>
      <c r="C686" s="25">
        <f>IF(OR($A686="",'04 Prices'!C686="",'04 Prices'!C687=""),"",LN('04 Prices'!C687/'04 Prices'!C686))</f>
        <v/>
      </c>
      <c r="D686" s="25">
        <f>IF(OR($A686="",'04 Prices'!D686="",'04 Prices'!D687=""),"",LN('04 Prices'!D687/'04 Prices'!D686))</f>
        <v/>
      </c>
      <c r="E686" s="25">
        <f>IF(OR($A686="",'04 Prices'!E686="",'04 Prices'!E687=""),"",LN('04 Prices'!E687/'04 Prices'!E686))</f>
        <v/>
      </c>
      <c r="F686" s="25">
        <f>IF(OR($A686="",'04 Prices'!F686="",'04 Prices'!F687=""),"",LN('04 Prices'!F687/'04 Prices'!F686))</f>
        <v/>
      </c>
      <c r="G686" s="25">
        <f>IF(OR($A686="",'04 Prices'!G686="",'04 Prices'!G687=""),"",LN('04 Prices'!G687/'04 Prices'!G686))</f>
        <v/>
      </c>
      <c r="H686" s="25">
        <f>IF(OR($A686="",'04 Prices'!H686="",'04 Prices'!H687=""),"",LN('04 Prices'!H687/'04 Prices'!H686))</f>
        <v/>
      </c>
    </row>
    <row r="687">
      <c r="A687" s="23">
        <f>IF('04 Prices'!A688="","",'04 Prices'!A688)</f>
        <v/>
      </c>
      <c r="B687" s="25">
        <f>IF(OR($A687="",'04 Prices'!B687="",'04 Prices'!B688=""),"",LN('04 Prices'!B688/'04 Prices'!B687))</f>
        <v/>
      </c>
      <c r="C687" s="25">
        <f>IF(OR($A687="",'04 Prices'!C687="",'04 Prices'!C688=""),"",LN('04 Prices'!C688/'04 Prices'!C687))</f>
        <v/>
      </c>
      <c r="D687" s="25">
        <f>IF(OR($A687="",'04 Prices'!D687="",'04 Prices'!D688=""),"",LN('04 Prices'!D688/'04 Prices'!D687))</f>
        <v/>
      </c>
      <c r="E687" s="25">
        <f>IF(OR($A687="",'04 Prices'!E687="",'04 Prices'!E688=""),"",LN('04 Prices'!E688/'04 Prices'!E687))</f>
        <v/>
      </c>
      <c r="F687" s="25">
        <f>IF(OR($A687="",'04 Prices'!F687="",'04 Prices'!F688=""),"",LN('04 Prices'!F688/'04 Prices'!F687))</f>
        <v/>
      </c>
      <c r="G687" s="25">
        <f>IF(OR($A687="",'04 Prices'!G687="",'04 Prices'!G688=""),"",LN('04 Prices'!G688/'04 Prices'!G687))</f>
        <v/>
      </c>
      <c r="H687" s="25">
        <f>IF(OR($A687="",'04 Prices'!H687="",'04 Prices'!H688=""),"",LN('04 Prices'!H688/'04 Prices'!H687))</f>
        <v/>
      </c>
    </row>
    <row r="688">
      <c r="A688" s="23">
        <f>IF('04 Prices'!A689="","",'04 Prices'!A689)</f>
        <v/>
      </c>
      <c r="B688" s="25">
        <f>IF(OR($A688="",'04 Prices'!B688="",'04 Prices'!B689=""),"",LN('04 Prices'!B689/'04 Prices'!B688))</f>
        <v/>
      </c>
      <c r="C688" s="25">
        <f>IF(OR($A688="",'04 Prices'!C688="",'04 Prices'!C689=""),"",LN('04 Prices'!C689/'04 Prices'!C688))</f>
        <v/>
      </c>
      <c r="D688" s="25">
        <f>IF(OR($A688="",'04 Prices'!D688="",'04 Prices'!D689=""),"",LN('04 Prices'!D689/'04 Prices'!D688))</f>
        <v/>
      </c>
      <c r="E688" s="25">
        <f>IF(OR($A688="",'04 Prices'!E688="",'04 Prices'!E689=""),"",LN('04 Prices'!E689/'04 Prices'!E688))</f>
        <v/>
      </c>
      <c r="F688" s="25">
        <f>IF(OR($A688="",'04 Prices'!F688="",'04 Prices'!F689=""),"",LN('04 Prices'!F689/'04 Prices'!F688))</f>
        <v/>
      </c>
      <c r="G688" s="25">
        <f>IF(OR($A688="",'04 Prices'!G688="",'04 Prices'!G689=""),"",LN('04 Prices'!G689/'04 Prices'!G688))</f>
        <v/>
      </c>
      <c r="H688" s="25">
        <f>IF(OR($A688="",'04 Prices'!H688="",'04 Prices'!H689=""),"",LN('04 Prices'!H689/'04 Prices'!H688))</f>
        <v/>
      </c>
    </row>
    <row r="689">
      <c r="A689" s="23">
        <f>IF('04 Prices'!A690="","",'04 Prices'!A690)</f>
        <v/>
      </c>
      <c r="B689" s="25">
        <f>IF(OR($A689="",'04 Prices'!B689="",'04 Prices'!B690=""),"",LN('04 Prices'!B690/'04 Prices'!B689))</f>
        <v/>
      </c>
      <c r="C689" s="25">
        <f>IF(OR($A689="",'04 Prices'!C689="",'04 Prices'!C690=""),"",LN('04 Prices'!C690/'04 Prices'!C689))</f>
        <v/>
      </c>
      <c r="D689" s="25">
        <f>IF(OR($A689="",'04 Prices'!D689="",'04 Prices'!D690=""),"",LN('04 Prices'!D690/'04 Prices'!D689))</f>
        <v/>
      </c>
      <c r="E689" s="25">
        <f>IF(OR($A689="",'04 Prices'!E689="",'04 Prices'!E690=""),"",LN('04 Prices'!E690/'04 Prices'!E689))</f>
        <v/>
      </c>
      <c r="F689" s="25">
        <f>IF(OR($A689="",'04 Prices'!F689="",'04 Prices'!F690=""),"",LN('04 Prices'!F690/'04 Prices'!F689))</f>
        <v/>
      </c>
      <c r="G689" s="25">
        <f>IF(OR($A689="",'04 Prices'!G689="",'04 Prices'!G690=""),"",LN('04 Prices'!G690/'04 Prices'!G689))</f>
        <v/>
      </c>
      <c r="H689" s="25">
        <f>IF(OR($A689="",'04 Prices'!H689="",'04 Prices'!H690=""),"",LN('04 Prices'!H690/'04 Prices'!H689))</f>
        <v/>
      </c>
    </row>
    <row r="690">
      <c r="A690" s="23">
        <f>IF('04 Prices'!A691="","",'04 Prices'!A691)</f>
        <v/>
      </c>
      <c r="B690" s="25">
        <f>IF(OR($A690="",'04 Prices'!B690="",'04 Prices'!B691=""),"",LN('04 Prices'!B691/'04 Prices'!B690))</f>
        <v/>
      </c>
      <c r="C690" s="25">
        <f>IF(OR($A690="",'04 Prices'!C690="",'04 Prices'!C691=""),"",LN('04 Prices'!C691/'04 Prices'!C690))</f>
        <v/>
      </c>
      <c r="D690" s="25">
        <f>IF(OR($A690="",'04 Prices'!D690="",'04 Prices'!D691=""),"",LN('04 Prices'!D691/'04 Prices'!D690))</f>
        <v/>
      </c>
      <c r="E690" s="25">
        <f>IF(OR($A690="",'04 Prices'!E690="",'04 Prices'!E691=""),"",LN('04 Prices'!E691/'04 Prices'!E690))</f>
        <v/>
      </c>
      <c r="F690" s="25">
        <f>IF(OR($A690="",'04 Prices'!F690="",'04 Prices'!F691=""),"",LN('04 Prices'!F691/'04 Prices'!F690))</f>
        <v/>
      </c>
      <c r="G690" s="25">
        <f>IF(OR($A690="",'04 Prices'!G690="",'04 Prices'!G691=""),"",LN('04 Prices'!G691/'04 Prices'!G690))</f>
        <v/>
      </c>
      <c r="H690" s="25">
        <f>IF(OR($A690="",'04 Prices'!H690="",'04 Prices'!H691=""),"",LN('04 Prices'!H691/'04 Prices'!H690))</f>
        <v/>
      </c>
    </row>
    <row r="691">
      <c r="A691" s="23">
        <f>IF('04 Prices'!A692="","",'04 Prices'!A692)</f>
        <v/>
      </c>
      <c r="B691" s="25">
        <f>IF(OR($A691="",'04 Prices'!B691="",'04 Prices'!B692=""),"",LN('04 Prices'!B692/'04 Prices'!B691))</f>
        <v/>
      </c>
      <c r="C691" s="25">
        <f>IF(OR($A691="",'04 Prices'!C691="",'04 Prices'!C692=""),"",LN('04 Prices'!C692/'04 Prices'!C691))</f>
        <v/>
      </c>
      <c r="D691" s="25">
        <f>IF(OR($A691="",'04 Prices'!D691="",'04 Prices'!D692=""),"",LN('04 Prices'!D692/'04 Prices'!D691))</f>
        <v/>
      </c>
      <c r="E691" s="25">
        <f>IF(OR($A691="",'04 Prices'!E691="",'04 Prices'!E692=""),"",LN('04 Prices'!E692/'04 Prices'!E691))</f>
        <v/>
      </c>
      <c r="F691" s="25">
        <f>IF(OR($A691="",'04 Prices'!F691="",'04 Prices'!F692=""),"",LN('04 Prices'!F692/'04 Prices'!F691))</f>
        <v/>
      </c>
      <c r="G691" s="25">
        <f>IF(OR($A691="",'04 Prices'!G691="",'04 Prices'!G692=""),"",LN('04 Prices'!G692/'04 Prices'!G691))</f>
        <v/>
      </c>
      <c r="H691" s="25">
        <f>IF(OR($A691="",'04 Prices'!H691="",'04 Prices'!H692=""),"",LN('04 Prices'!H692/'04 Prices'!H691))</f>
        <v/>
      </c>
    </row>
    <row r="692">
      <c r="A692" s="23">
        <f>IF('04 Prices'!A693="","",'04 Prices'!A693)</f>
        <v/>
      </c>
      <c r="B692" s="25">
        <f>IF(OR($A692="",'04 Prices'!B692="",'04 Prices'!B693=""),"",LN('04 Prices'!B693/'04 Prices'!B692))</f>
        <v/>
      </c>
      <c r="C692" s="25">
        <f>IF(OR($A692="",'04 Prices'!C692="",'04 Prices'!C693=""),"",LN('04 Prices'!C693/'04 Prices'!C692))</f>
        <v/>
      </c>
      <c r="D692" s="25">
        <f>IF(OR($A692="",'04 Prices'!D692="",'04 Prices'!D693=""),"",LN('04 Prices'!D693/'04 Prices'!D692))</f>
        <v/>
      </c>
      <c r="E692" s="25">
        <f>IF(OR($A692="",'04 Prices'!E692="",'04 Prices'!E693=""),"",LN('04 Prices'!E693/'04 Prices'!E692))</f>
        <v/>
      </c>
      <c r="F692" s="25">
        <f>IF(OR($A692="",'04 Prices'!F692="",'04 Prices'!F693=""),"",LN('04 Prices'!F693/'04 Prices'!F692))</f>
        <v/>
      </c>
      <c r="G692" s="25">
        <f>IF(OR($A692="",'04 Prices'!G692="",'04 Prices'!G693=""),"",LN('04 Prices'!G693/'04 Prices'!G692))</f>
        <v/>
      </c>
      <c r="H692" s="25">
        <f>IF(OR($A692="",'04 Prices'!H692="",'04 Prices'!H693=""),"",LN('04 Prices'!H693/'04 Prices'!H692))</f>
        <v/>
      </c>
    </row>
    <row r="693">
      <c r="A693" s="23">
        <f>IF('04 Prices'!A694="","",'04 Prices'!A694)</f>
        <v/>
      </c>
      <c r="B693" s="25">
        <f>IF(OR($A693="",'04 Prices'!B693="",'04 Prices'!B694=""),"",LN('04 Prices'!B694/'04 Prices'!B693))</f>
        <v/>
      </c>
      <c r="C693" s="25">
        <f>IF(OR($A693="",'04 Prices'!C693="",'04 Prices'!C694=""),"",LN('04 Prices'!C694/'04 Prices'!C693))</f>
        <v/>
      </c>
      <c r="D693" s="25">
        <f>IF(OR($A693="",'04 Prices'!D693="",'04 Prices'!D694=""),"",LN('04 Prices'!D694/'04 Prices'!D693))</f>
        <v/>
      </c>
      <c r="E693" s="25">
        <f>IF(OR($A693="",'04 Prices'!E693="",'04 Prices'!E694=""),"",LN('04 Prices'!E694/'04 Prices'!E693))</f>
        <v/>
      </c>
      <c r="F693" s="25">
        <f>IF(OR($A693="",'04 Prices'!F693="",'04 Prices'!F694=""),"",LN('04 Prices'!F694/'04 Prices'!F693))</f>
        <v/>
      </c>
      <c r="G693" s="25">
        <f>IF(OR($A693="",'04 Prices'!G693="",'04 Prices'!G694=""),"",LN('04 Prices'!G694/'04 Prices'!G693))</f>
        <v/>
      </c>
      <c r="H693" s="25">
        <f>IF(OR($A693="",'04 Prices'!H693="",'04 Prices'!H694=""),"",LN('04 Prices'!H694/'04 Prices'!H693))</f>
        <v/>
      </c>
    </row>
    <row r="694">
      <c r="A694" s="23">
        <f>IF('04 Prices'!A695="","",'04 Prices'!A695)</f>
        <v/>
      </c>
      <c r="B694" s="25">
        <f>IF(OR($A694="",'04 Prices'!B694="",'04 Prices'!B695=""),"",LN('04 Prices'!B695/'04 Prices'!B694))</f>
        <v/>
      </c>
      <c r="C694" s="25">
        <f>IF(OR($A694="",'04 Prices'!C694="",'04 Prices'!C695=""),"",LN('04 Prices'!C695/'04 Prices'!C694))</f>
        <v/>
      </c>
      <c r="D694" s="25">
        <f>IF(OR($A694="",'04 Prices'!D694="",'04 Prices'!D695=""),"",LN('04 Prices'!D695/'04 Prices'!D694))</f>
        <v/>
      </c>
      <c r="E694" s="25">
        <f>IF(OR($A694="",'04 Prices'!E694="",'04 Prices'!E695=""),"",LN('04 Prices'!E695/'04 Prices'!E694))</f>
        <v/>
      </c>
      <c r="F694" s="25">
        <f>IF(OR($A694="",'04 Prices'!F694="",'04 Prices'!F695=""),"",LN('04 Prices'!F695/'04 Prices'!F694))</f>
        <v/>
      </c>
      <c r="G694" s="25">
        <f>IF(OR($A694="",'04 Prices'!G694="",'04 Prices'!G695=""),"",LN('04 Prices'!G695/'04 Prices'!G694))</f>
        <v/>
      </c>
      <c r="H694" s="25">
        <f>IF(OR($A694="",'04 Prices'!H694="",'04 Prices'!H695=""),"",LN('04 Prices'!H695/'04 Prices'!H694))</f>
        <v/>
      </c>
    </row>
    <row r="695">
      <c r="A695" s="23">
        <f>IF('04 Prices'!A696="","",'04 Prices'!A696)</f>
        <v/>
      </c>
      <c r="B695" s="25">
        <f>IF(OR($A695="",'04 Prices'!B695="",'04 Prices'!B696=""),"",LN('04 Prices'!B696/'04 Prices'!B695))</f>
        <v/>
      </c>
      <c r="C695" s="25">
        <f>IF(OR($A695="",'04 Prices'!C695="",'04 Prices'!C696=""),"",LN('04 Prices'!C696/'04 Prices'!C695))</f>
        <v/>
      </c>
      <c r="D695" s="25">
        <f>IF(OR($A695="",'04 Prices'!D695="",'04 Prices'!D696=""),"",LN('04 Prices'!D696/'04 Prices'!D695))</f>
        <v/>
      </c>
      <c r="E695" s="25">
        <f>IF(OR($A695="",'04 Prices'!E695="",'04 Prices'!E696=""),"",LN('04 Prices'!E696/'04 Prices'!E695))</f>
        <v/>
      </c>
      <c r="F695" s="25">
        <f>IF(OR($A695="",'04 Prices'!F695="",'04 Prices'!F696=""),"",LN('04 Prices'!F696/'04 Prices'!F695))</f>
        <v/>
      </c>
      <c r="G695" s="25">
        <f>IF(OR($A695="",'04 Prices'!G695="",'04 Prices'!G696=""),"",LN('04 Prices'!G696/'04 Prices'!G695))</f>
        <v/>
      </c>
      <c r="H695" s="25">
        <f>IF(OR($A695="",'04 Prices'!H695="",'04 Prices'!H696=""),"",LN('04 Prices'!H696/'04 Prices'!H695))</f>
        <v/>
      </c>
    </row>
    <row r="696">
      <c r="A696" s="23">
        <f>IF('04 Prices'!A697="","",'04 Prices'!A697)</f>
        <v/>
      </c>
      <c r="B696" s="25">
        <f>IF(OR($A696="",'04 Prices'!B696="",'04 Prices'!B697=""),"",LN('04 Prices'!B697/'04 Prices'!B696))</f>
        <v/>
      </c>
      <c r="C696" s="25">
        <f>IF(OR($A696="",'04 Prices'!C696="",'04 Prices'!C697=""),"",LN('04 Prices'!C697/'04 Prices'!C696))</f>
        <v/>
      </c>
      <c r="D696" s="25">
        <f>IF(OR($A696="",'04 Prices'!D696="",'04 Prices'!D697=""),"",LN('04 Prices'!D697/'04 Prices'!D696))</f>
        <v/>
      </c>
      <c r="E696" s="25">
        <f>IF(OR($A696="",'04 Prices'!E696="",'04 Prices'!E697=""),"",LN('04 Prices'!E697/'04 Prices'!E696))</f>
        <v/>
      </c>
      <c r="F696" s="25">
        <f>IF(OR($A696="",'04 Prices'!F696="",'04 Prices'!F697=""),"",LN('04 Prices'!F697/'04 Prices'!F696))</f>
        <v/>
      </c>
      <c r="G696" s="25">
        <f>IF(OR($A696="",'04 Prices'!G696="",'04 Prices'!G697=""),"",LN('04 Prices'!G697/'04 Prices'!G696))</f>
        <v/>
      </c>
      <c r="H696" s="25">
        <f>IF(OR($A696="",'04 Prices'!H696="",'04 Prices'!H697=""),"",LN('04 Prices'!H697/'04 Prices'!H696))</f>
        <v/>
      </c>
    </row>
    <row r="697">
      <c r="A697" s="23">
        <f>IF('04 Prices'!A698="","",'04 Prices'!A698)</f>
        <v/>
      </c>
      <c r="B697" s="25">
        <f>IF(OR($A697="",'04 Prices'!B697="",'04 Prices'!B698=""),"",LN('04 Prices'!B698/'04 Prices'!B697))</f>
        <v/>
      </c>
      <c r="C697" s="25">
        <f>IF(OR($A697="",'04 Prices'!C697="",'04 Prices'!C698=""),"",LN('04 Prices'!C698/'04 Prices'!C697))</f>
        <v/>
      </c>
      <c r="D697" s="25">
        <f>IF(OR($A697="",'04 Prices'!D697="",'04 Prices'!D698=""),"",LN('04 Prices'!D698/'04 Prices'!D697))</f>
        <v/>
      </c>
      <c r="E697" s="25">
        <f>IF(OR($A697="",'04 Prices'!E697="",'04 Prices'!E698=""),"",LN('04 Prices'!E698/'04 Prices'!E697))</f>
        <v/>
      </c>
      <c r="F697" s="25">
        <f>IF(OR($A697="",'04 Prices'!F697="",'04 Prices'!F698=""),"",LN('04 Prices'!F698/'04 Prices'!F697))</f>
        <v/>
      </c>
      <c r="G697" s="25">
        <f>IF(OR($A697="",'04 Prices'!G697="",'04 Prices'!G698=""),"",LN('04 Prices'!G698/'04 Prices'!G697))</f>
        <v/>
      </c>
      <c r="H697" s="25">
        <f>IF(OR($A697="",'04 Prices'!H697="",'04 Prices'!H698=""),"",LN('04 Prices'!H698/'04 Prices'!H697))</f>
        <v/>
      </c>
    </row>
    <row r="698">
      <c r="A698" s="23">
        <f>IF('04 Prices'!A699="","",'04 Prices'!A699)</f>
        <v/>
      </c>
      <c r="B698" s="25">
        <f>IF(OR($A698="",'04 Prices'!B698="",'04 Prices'!B699=""),"",LN('04 Prices'!B699/'04 Prices'!B698))</f>
        <v/>
      </c>
      <c r="C698" s="25">
        <f>IF(OR($A698="",'04 Prices'!C698="",'04 Prices'!C699=""),"",LN('04 Prices'!C699/'04 Prices'!C698))</f>
        <v/>
      </c>
      <c r="D698" s="25">
        <f>IF(OR($A698="",'04 Prices'!D698="",'04 Prices'!D699=""),"",LN('04 Prices'!D699/'04 Prices'!D698))</f>
        <v/>
      </c>
      <c r="E698" s="25">
        <f>IF(OR($A698="",'04 Prices'!E698="",'04 Prices'!E699=""),"",LN('04 Prices'!E699/'04 Prices'!E698))</f>
        <v/>
      </c>
      <c r="F698" s="25">
        <f>IF(OR($A698="",'04 Prices'!F698="",'04 Prices'!F699=""),"",LN('04 Prices'!F699/'04 Prices'!F698))</f>
        <v/>
      </c>
      <c r="G698" s="25">
        <f>IF(OR($A698="",'04 Prices'!G698="",'04 Prices'!G699=""),"",LN('04 Prices'!G699/'04 Prices'!G698))</f>
        <v/>
      </c>
      <c r="H698" s="25">
        <f>IF(OR($A698="",'04 Prices'!H698="",'04 Prices'!H699=""),"",LN('04 Prices'!H699/'04 Prices'!H698))</f>
        <v/>
      </c>
    </row>
    <row r="699">
      <c r="A699" s="23">
        <f>IF('04 Prices'!A700="","",'04 Prices'!A700)</f>
        <v/>
      </c>
      <c r="B699" s="25">
        <f>IF(OR($A699="",'04 Prices'!B699="",'04 Prices'!B700=""),"",LN('04 Prices'!B700/'04 Prices'!B699))</f>
        <v/>
      </c>
      <c r="C699" s="25">
        <f>IF(OR($A699="",'04 Prices'!C699="",'04 Prices'!C700=""),"",LN('04 Prices'!C700/'04 Prices'!C699))</f>
        <v/>
      </c>
      <c r="D699" s="25">
        <f>IF(OR($A699="",'04 Prices'!D699="",'04 Prices'!D700=""),"",LN('04 Prices'!D700/'04 Prices'!D699))</f>
        <v/>
      </c>
      <c r="E699" s="25">
        <f>IF(OR($A699="",'04 Prices'!E699="",'04 Prices'!E700=""),"",LN('04 Prices'!E700/'04 Prices'!E699))</f>
        <v/>
      </c>
      <c r="F699" s="25">
        <f>IF(OR($A699="",'04 Prices'!F699="",'04 Prices'!F700=""),"",LN('04 Prices'!F700/'04 Prices'!F699))</f>
        <v/>
      </c>
      <c r="G699" s="25">
        <f>IF(OR($A699="",'04 Prices'!G699="",'04 Prices'!G700=""),"",LN('04 Prices'!G700/'04 Prices'!G699))</f>
        <v/>
      </c>
      <c r="H699" s="25">
        <f>IF(OR($A699="",'04 Prices'!H699="",'04 Prices'!H700=""),"",LN('04 Prices'!H700/'04 Prices'!H699))</f>
        <v/>
      </c>
    </row>
    <row r="700">
      <c r="A700" s="23">
        <f>IF('04 Prices'!A701="","",'04 Prices'!A701)</f>
        <v/>
      </c>
      <c r="B700" s="25">
        <f>IF(OR($A700="",'04 Prices'!B700="",'04 Prices'!B701=""),"",LN('04 Prices'!B701/'04 Prices'!B700))</f>
        <v/>
      </c>
      <c r="C700" s="25">
        <f>IF(OR($A700="",'04 Prices'!C700="",'04 Prices'!C701=""),"",LN('04 Prices'!C701/'04 Prices'!C700))</f>
        <v/>
      </c>
      <c r="D700" s="25">
        <f>IF(OR($A700="",'04 Prices'!D700="",'04 Prices'!D701=""),"",LN('04 Prices'!D701/'04 Prices'!D700))</f>
        <v/>
      </c>
      <c r="E700" s="25">
        <f>IF(OR($A700="",'04 Prices'!E700="",'04 Prices'!E701=""),"",LN('04 Prices'!E701/'04 Prices'!E700))</f>
        <v/>
      </c>
      <c r="F700" s="25">
        <f>IF(OR($A700="",'04 Prices'!F700="",'04 Prices'!F701=""),"",LN('04 Prices'!F701/'04 Prices'!F700))</f>
        <v/>
      </c>
      <c r="G700" s="25">
        <f>IF(OR($A700="",'04 Prices'!G700="",'04 Prices'!G701=""),"",LN('04 Prices'!G701/'04 Prices'!G700))</f>
        <v/>
      </c>
      <c r="H700" s="25">
        <f>IF(OR($A700="",'04 Prices'!H700="",'04 Prices'!H701=""),"",LN('04 Prices'!H701/'04 Prices'!H700))</f>
        <v/>
      </c>
    </row>
    <row r="701">
      <c r="A701" s="23">
        <f>IF('04 Prices'!A702="","",'04 Prices'!A702)</f>
        <v/>
      </c>
      <c r="B701" s="25">
        <f>IF(OR($A701="",'04 Prices'!B701="",'04 Prices'!B702=""),"",LN('04 Prices'!B702/'04 Prices'!B701))</f>
        <v/>
      </c>
      <c r="C701" s="25">
        <f>IF(OR($A701="",'04 Prices'!C701="",'04 Prices'!C702=""),"",LN('04 Prices'!C702/'04 Prices'!C701))</f>
        <v/>
      </c>
      <c r="D701" s="25">
        <f>IF(OR($A701="",'04 Prices'!D701="",'04 Prices'!D702=""),"",LN('04 Prices'!D702/'04 Prices'!D701))</f>
        <v/>
      </c>
      <c r="E701" s="25">
        <f>IF(OR($A701="",'04 Prices'!E701="",'04 Prices'!E702=""),"",LN('04 Prices'!E702/'04 Prices'!E701))</f>
        <v/>
      </c>
      <c r="F701" s="25">
        <f>IF(OR($A701="",'04 Prices'!F701="",'04 Prices'!F702=""),"",LN('04 Prices'!F702/'04 Prices'!F701))</f>
        <v/>
      </c>
      <c r="G701" s="25">
        <f>IF(OR($A701="",'04 Prices'!G701="",'04 Prices'!G702=""),"",LN('04 Prices'!G702/'04 Prices'!G701))</f>
        <v/>
      </c>
      <c r="H701" s="25">
        <f>IF(OR($A701="",'04 Prices'!H701="",'04 Prices'!H702=""),"",LN('04 Prices'!H702/'04 Prices'!H701))</f>
        <v/>
      </c>
    </row>
    <row r="702">
      <c r="A702" s="23">
        <f>IF('04 Prices'!A703="","",'04 Prices'!A703)</f>
        <v/>
      </c>
      <c r="B702" s="25">
        <f>IF(OR($A702="",'04 Prices'!B702="",'04 Prices'!B703=""),"",LN('04 Prices'!B703/'04 Prices'!B702))</f>
        <v/>
      </c>
      <c r="C702" s="25">
        <f>IF(OR($A702="",'04 Prices'!C702="",'04 Prices'!C703=""),"",LN('04 Prices'!C703/'04 Prices'!C702))</f>
        <v/>
      </c>
      <c r="D702" s="25">
        <f>IF(OR($A702="",'04 Prices'!D702="",'04 Prices'!D703=""),"",LN('04 Prices'!D703/'04 Prices'!D702))</f>
        <v/>
      </c>
      <c r="E702" s="25">
        <f>IF(OR($A702="",'04 Prices'!E702="",'04 Prices'!E703=""),"",LN('04 Prices'!E703/'04 Prices'!E702))</f>
        <v/>
      </c>
      <c r="F702" s="25">
        <f>IF(OR($A702="",'04 Prices'!F702="",'04 Prices'!F703=""),"",LN('04 Prices'!F703/'04 Prices'!F702))</f>
        <v/>
      </c>
      <c r="G702" s="25">
        <f>IF(OR($A702="",'04 Prices'!G702="",'04 Prices'!G703=""),"",LN('04 Prices'!G703/'04 Prices'!G702))</f>
        <v/>
      </c>
      <c r="H702" s="25">
        <f>IF(OR($A702="",'04 Prices'!H702="",'04 Prices'!H703=""),"",LN('04 Prices'!H703/'04 Prices'!H702))</f>
        <v/>
      </c>
    </row>
    <row r="703">
      <c r="A703" s="23">
        <f>IF('04 Prices'!A704="","",'04 Prices'!A704)</f>
        <v/>
      </c>
      <c r="B703" s="25">
        <f>IF(OR($A703="",'04 Prices'!B703="",'04 Prices'!B704=""),"",LN('04 Prices'!B704/'04 Prices'!B703))</f>
        <v/>
      </c>
      <c r="C703" s="25">
        <f>IF(OR($A703="",'04 Prices'!C703="",'04 Prices'!C704=""),"",LN('04 Prices'!C704/'04 Prices'!C703))</f>
        <v/>
      </c>
      <c r="D703" s="25">
        <f>IF(OR($A703="",'04 Prices'!D703="",'04 Prices'!D704=""),"",LN('04 Prices'!D704/'04 Prices'!D703))</f>
        <v/>
      </c>
      <c r="E703" s="25">
        <f>IF(OR($A703="",'04 Prices'!E703="",'04 Prices'!E704=""),"",LN('04 Prices'!E704/'04 Prices'!E703))</f>
        <v/>
      </c>
      <c r="F703" s="25">
        <f>IF(OR($A703="",'04 Prices'!F703="",'04 Prices'!F704=""),"",LN('04 Prices'!F704/'04 Prices'!F703))</f>
        <v/>
      </c>
      <c r="G703" s="25">
        <f>IF(OR($A703="",'04 Prices'!G703="",'04 Prices'!G704=""),"",LN('04 Prices'!G704/'04 Prices'!G703))</f>
        <v/>
      </c>
      <c r="H703" s="25">
        <f>IF(OR($A703="",'04 Prices'!H703="",'04 Prices'!H704=""),"",LN('04 Prices'!H704/'04 Prices'!H703))</f>
        <v/>
      </c>
    </row>
    <row r="704">
      <c r="A704" s="23">
        <f>IF('04 Prices'!A705="","",'04 Prices'!A705)</f>
        <v/>
      </c>
      <c r="B704" s="25">
        <f>IF(OR($A704="",'04 Prices'!B704="",'04 Prices'!B705=""),"",LN('04 Prices'!B705/'04 Prices'!B704))</f>
        <v/>
      </c>
      <c r="C704" s="25">
        <f>IF(OR($A704="",'04 Prices'!C704="",'04 Prices'!C705=""),"",LN('04 Prices'!C705/'04 Prices'!C704))</f>
        <v/>
      </c>
      <c r="D704" s="25">
        <f>IF(OR($A704="",'04 Prices'!D704="",'04 Prices'!D705=""),"",LN('04 Prices'!D705/'04 Prices'!D704))</f>
        <v/>
      </c>
      <c r="E704" s="25">
        <f>IF(OR($A704="",'04 Prices'!E704="",'04 Prices'!E705=""),"",LN('04 Prices'!E705/'04 Prices'!E704))</f>
        <v/>
      </c>
      <c r="F704" s="25">
        <f>IF(OR($A704="",'04 Prices'!F704="",'04 Prices'!F705=""),"",LN('04 Prices'!F705/'04 Prices'!F704))</f>
        <v/>
      </c>
      <c r="G704" s="25">
        <f>IF(OR($A704="",'04 Prices'!G704="",'04 Prices'!G705=""),"",LN('04 Prices'!G705/'04 Prices'!G704))</f>
        <v/>
      </c>
      <c r="H704" s="25">
        <f>IF(OR($A704="",'04 Prices'!H704="",'04 Prices'!H705=""),"",LN('04 Prices'!H705/'04 Prices'!H704))</f>
        <v/>
      </c>
    </row>
    <row r="705">
      <c r="A705" s="23">
        <f>IF('04 Prices'!A706="","",'04 Prices'!A706)</f>
        <v/>
      </c>
      <c r="B705" s="25">
        <f>IF(OR($A705="",'04 Prices'!B705="",'04 Prices'!B706=""),"",LN('04 Prices'!B706/'04 Prices'!B705))</f>
        <v/>
      </c>
      <c r="C705" s="25">
        <f>IF(OR($A705="",'04 Prices'!C705="",'04 Prices'!C706=""),"",LN('04 Prices'!C706/'04 Prices'!C705))</f>
        <v/>
      </c>
      <c r="D705" s="25">
        <f>IF(OR($A705="",'04 Prices'!D705="",'04 Prices'!D706=""),"",LN('04 Prices'!D706/'04 Prices'!D705))</f>
        <v/>
      </c>
      <c r="E705" s="25">
        <f>IF(OR($A705="",'04 Prices'!E705="",'04 Prices'!E706=""),"",LN('04 Prices'!E706/'04 Prices'!E705))</f>
        <v/>
      </c>
      <c r="F705" s="25">
        <f>IF(OR($A705="",'04 Prices'!F705="",'04 Prices'!F706=""),"",LN('04 Prices'!F706/'04 Prices'!F705))</f>
        <v/>
      </c>
      <c r="G705" s="25">
        <f>IF(OR($A705="",'04 Prices'!G705="",'04 Prices'!G706=""),"",LN('04 Prices'!G706/'04 Prices'!G705))</f>
        <v/>
      </c>
      <c r="H705" s="25">
        <f>IF(OR($A705="",'04 Prices'!H705="",'04 Prices'!H706=""),"",LN('04 Prices'!H706/'04 Prices'!H705))</f>
        <v/>
      </c>
    </row>
    <row r="706">
      <c r="A706" s="23">
        <f>IF('04 Prices'!A707="","",'04 Prices'!A707)</f>
        <v/>
      </c>
      <c r="B706" s="25">
        <f>IF(OR($A706="",'04 Prices'!B706="",'04 Prices'!B707=""),"",LN('04 Prices'!B707/'04 Prices'!B706))</f>
        <v/>
      </c>
      <c r="C706" s="25">
        <f>IF(OR($A706="",'04 Prices'!C706="",'04 Prices'!C707=""),"",LN('04 Prices'!C707/'04 Prices'!C706))</f>
        <v/>
      </c>
      <c r="D706" s="25">
        <f>IF(OR($A706="",'04 Prices'!D706="",'04 Prices'!D707=""),"",LN('04 Prices'!D707/'04 Prices'!D706))</f>
        <v/>
      </c>
      <c r="E706" s="25">
        <f>IF(OR($A706="",'04 Prices'!E706="",'04 Prices'!E707=""),"",LN('04 Prices'!E707/'04 Prices'!E706))</f>
        <v/>
      </c>
      <c r="F706" s="25">
        <f>IF(OR($A706="",'04 Prices'!F706="",'04 Prices'!F707=""),"",LN('04 Prices'!F707/'04 Prices'!F706))</f>
        <v/>
      </c>
      <c r="G706" s="25">
        <f>IF(OR($A706="",'04 Prices'!G706="",'04 Prices'!G707=""),"",LN('04 Prices'!G707/'04 Prices'!G706))</f>
        <v/>
      </c>
      <c r="H706" s="25">
        <f>IF(OR($A706="",'04 Prices'!H706="",'04 Prices'!H707=""),"",LN('04 Prices'!H707/'04 Prices'!H706))</f>
        <v/>
      </c>
    </row>
    <row r="707">
      <c r="A707" s="23">
        <f>IF('04 Prices'!A708="","",'04 Prices'!A708)</f>
        <v/>
      </c>
      <c r="B707" s="25">
        <f>IF(OR($A707="",'04 Prices'!B707="",'04 Prices'!B708=""),"",LN('04 Prices'!B708/'04 Prices'!B707))</f>
        <v/>
      </c>
      <c r="C707" s="25">
        <f>IF(OR($A707="",'04 Prices'!C707="",'04 Prices'!C708=""),"",LN('04 Prices'!C708/'04 Prices'!C707))</f>
        <v/>
      </c>
      <c r="D707" s="25">
        <f>IF(OR($A707="",'04 Prices'!D707="",'04 Prices'!D708=""),"",LN('04 Prices'!D708/'04 Prices'!D707))</f>
        <v/>
      </c>
      <c r="E707" s="25">
        <f>IF(OR($A707="",'04 Prices'!E707="",'04 Prices'!E708=""),"",LN('04 Prices'!E708/'04 Prices'!E707))</f>
        <v/>
      </c>
      <c r="F707" s="25">
        <f>IF(OR($A707="",'04 Prices'!F707="",'04 Prices'!F708=""),"",LN('04 Prices'!F708/'04 Prices'!F707))</f>
        <v/>
      </c>
      <c r="G707" s="25">
        <f>IF(OR($A707="",'04 Prices'!G707="",'04 Prices'!G708=""),"",LN('04 Prices'!G708/'04 Prices'!G707))</f>
        <v/>
      </c>
      <c r="H707" s="25">
        <f>IF(OR($A707="",'04 Prices'!H707="",'04 Prices'!H708=""),"",LN('04 Prices'!H708/'04 Prices'!H707))</f>
        <v/>
      </c>
    </row>
    <row r="708">
      <c r="A708" s="23">
        <f>IF('04 Prices'!A709="","",'04 Prices'!A709)</f>
        <v/>
      </c>
      <c r="B708" s="25">
        <f>IF(OR($A708="",'04 Prices'!B708="",'04 Prices'!B709=""),"",LN('04 Prices'!B709/'04 Prices'!B708))</f>
        <v/>
      </c>
      <c r="C708" s="25">
        <f>IF(OR($A708="",'04 Prices'!C708="",'04 Prices'!C709=""),"",LN('04 Prices'!C709/'04 Prices'!C708))</f>
        <v/>
      </c>
      <c r="D708" s="25">
        <f>IF(OR($A708="",'04 Prices'!D708="",'04 Prices'!D709=""),"",LN('04 Prices'!D709/'04 Prices'!D708))</f>
        <v/>
      </c>
      <c r="E708" s="25">
        <f>IF(OR($A708="",'04 Prices'!E708="",'04 Prices'!E709=""),"",LN('04 Prices'!E709/'04 Prices'!E708))</f>
        <v/>
      </c>
      <c r="F708" s="25">
        <f>IF(OR($A708="",'04 Prices'!F708="",'04 Prices'!F709=""),"",LN('04 Prices'!F709/'04 Prices'!F708))</f>
        <v/>
      </c>
      <c r="G708" s="25">
        <f>IF(OR($A708="",'04 Prices'!G708="",'04 Prices'!G709=""),"",LN('04 Prices'!G709/'04 Prices'!G708))</f>
        <v/>
      </c>
      <c r="H708" s="25">
        <f>IF(OR($A708="",'04 Prices'!H708="",'04 Prices'!H709=""),"",LN('04 Prices'!H709/'04 Prices'!H708))</f>
        <v/>
      </c>
    </row>
    <row r="709">
      <c r="A709" s="23">
        <f>IF('04 Prices'!A710="","",'04 Prices'!A710)</f>
        <v/>
      </c>
      <c r="B709" s="25">
        <f>IF(OR($A709="",'04 Prices'!B709="",'04 Prices'!B710=""),"",LN('04 Prices'!B710/'04 Prices'!B709))</f>
        <v/>
      </c>
      <c r="C709" s="25">
        <f>IF(OR($A709="",'04 Prices'!C709="",'04 Prices'!C710=""),"",LN('04 Prices'!C710/'04 Prices'!C709))</f>
        <v/>
      </c>
      <c r="D709" s="25">
        <f>IF(OR($A709="",'04 Prices'!D709="",'04 Prices'!D710=""),"",LN('04 Prices'!D710/'04 Prices'!D709))</f>
        <v/>
      </c>
      <c r="E709" s="25">
        <f>IF(OR($A709="",'04 Prices'!E709="",'04 Prices'!E710=""),"",LN('04 Prices'!E710/'04 Prices'!E709))</f>
        <v/>
      </c>
      <c r="F709" s="25">
        <f>IF(OR($A709="",'04 Prices'!F709="",'04 Prices'!F710=""),"",LN('04 Prices'!F710/'04 Prices'!F709))</f>
        <v/>
      </c>
      <c r="G709" s="25">
        <f>IF(OR($A709="",'04 Prices'!G709="",'04 Prices'!G710=""),"",LN('04 Prices'!G710/'04 Prices'!G709))</f>
        <v/>
      </c>
      <c r="H709" s="25">
        <f>IF(OR($A709="",'04 Prices'!H709="",'04 Prices'!H710=""),"",LN('04 Prices'!H710/'04 Prices'!H709))</f>
        <v/>
      </c>
    </row>
    <row r="710">
      <c r="A710" s="23">
        <f>IF('04 Prices'!A711="","",'04 Prices'!A711)</f>
        <v/>
      </c>
      <c r="B710" s="25">
        <f>IF(OR($A710="",'04 Prices'!B710="",'04 Prices'!B711=""),"",LN('04 Prices'!B711/'04 Prices'!B710))</f>
        <v/>
      </c>
      <c r="C710" s="25">
        <f>IF(OR($A710="",'04 Prices'!C710="",'04 Prices'!C711=""),"",LN('04 Prices'!C711/'04 Prices'!C710))</f>
        <v/>
      </c>
      <c r="D710" s="25">
        <f>IF(OR($A710="",'04 Prices'!D710="",'04 Prices'!D711=""),"",LN('04 Prices'!D711/'04 Prices'!D710))</f>
        <v/>
      </c>
      <c r="E710" s="25">
        <f>IF(OR($A710="",'04 Prices'!E710="",'04 Prices'!E711=""),"",LN('04 Prices'!E711/'04 Prices'!E710))</f>
        <v/>
      </c>
      <c r="F710" s="25">
        <f>IF(OR($A710="",'04 Prices'!F710="",'04 Prices'!F711=""),"",LN('04 Prices'!F711/'04 Prices'!F710))</f>
        <v/>
      </c>
      <c r="G710" s="25">
        <f>IF(OR($A710="",'04 Prices'!G710="",'04 Prices'!G711=""),"",LN('04 Prices'!G711/'04 Prices'!G710))</f>
        <v/>
      </c>
      <c r="H710" s="25">
        <f>IF(OR($A710="",'04 Prices'!H710="",'04 Prices'!H711=""),"",LN('04 Prices'!H711/'04 Prices'!H710))</f>
        <v/>
      </c>
    </row>
    <row r="711">
      <c r="A711" s="23">
        <f>IF('04 Prices'!A712="","",'04 Prices'!A712)</f>
        <v/>
      </c>
      <c r="B711" s="25">
        <f>IF(OR($A711="",'04 Prices'!B711="",'04 Prices'!B712=""),"",LN('04 Prices'!B712/'04 Prices'!B711))</f>
        <v/>
      </c>
      <c r="C711" s="25">
        <f>IF(OR($A711="",'04 Prices'!C711="",'04 Prices'!C712=""),"",LN('04 Prices'!C712/'04 Prices'!C711))</f>
        <v/>
      </c>
      <c r="D711" s="25">
        <f>IF(OR($A711="",'04 Prices'!D711="",'04 Prices'!D712=""),"",LN('04 Prices'!D712/'04 Prices'!D711))</f>
        <v/>
      </c>
      <c r="E711" s="25">
        <f>IF(OR($A711="",'04 Prices'!E711="",'04 Prices'!E712=""),"",LN('04 Prices'!E712/'04 Prices'!E711))</f>
        <v/>
      </c>
      <c r="F711" s="25">
        <f>IF(OR($A711="",'04 Prices'!F711="",'04 Prices'!F712=""),"",LN('04 Prices'!F712/'04 Prices'!F711))</f>
        <v/>
      </c>
      <c r="G711" s="25">
        <f>IF(OR($A711="",'04 Prices'!G711="",'04 Prices'!G712=""),"",LN('04 Prices'!G712/'04 Prices'!G711))</f>
        <v/>
      </c>
      <c r="H711" s="25">
        <f>IF(OR($A711="",'04 Prices'!H711="",'04 Prices'!H712=""),"",LN('04 Prices'!H712/'04 Prices'!H711))</f>
        <v/>
      </c>
    </row>
    <row r="712">
      <c r="A712" s="23">
        <f>IF('04 Prices'!A713="","",'04 Prices'!A713)</f>
        <v/>
      </c>
      <c r="B712" s="25">
        <f>IF(OR($A712="",'04 Prices'!B712="",'04 Prices'!B713=""),"",LN('04 Prices'!B713/'04 Prices'!B712))</f>
        <v/>
      </c>
      <c r="C712" s="25">
        <f>IF(OR($A712="",'04 Prices'!C712="",'04 Prices'!C713=""),"",LN('04 Prices'!C713/'04 Prices'!C712))</f>
        <v/>
      </c>
      <c r="D712" s="25">
        <f>IF(OR($A712="",'04 Prices'!D712="",'04 Prices'!D713=""),"",LN('04 Prices'!D713/'04 Prices'!D712))</f>
        <v/>
      </c>
      <c r="E712" s="25">
        <f>IF(OR($A712="",'04 Prices'!E712="",'04 Prices'!E713=""),"",LN('04 Prices'!E713/'04 Prices'!E712))</f>
        <v/>
      </c>
      <c r="F712" s="25">
        <f>IF(OR($A712="",'04 Prices'!F712="",'04 Prices'!F713=""),"",LN('04 Prices'!F713/'04 Prices'!F712))</f>
        <v/>
      </c>
      <c r="G712" s="25">
        <f>IF(OR($A712="",'04 Prices'!G712="",'04 Prices'!G713=""),"",LN('04 Prices'!G713/'04 Prices'!G712))</f>
        <v/>
      </c>
      <c r="H712" s="25">
        <f>IF(OR($A712="",'04 Prices'!H712="",'04 Prices'!H713=""),"",LN('04 Prices'!H713/'04 Prices'!H712))</f>
        <v/>
      </c>
    </row>
    <row r="713">
      <c r="A713" s="23">
        <f>IF('04 Prices'!A714="","",'04 Prices'!A714)</f>
        <v/>
      </c>
      <c r="B713" s="25">
        <f>IF(OR($A713="",'04 Prices'!B713="",'04 Prices'!B714=""),"",LN('04 Prices'!B714/'04 Prices'!B713))</f>
        <v/>
      </c>
      <c r="C713" s="25">
        <f>IF(OR($A713="",'04 Prices'!C713="",'04 Prices'!C714=""),"",LN('04 Prices'!C714/'04 Prices'!C713))</f>
        <v/>
      </c>
      <c r="D713" s="25">
        <f>IF(OR($A713="",'04 Prices'!D713="",'04 Prices'!D714=""),"",LN('04 Prices'!D714/'04 Prices'!D713))</f>
        <v/>
      </c>
      <c r="E713" s="25">
        <f>IF(OR($A713="",'04 Prices'!E713="",'04 Prices'!E714=""),"",LN('04 Prices'!E714/'04 Prices'!E713))</f>
        <v/>
      </c>
      <c r="F713" s="25">
        <f>IF(OR($A713="",'04 Prices'!F713="",'04 Prices'!F714=""),"",LN('04 Prices'!F714/'04 Prices'!F713))</f>
        <v/>
      </c>
      <c r="G713" s="25">
        <f>IF(OR($A713="",'04 Prices'!G713="",'04 Prices'!G714=""),"",LN('04 Prices'!G714/'04 Prices'!G713))</f>
        <v/>
      </c>
      <c r="H713" s="25">
        <f>IF(OR($A713="",'04 Prices'!H713="",'04 Prices'!H714=""),"",LN('04 Prices'!H714/'04 Prices'!H713))</f>
        <v/>
      </c>
    </row>
    <row r="714">
      <c r="A714" s="23">
        <f>IF('04 Prices'!A715="","",'04 Prices'!A715)</f>
        <v/>
      </c>
      <c r="B714" s="25">
        <f>IF(OR($A714="",'04 Prices'!B714="",'04 Prices'!B715=""),"",LN('04 Prices'!B715/'04 Prices'!B714))</f>
        <v/>
      </c>
      <c r="C714" s="25">
        <f>IF(OR($A714="",'04 Prices'!C714="",'04 Prices'!C715=""),"",LN('04 Prices'!C715/'04 Prices'!C714))</f>
        <v/>
      </c>
      <c r="D714" s="25">
        <f>IF(OR($A714="",'04 Prices'!D714="",'04 Prices'!D715=""),"",LN('04 Prices'!D715/'04 Prices'!D714))</f>
        <v/>
      </c>
      <c r="E714" s="25">
        <f>IF(OR($A714="",'04 Prices'!E714="",'04 Prices'!E715=""),"",LN('04 Prices'!E715/'04 Prices'!E714))</f>
        <v/>
      </c>
      <c r="F714" s="25">
        <f>IF(OR($A714="",'04 Prices'!F714="",'04 Prices'!F715=""),"",LN('04 Prices'!F715/'04 Prices'!F714))</f>
        <v/>
      </c>
      <c r="G714" s="25">
        <f>IF(OR($A714="",'04 Prices'!G714="",'04 Prices'!G715=""),"",LN('04 Prices'!G715/'04 Prices'!G714))</f>
        <v/>
      </c>
      <c r="H714" s="25">
        <f>IF(OR($A714="",'04 Prices'!H714="",'04 Prices'!H715=""),"",LN('04 Prices'!H715/'04 Prices'!H714))</f>
        <v/>
      </c>
    </row>
    <row r="715">
      <c r="A715" s="23">
        <f>IF('04 Prices'!A716="","",'04 Prices'!A716)</f>
        <v/>
      </c>
      <c r="B715" s="25">
        <f>IF(OR($A715="",'04 Prices'!B715="",'04 Prices'!B716=""),"",LN('04 Prices'!B716/'04 Prices'!B715))</f>
        <v/>
      </c>
      <c r="C715" s="25">
        <f>IF(OR($A715="",'04 Prices'!C715="",'04 Prices'!C716=""),"",LN('04 Prices'!C716/'04 Prices'!C715))</f>
        <v/>
      </c>
      <c r="D715" s="25">
        <f>IF(OR($A715="",'04 Prices'!D715="",'04 Prices'!D716=""),"",LN('04 Prices'!D716/'04 Prices'!D715))</f>
        <v/>
      </c>
      <c r="E715" s="25">
        <f>IF(OR($A715="",'04 Prices'!E715="",'04 Prices'!E716=""),"",LN('04 Prices'!E716/'04 Prices'!E715))</f>
        <v/>
      </c>
      <c r="F715" s="25">
        <f>IF(OR($A715="",'04 Prices'!F715="",'04 Prices'!F716=""),"",LN('04 Prices'!F716/'04 Prices'!F715))</f>
        <v/>
      </c>
      <c r="G715" s="25">
        <f>IF(OR($A715="",'04 Prices'!G715="",'04 Prices'!G716=""),"",LN('04 Prices'!G716/'04 Prices'!G715))</f>
        <v/>
      </c>
      <c r="H715" s="25">
        <f>IF(OR($A715="",'04 Prices'!H715="",'04 Prices'!H716=""),"",LN('04 Prices'!H716/'04 Prices'!H715))</f>
        <v/>
      </c>
    </row>
    <row r="716">
      <c r="A716" s="23">
        <f>IF('04 Prices'!A717="","",'04 Prices'!A717)</f>
        <v/>
      </c>
      <c r="B716" s="25">
        <f>IF(OR($A716="",'04 Prices'!B716="",'04 Prices'!B717=""),"",LN('04 Prices'!B717/'04 Prices'!B716))</f>
        <v/>
      </c>
      <c r="C716" s="25">
        <f>IF(OR($A716="",'04 Prices'!C716="",'04 Prices'!C717=""),"",LN('04 Prices'!C717/'04 Prices'!C716))</f>
        <v/>
      </c>
      <c r="D716" s="25">
        <f>IF(OR($A716="",'04 Prices'!D716="",'04 Prices'!D717=""),"",LN('04 Prices'!D717/'04 Prices'!D716))</f>
        <v/>
      </c>
      <c r="E716" s="25">
        <f>IF(OR($A716="",'04 Prices'!E716="",'04 Prices'!E717=""),"",LN('04 Prices'!E717/'04 Prices'!E716))</f>
        <v/>
      </c>
      <c r="F716" s="25">
        <f>IF(OR($A716="",'04 Prices'!F716="",'04 Prices'!F717=""),"",LN('04 Prices'!F717/'04 Prices'!F716))</f>
        <v/>
      </c>
      <c r="G716" s="25">
        <f>IF(OR($A716="",'04 Prices'!G716="",'04 Prices'!G717=""),"",LN('04 Prices'!G717/'04 Prices'!G716))</f>
        <v/>
      </c>
      <c r="H716" s="25">
        <f>IF(OR($A716="",'04 Prices'!H716="",'04 Prices'!H717=""),"",LN('04 Prices'!H717/'04 Prices'!H716))</f>
        <v/>
      </c>
    </row>
    <row r="717">
      <c r="A717" s="23">
        <f>IF('04 Prices'!A718="","",'04 Prices'!A718)</f>
        <v/>
      </c>
      <c r="B717" s="25">
        <f>IF(OR($A717="",'04 Prices'!B717="",'04 Prices'!B718=""),"",LN('04 Prices'!B718/'04 Prices'!B717))</f>
        <v/>
      </c>
      <c r="C717" s="25">
        <f>IF(OR($A717="",'04 Prices'!C717="",'04 Prices'!C718=""),"",LN('04 Prices'!C718/'04 Prices'!C717))</f>
        <v/>
      </c>
      <c r="D717" s="25">
        <f>IF(OR($A717="",'04 Prices'!D717="",'04 Prices'!D718=""),"",LN('04 Prices'!D718/'04 Prices'!D717))</f>
        <v/>
      </c>
      <c r="E717" s="25">
        <f>IF(OR($A717="",'04 Prices'!E717="",'04 Prices'!E718=""),"",LN('04 Prices'!E718/'04 Prices'!E717))</f>
        <v/>
      </c>
      <c r="F717" s="25">
        <f>IF(OR($A717="",'04 Prices'!F717="",'04 Prices'!F718=""),"",LN('04 Prices'!F718/'04 Prices'!F717))</f>
        <v/>
      </c>
      <c r="G717" s="25">
        <f>IF(OR($A717="",'04 Prices'!G717="",'04 Prices'!G718=""),"",LN('04 Prices'!G718/'04 Prices'!G717))</f>
        <v/>
      </c>
      <c r="H717" s="25">
        <f>IF(OR($A717="",'04 Prices'!H717="",'04 Prices'!H718=""),"",LN('04 Prices'!H718/'04 Prices'!H717))</f>
        <v/>
      </c>
    </row>
    <row r="718">
      <c r="A718" s="23">
        <f>IF('04 Prices'!A719="","",'04 Prices'!A719)</f>
        <v/>
      </c>
      <c r="B718" s="25">
        <f>IF(OR($A718="",'04 Prices'!B718="",'04 Prices'!B719=""),"",LN('04 Prices'!B719/'04 Prices'!B718))</f>
        <v/>
      </c>
      <c r="C718" s="25">
        <f>IF(OR($A718="",'04 Prices'!C718="",'04 Prices'!C719=""),"",LN('04 Prices'!C719/'04 Prices'!C718))</f>
        <v/>
      </c>
      <c r="D718" s="25">
        <f>IF(OR($A718="",'04 Prices'!D718="",'04 Prices'!D719=""),"",LN('04 Prices'!D719/'04 Prices'!D718))</f>
        <v/>
      </c>
      <c r="E718" s="25">
        <f>IF(OR($A718="",'04 Prices'!E718="",'04 Prices'!E719=""),"",LN('04 Prices'!E719/'04 Prices'!E718))</f>
        <v/>
      </c>
      <c r="F718" s="25">
        <f>IF(OR($A718="",'04 Prices'!F718="",'04 Prices'!F719=""),"",LN('04 Prices'!F719/'04 Prices'!F718))</f>
        <v/>
      </c>
      <c r="G718" s="25">
        <f>IF(OR($A718="",'04 Prices'!G718="",'04 Prices'!G719=""),"",LN('04 Prices'!G719/'04 Prices'!G718))</f>
        <v/>
      </c>
      <c r="H718" s="25">
        <f>IF(OR($A718="",'04 Prices'!H718="",'04 Prices'!H719=""),"",LN('04 Prices'!H719/'04 Prices'!H718))</f>
        <v/>
      </c>
    </row>
    <row r="719">
      <c r="A719" s="23">
        <f>IF('04 Prices'!A720="","",'04 Prices'!A720)</f>
        <v/>
      </c>
      <c r="B719" s="25">
        <f>IF(OR($A719="",'04 Prices'!B719="",'04 Prices'!B720=""),"",LN('04 Prices'!B720/'04 Prices'!B719))</f>
        <v/>
      </c>
      <c r="C719" s="25">
        <f>IF(OR($A719="",'04 Prices'!C719="",'04 Prices'!C720=""),"",LN('04 Prices'!C720/'04 Prices'!C719))</f>
        <v/>
      </c>
      <c r="D719" s="25">
        <f>IF(OR($A719="",'04 Prices'!D719="",'04 Prices'!D720=""),"",LN('04 Prices'!D720/'04 Prices'!D719))</f>
        <v/>
      </c>
      <c r="E719" s="25">
        <f>IF(OR($A719="",'04 Prices'!E719="",'04 Prices'!E720=""),"",LN('04 Prices'!E720/'04 Prices'!E719))</f>
        <v/>
      </c>
      <c r="F719" s="25">
        <f>IF(OR($A719="",'04 Prices'!F719="",'04 Prices'!F720=""),"",LN('04 Prices'!F720/'04 Prices'!F719))</f>
        <v/>
      </c>
      <c r="G719" s="25">
        <f>IF(OR($A719="",'04 Prices'!G719="",'04 Prices'!G720=""),"",LN('04 Prices'!G720/'04 Prices'!G719))</f>
        <v/>
      </c>
      <c r="H719" s="25">
        <f>IF(OR($A719="",'04 Prices'!H719="",'04 Prices'!H720=""),"",LN('04 Prices'!H720/'04 Prices'!H719))</f>
        <v/>
      </c>
    </row>
    <row r="720">
      <c r="A720" s="23">
        <f>IF('04 Prices'!A721="","",'04 Prices'!A721)</f>
        <v/>
      </c>
      <c r="B720" s="25">
        <f>IF(OR($A720="",'04 Prices'!B720="",'04 Prices'!B721=""),"",LN('04 Prices'!B721/'04 Prices'!B720))</f>
        <v/>
      </c>
      <c r="C720" s="25">
        <f>IF(OR($A720="",'04 Prices'!C720="",'04 Prices'!C721=""),"",LN('04 Prices'!C721/'04 Prices'!C720))</f>
        <v/>
      </c>
      <c r="D720" s="25">
        <f>IF(OR($A720="",'04 Prices'!D720="",'04 Prices'!D721=""),"",LN('04 Prices'!D721/'04 Prices'!D720))</f>
        <v/>
      </c>
      <c r="E720" s="25">
        <f>IF(OR($A720="",'04 Prices'!E720="",'04 Prices'!E721=""),"",LN('04 Prices'!E721/'04 Prices'!E720))</f>
        <v/>
      </c>
      <c r="F720" s="25">
        <f>IF(OR($A720="",'04 Prices'!F720="",'04 Prices'!F721=""),"",LN('04 Prices'!F721/'04 Prices'!F720))</f>
        <v/>
      </c>
      <c r="G720" s="25">
        <f>IF(OR($A720="",'04 Prices'!G720="",'04 Prices'!G721=""),"",LN('04 Prices'!G721/'04 Prices'!G720))</f>
        <v/>
      </c>
      <c r="H720" s="25">
        <f>IF(OR($A720="",'04 Prices'!H720="",'04 Prices'!H721=""),"",LN('04 Prices'!H721/'04 Prices'!H720))</f>
        <v/>
      </c>
    </row>
    <row r="721">
      <c r="A721" s="23">
        <f>IF('04 Prices'!A722="","",'04 Prices'!A722)</f>
        <v/>
      </c>
      <c r="B721" s="25">
        <f>IF(OR($A721="",'04 Prices'!B721="",'04 Prices'!B722=""),"",LN('04 Prices'!B722/'04 Prices'!B721))</f>
        <v/>
      </c>
      <c r="C721" s="25">
        <f>IF(OR($A721="",'04 Prices'!C721="",'04 Prices'!C722=""),"",LN('04 Prices'!C722/'04 Prices'!C721))</f>
        <v/>
      </c>
      <c r="D721" s="25">
        <f>IF(OR($A721="",'04 Prices'!D721="",'04 Prices'!D722=""),"",LN('04 Prices'!D722/'04 Prices'!D721))</f>
        <v/>
      </c>
      <c r="E721" s="25">
        <f>IF(OR($A721="",'04 Prices'!E721="",'04 Prices'!E722=""),"",LN('04 Prices'!E722/'04 Prices'!E721))</f>
        <v/>
      </c>
      <c r="F721" s="25">
        <f>IF(OR($A721="",'04 Prices'!F721="",'04 Prices'!F722=""),"",LN('04 Prices'!F722/'04 Prices'!F721))</f>
        <v/>
      </c>
      <c r="G721" s="25">
        <f>IF(OR($A721="",'04 Prices'!G721="",'04 Prices'!G722=""),"",LN('04 Prices'!G722/'04 Prices'!G721))</f>
        <v/>
      </c>
      <c r="H721" s="25">
        <f>IF(OR($A721="",'04 Prices'!H721="",'04 Prices'!H722=""),"",LN('04 Prices'!H722/'04 Prices'!H721))</f>
        <v/>
      </c>
    </row>
    <row r="722">
      <c r="A722" s="23">
        <f>IF('04 Prices'!A723="","",'04 Prices'!A723)</f>
        <v/>
      </c>
      <c r="B722" s="25">
        <f>IF(OR($A722="",'04 Prices'!B722="",'04 Prices'!B723=""),"",LN('04 Prices'!B723/'04 Prices'!B722))</f>
        <v/>
      </c>
      <c r="C722" s="25">
        <f>IF(OR($A722="",'04 Prices'!C722="",'04 Prices'!C723=""),"",LN('04 Prices'!C723/'04 Prices'!C722))</f>
        <v/>
      </c>
      <c r="D722" s="25">
        <f>IF(OR($A722="",'04 Prices'!D722="",'04 Prices'!D723=""),"",LN('04 Prices'!D723/'04 Prices'!D722))</f>
        <v/>
      </c>
      <c r="E722" s="25">
        <f>IF(OR($A722="",'04 Prices'!E722="",'04 Prices'!E723=""),"",LN('04 Prices'!E723/'04 Prices'!E722))</f>
        <v/>
      </c>
      <c r="F722" s="25">
        <f>IF(OR($A722="",'04 Prices'!F722="",'04 Prices'!F723=""),"",LN('04 Prices'!F723/'04 Prices'!F722))</f>
        <v/>
      </c>
      <c r="G722" s="25">
        <f>IF(OR($A722="",'04 Prices'!G722="",'04 Prices'!G723=""),"",LN('04 Prices'!G723/'04 Prices'!G722))</f>
        <v/>
      </c>
      <c r="H722" s="25">
        <f>IF(OR($A722="",'04 Prices'!H722="",'04 Prices'!H723=""),"",LN('04 Prices'!H723/'04 Prices'!H722))</f>
        <v/>
      </c>
    </row>
    <row r="723">
      <c r="A723" s="23">
        <f>IF('04 Prices'!A724="","",'04 Prices'!A724)</f>
        <v/>
      </c>
      <c r="B723" s="25">
        <f>IF(OR($A723="",'04 Prices'!B723="",'04 Prices'!B724=""),"",LN('04 Prices'!B724/'04 Prices'!B723))</f>
        <v/>
      </c>
      <c r="C723" s="25">
        <f>IF(OR($A723="",'04 Prices'!C723="",'04 Prices'!C724=""),"",LN('04 Prices'!C724/'04 Prices'!C723))</f>
        <v/>
      </c>
      <c r="D723" s="25">
        <f>IF(OR($A723="",'04 Prices'!D723="",'04 Prices'!D724=""),"",LN('04 Prices'!D724/'04 Prices'!D723))</f>
        <v/>
      </c>
      <c r="E723" s="25">
        <f>IF(OR($A723="",'04 Prices'!E723="",'04 Prices'!E724=""),"",LN('04 Prices'!E724/'04 Prices'!E723))</f>
        <v/>
      </c>
      <c r="F723" s="25">
        <f>IF(OR($A723="",'04 Prices'!F723="",'04 Prices'!F724=""),"",LN('04 Prices'!F724/'04 Prices'!F723))</f>
        <v/>
      </c>
      <c r="G723" s="25">
        <f>IF(OR($A723="",'04 Prices'!G723="",'04 Prices'!G724=""),"",LN('04 Prices'!G724/'04 Prices'!G723))</f>
        <v/>
      </c>
      <c r="H723" s="25">
        <f>IF(OR($A723="",'04 Prices'!H723="",'04 Prices'!H724=""),"",LN('04 Prices'!H724/'04 Prices'!H723))</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70" customWidth="1" min="9" max="9"/>
  </cols>
  <sheetData>
    <row r="1">
      <c r="A1" s="1" t="inlineStr">
        <is>
          <t>Annualised Optimisation Inputs</t>
        </is>
      </c>
    </row>
    <row r="2">
      <c r="A2" s="2" t="inlineStr">
        <is>
          <t>The two objects Markowitz mean-variance optimisation needs: the vector of annualised expected returns (mu) and the annualised covariance matrix (Sigma). Both are built from LOG returns.</t>
        </is>
      </c>
    </row>
    <row r="3">
      <c r="A3" s="3" t="inlineStr">
        <is>
          <t>Mirrors: optimization.py -&gt; annualized_inputs(log_return_df)</t>
        </is>
      </c>
    </row>
    <row r="5">
      <c r="A5" s="4" t="inlineStr">
        <is>
          <t>STEP 1 — ANNUALISED EXPECTED RETURNS  mu = mean(daily log return) x 252</t>
        </is>
      </c>
    </row>
    <row r="6">
      <c r="A6" s="7" t="inlineStr">
        <is>
          <t>Asset</t>
        </is>
      </c>
      <c r="B6" s="7" t="inlineStr">
        <is>
          <t>Mean daily log return</t>
        </is>
      </c>
      <c r="C6" s="7" t="inlineStr">
        <is>
          <t>Trading days</t>
        </is>
      </c>
      <c r="D6" s="7" t="inlineStr">
        <is>
          <t>Annualised expected return (mu)</t>
        </is>
      </c>
    </row>
    <row r="7">
      <c r="A7" s="8" t="inlineStr">
        <is>
          <t>JPM</t>
        </is>
      </c>
      <c r="B7" s="26">
        <f>AVERAGE('06 Log Returns'!$B$5:$B$723)</f>
        <v/>
      </c>
      <c r="C7" s="27">
        <f>'02 Config'!$B$12</f>
        <v/>
      </c>
      <c r="D7" s="28">
        <f>B7*C7</f>
        <v/>
      </c>
    </row>
    <row r="8">
      <c r="A8" s="8" t="inlineStr">
        <is>
          <t>MS</t>
        </is>
      </c>
      <c r="B8" s="26">
        <f>AVERAGE('06 Log Returns'!$C$5:$C$723)</f>
        <v/>
      </c>
      <c r="C8" s="27">
        <f>'02 Config'!$B$12</f>
        <v/>
      </c>
      <c r="D8" s="28">
        <f>B8*C8</f>
        <v/>
      </c>
    </row>
    <row r="9">
      <c r="A9" s="8" t="inlineStr">
        <is>
          <t>BAC</t>
        </is>
      </c>
      <c r="B9" s="26">
        <f>AVERAGE('06 Log Returns'!$D$5:$D$723)</f>
        <v/>
      </c>
      <c r="C9" s="27">
        <f>'02 Config'!$B$12</f>
        <v/>
      </c>
      <c r="D9" s="28">
        <f>B9*C9</f>
        <v/>
      </c>
    </row>
    <row r="10">
      <c r="A10" s="8" t="inlineStr">
        <is>
          <t>AAPL</t>
        </is>
      </c>
      <c r="B10" s="26">
        <f>AVERAGE('06 Log Returns'!$E$5:$E$723)</f>
        <v/>
      </c>
      <c r="C10" s="27">
        <f>'02 Config'!$B$12</f>
        <v/>
      </c>
      <c r="D10" s="28">
        <f>B10*C10</f>
        <v/>
      </c>
    </row>
    <row r="11">
      <c r="A11" s="8" t="inlineStr">
        <is>
          <t>MSFT</t>
        </is>
      </c>
      <c r="B11" s="26">
        <f>AVERAGE('06 Log Returns'!$F$5:$F$723)</f>
        <v/>
      </c>
      <c r="C11" s="27">
        <f>'02 Config'!$B$12</f>
        <v/>
      </c>
      <c r="D11" s="28">
        <f>B11*C11</f>
        <v/>
      </c>
    </row>
    <row r="12">
      <c r="A12" s="8" t="inlineStr">
        <is>
          <t>GLD</t>
        </is>
      </c>
      <c r="B12" s="26">
        <f>AVERAGE('06 Log Returns'!$G$5:$G$723)</f>
        <v/>
      </c>
      <c r="C12" s="27">
        <f>'02 Config'!$B$12</f>
        <v/>
      </c>
      <c r="D12" s="28">
        <f>B12*C12</f>
        <v/>
      </c>
    </row>
    <row r="15">
      <c r="A15" s="4" t="inlineStr">
        <is>
          <t>STEP 2 — ANNUALISED COVARIANCE MATRIX  Sigma = cov(daily log returns) x 252</t>
        </is>
      </c>
    </row>
    <row r="16">
      <c r="A16" s="29" t="inlineStr">
        <is>
          <t>Asset</t>
        </is>
      </c>
      <c r="B16" s="30" t="inlineStr">
        <is>
          <t>JPM</t>
        </is>
      </c>
      <c r="C16" s="30" t="inlineStr">
        <is>
          <t>MS</t>
        </is>
      </c>
      <c r="D16" s="30" t="inlineStr">
        <is>
          <t>BAC</t>
        </is>
      </c>
      <c r="E16" s="30" t="inlineStr">
        <is>
          <t>AAPL</t>
        </is>
      </c>
      <c r="F16" s="30" t="inlineStr">
        <is>
          <t>MSFT</t>
        </is>
      </c>
      <c r="G16" s="30" t="inlineStr">
        <is>
          <t>GLD</t>
        </is>
      </c>
    </row>
    <row r="17">
      <c r="A17" s="29" t="inlineStr">
        <is>
          <t>JPM</t>
        </is>
      </c>
      <c r="B17" s="31">
        <f t="array" ref="B17:B17">SUMPRODUCT(IF('06 Log Returns'!$B$5:$B$723="",0,'06 Log Returns'!$B$5:$B$723-AVERAGE('06 Log Returns'!$B$5:$B$723)),IF('06 Log Returns'!$B$5:$B$723="",0,'06 Log Returns'!$B$5:$B$723-AVERAGE('06 Log Returns'!$B$5:$B$723)))/(COUNT('06 Log Returns'!$B$5:$B$723)-1)*'02 Config'!$B$12</f>
        <v/>
      </c>
      <c r="C17" s="32">
        <f t="array" ref="C17:C17">SUMPRODUCT(IF('06 Log Returns'!$B$5:$B$723="",0,'06 Log Returns'!$B$5:$B$723-AVERAGE('06 Log Returns'!$B$5:$B$723)),IF('06 Log Returns'!$C$5:$C$723="",0,'06 Log Returns'!$C$5:$C$723-AVERAGE('06 Log Returns'!$C$5:$C$723)))/(COUNT('06 Log Returns'!$B$5:$B$723)-1)*'02 Config'!$B$12</f>
        <v/>
      </c>
      <c r="D17" s="32">
        <f t="array" ref="D17:D17">SUMPRODUCT(IF('06 Log Returns'!$B$5:$B$723="",0,'06 Log Returns'!$B$5:$B$723-AVERAGE('06 Log Returns'!$B$5:$B$723)),IF('06 Log Returns'!$D$5:$D$723="",0,'06 Log Returns'!$D$5:$D$723-AVERAGE('06 Log Returns'!$D$5:$D$723)))/(COUNT('06 Log Returns'!$B$5:$B$723)-1)*'02 Config'!$B$12</f>
        <v/>
      </c>
      <c r="E17" s="32">
        <f t="array" ref="E17:E17">SUMPRODUCT(IF('06 Log Returns'!$B$5:$B$723="",0,'06 Log Returns'!$B$5:$B$723-AVERAGE('06 Log Returns'!$B$5:$B$723)),IF('06 Log Returns'!$E$5:$E$723="",0,'06 Log Returns'!$E$5:$E$723-AVERAGE('06 Log Returns'!$E$5:$E$723)))/(COUNT('06 Log Returns'!$B$5:$B$723)-1)*'02 Config'!$B$12</f>
        <v/>
      </c>
      <c r="F17" s="32">
        <f t="array" ref="F17:F17">SUMPRODUCT(IF('06 Log Returns'!$B$5:$B$723="",0,'06 Log Returns'!$B$5:$B$723-AVERAGE('06 Log Returns'!$B$5:$B$723)),IF('06 Log Returns'!$F$5:$F$723="",0,'06 Log Returns'!$F$5:$F$723-AVERAGE('06 Log Returns'!$F$5:$F$723)))/(COUNT('06 Log Returns'!$B$5:$B$723)-1)*'02 Config'!$B$12</f>
        <v/>
      </c>
      <c r="G17" s="32">
        <f t="array" ref="G17:G17">SUMPRODUCT(IF('06 Log Returns'!$B$5:$B$723="",0,'06 Log Returns'!$B$5:$B$723-AVERAGE('06 Log Returns'!$B$5:$B$723)),IF('06 Log Returns'!$G$5:$G$723="",0,'06 Log Returns'!$G$5:$G$723-AVERAGE('06 Log Returns'!$G$5:$G$723)))/(COUNT('06 Log Returns'!$B$5:$B$723)-1)*'02 Config'!$B$12</f>
        <v/>
      </c>
    </row>
    <row r="18">
      <c r="A18" s="29" t="inlineStr">
        <is>
          <t>MS</t>
        </is>
      </c>
      <c r="B18" s="32">
        <f t="array" ref="B18:B18">SUMPRODUCT(IF('06 Log Returns'!$C$5:$C$723="",0,'06 Log Returns'!$C$5:$C$723-AVERAGE('06 Log Returns'!$C$5:$C$723)),IF('06 Log Returns'!$B$5:$B$723="",0,'06 Log Returns'!$B$5:$B$723-AVERAGE('06 Log Returns'!$B$5:$B$723)))/(COUNT('06 Log Returns'!$C$5:$C$723)-1)*'02 Config'!$B$12</f>
        <v/>
      </c>
      <c r="C18" s="31">
        <f t="array" ref="C18:C18">SUMPRODUCT(IF('06 Log Returns'!$C$5:$C$723="",0,'06 Log Returns'!$C$5:$C$723-AVERAGE('06 Log Returns'!$C$5:$C$723)),IF('06 Log Returns'!$C$5:$C$723="",0,'06 Log Returns'!$C$5:$C$723-AVERAGE('06 Log Returns'!$C$5:$C$723)))/(COUNT('06 Log Returns'!$C$5:$C$723)-1)*'02 Config'!$B$12</f>
        <v/>
      </c>
      <c r="D18" s="32">
        <f t="array" ref="D18:D18">SUMPRODUCT(IF('06 Log Returns'!$C$5:$C$723="",0,'06 Log Returns'!$C$5:$C$723-AVERAGE('06 Log Returns'!$C$5:$C$723)),IF('06 Log Returns'!$D$5:$D$723="",0,'06 Log Returns'!$D$5:$D$723-AVERAGE('06 Log Returns'!$D$5:$D$723)))/(COUNT('06 Log Returns'!$C$5:$C$723)-1)*'02 Config'!$B$12</f>
        <v/>
      </c>
      <c r="E18" s="32">
        <f t="array" ref="E18:E18">SUMPRODUCT(IF('06 Log Returns'!$C$5:$C$723="",0,'06 Log Returns'!$C$5:$C$723-AVERAGE('06 Log Returns'!$C$5:$C$723)),IF('06 Log Returns'!$E$5:$E$723="",0,'06 Log Returns'!$E$5:$E$723-AVERAGE('06 Log Returns'!$E$5:$E$723)))/(COUNT('06 Log Returns'!$C$5:$C$723)-1)*'02 Config'!$B$12</f>
        <v/>
      </c>
      <c r="F18" s="32">
        <f t="array" ref="F18:F18">SUMPRODUCT(IF('06 Log Returns'!$C$5:$C$723="",0,'06 Log Returns'!$C$5:$C$723-AVERAGE('06 Log Returns'!$C$5:$C$723)),IF('06 Log Returns'!$F$5:$F$723="",0,'06 Log Returns'!$F$5:$F$723-AVERAGE('06 Log Returns'!$F$5:$F$723)))/(COUNT('06 Log Returns'!$C$5:$C$723)-1)*'02 Config'!$B$12</f>
        <v/>
      </c>
      <c r="G18" s="32">
        <f t="array" ref="G18:G18">SUMPRODUCT(IF('06 Log Returns'!$C$5:$C$723="",0,'06 Log Returns'!$C$5:$C$723-AVERAGE('06 Log Returns'!$C$5:$C$723)),IF('06 Log Returns'!$G$5:$G$723="",0,'06 Log Returns'!$G$5:$G$723-AVERAGE('06 Log Returns'!$G$5:$G$723)))/(COUNT('06 Log Returns'!$C$5:$C$723)-1)*'02 Config'!$B$12</f>
        <v/>
      </c>
    </row>
    <row r="19">
      <c r="A19" s="29" t="inlineStr">
        <is>
          <t>BAC</t>
        </is>
      </c>
      <c r="B19" s="32">
        <f t="array" ref="B19:B19">SUMPRODUCT(IF('06 Log Returns'!$D$5:$D$723="",0,'06 Log Returns'!$D$5:$D$723-AVERAGE('06 Log Returns'!$D$5:$D$723)),IF('06 Log Returns'!$B$5:$B$723="",0,'06 Log Returns'!$B$5:$B$723-AVERAGE('06 Log Returns'!$B$5:$B$723)))/(COUNT('06 Log Returns'!$D$5:$D$723)-1)*'02 Config'!$B$12</f>
        <v/>
      </c>
      <c r="C19" s="32">
        <f t="array" ref="C19:C19">SUMPRODUCT(IF('06 Log Returns'!$D$5:$D$723="",0,'06 Log Returns'!$D$5:$D$723-AVERAGE('06 Log Returns'!$D$5:$D$723)),IF('06 Log Returns'!$C$5:$C$723="",0,'06 Log Returns'!$C$5:$C$723-AVERAGE('06 Log Returns'!$C$5:$C$723)))/(COUNT('06 Log Returns'!$D$5:$D$723)-1)*'02 Config'!$B$12</f>
        <v/>
      </c>
      <c r="D19" s="31">
        <f t="array" ref="D19:D19">SUMPRODUCT(IF('06 Log Returns'!$D$5:$D$723="",0,'06 Log Returns'!$D$5:$D$723-AVERAGE('06 Log Returns'!$D$5:$D$723)),IF('06 Log Returns'!$D$5:$D$723="",0,'06 Log Returns'!$D$5:$D$723-AVERAGE('06 Log Returns'!$D$5:$D$723)))/(COUNT('06 Log Returns'!$D$5:$D$723)-1)*'02 Config'!$B$12</f>
        <v/>
      </c>
      <c r="E19" s="32">
        <f t="array" ref="E19:E19">SUMPRODUCT(IF('06 Log Returns'!$D$5:$D$723="",0,'06 Log Returns'!$D$5:$D$723-AVERAGE('06 Log Returns'!$D$5:$D$723)),IF('06 Log Returns'!$E$5:$E$723="",0,'06 Log Returns'!$E$5:$E$723-AVERAGE('06 Log Returns'!$E$5:$E$723)))/(COUNT('06 Log Returns'!$D$5:$D$723)-1)*'02 Config'!$B$12</f>
        <v/>
      </c>
      <c r="F19" s="32">
        <f t="array" ref="F19:F19">SUMPRODUCT(IF('06 Log Returns'!$D$5:$D$723="",0,'06 Log Returns'!$D$5:$D$723-AVERAGE('06 Log Returns'!$D$5:$D$723)),IF('06 Log Returns'!$F$5:$F$723="",0,'06 Log Returns'!$F$5:$F$723-AVERAGE('06 Log Returns'!$F$5:$F$723)))/(COUNT('06 Log Returns'!$D$5:$D$723)-1)*'02 Config'!$B$12</f>
        <v/>
      </c>
      <c r="G19" s="32">
        <f t="array" ref="G19:G19">SUMPRODUCT(IF('06 Log Returns'!$D$5:$D$723="",0,'06 Log Returns'!$D$5:$D$723-AVERAGE('06 Log Returns'!$D$5:$D$723)),IF('06 Log Returns'!$G$5:$G$723="",0,'06 Log Returns'!$G$5:$G$723-AVERAGE('06 Log Returns'!$G$5:$G$723)))/(COUNT('06 Log Returns'!$D$5:$D$723)-1)*'02 Config'!$B$12</f>
        <v/>
      </c>
    </row>
    <row r="20">
      <c r="A20" s="29" t="inlineStr">
        <is>
          <t>AAPL</t>
        </is>
      </c>
      <c r="B20" s="32">
        <f t="array" ref="B20:B20">SUMPRODUCT(IF('06 Log Returns'!$E$5:$E$723="",0,'06 Log Returns'!$E$5:$E$723-AVERAGE('06 Log Returns'!$E$5:$E$723)),IF('06 Log Returns'!$B$5:$B$723="",0,'06 Log Returns'!$B$5:$B$723-AVERAGE('06 Log Returns'!$B$5:$B$723)))/(COUNT('06 Log Returns'!$E$5:$E$723)-1)*'02 Config'!$B$12</f>
        <v/>
      </c>
      <c r="C20" s="32">
        <f t="array" ref="C20:C20">SUMPRODUCT(IF('06 Log Returns'!$E$5:$E$723="",0,'06 Log Returns'!$E$5:$E$723-AVERAGE('06 Log Returns'!$E$5:$E$723)),IF('06 Log Returns'!$C$5:$C$723="",0,'06 Log Returns'!$C$5:$C$723-AVERAGE('06 Log Returns'!$C$5:$C$723)))/(COUNT('06 Log Returns'!$E$5:$E$723)-1)*'02 Config'!$B$12</f>
        <v/>
      </c>
      <c r="D20" s="32">
        <f t="array" ref="D20:D20">SUMPRODUCT(IF('06 Log Returns'!$E$5:$E$723="",0,'06 Log Returns'!$E$5:$E$723-AVERAGE('06 Log Returns'!$E$5:$E$723)),IF('06 Log Returns'!$D$5:$D$723="",0,'06 Log Returns'!$D$5:$D$723-AVERAGE('06 Log Returns'!$D$5:$D$723)))/(COUNT('06 Log Returns'!$E$5:$E$723)-1)*'02 Config'!$B$12</f>
        <v/>
      </c>
      <c r="E20" s="31">
        <f t="array" ref="E20:E20">SUMPRODUCT(IF('06 Log Returns'!$E$5:$E$723="",0,'06 Log Returns'!$E$5:$E$723-AVERAGE('06 Log Returns'!$E$5:$E$723)),IF('06 Log Returns'!$E$5:$E$723="",0,'06 Log Returns'!$E$5:$E$723-AVERAGE('06 Log Returns'!$E$5:$E$723)))/(COUNT('06 Log Returns'!$E$5:$E$723)-1)*'02 Config'!$B$12</f>
        <v/>
      </c>
      <c r="F20" s="32">
        <f t="array" ref="F20:F20">SUMPRODUCT(IF('06 Log Returns'!$E$5:$E$723="",0,'06 Log Returns'!$E$5:$E$723-AVERAGE('06 Log Returns'!$E$5:$E$723)),IF('06 Log Returns'!$F$5:$F$723="",0,'06 Log Returns'!$F$5:$F$723-AVERAGE('06 Log Returns'!$F$5:$F$723)))/(COUNT('06 Log Returns'!$E$5:$E$723)-1)*'02 Config'!$B$12</f>
        <v/>
      </c>
      <c r="G20" s="32">
        <f t="array" ref="G20:G20">SUMPRODUCT(IF('06 Log Returns'!$E$5:$E$723="",0,'06 Log Returns'!$E$5:$E$723-AVERAGE('06 Log Returns'!$E$5:$E$723)),IF('06 Log Returns'!$G$5:$G$723="",0,'06 Log Returns'!$G$5:$G$723-AVERAGE('06 Log Returns'!$G$5:$G$723)))/(COUNT('06 Log Returns'!$E$5:$E$723)-1)*'02 Config'!$B$12</f>
        <v/>
      </c>
    </row>
    <row r="21">
      <c r="A21" s="29" t="inlineStr">
        <is>
          <t>MSFT</t>
        </is>
      </c>
      <c r="B21" s="32">
        <f t="array" ref="B21:B21">SUMPRODUCT(IF('06 Log Returns'!$F$5:$F$723="",0,'06 Log Returns'!$F$5:$F$723-AVERAGE('06 Log Returns'!$F$5:$F$723)),IF('06 Log Returns'!$B$5:$B$723="",0,'06 Log Returns'!$B$5:$B$723-AVERAGE('06 Log Returns'!$B$5:$B$723)))/(COUNT('06 Log Returns'!$F$5:$F$723)-1)*'02 Config'!$B$12</f>
        <v/>
      </c>
      <c r="C21" s="32">
        <f t="array" ref="C21:C21">SUMPRODUCT(IF('06 Log Returns'!$F$5:$F$723="",0,'06 Log Returns'!$F$5:$F$723-AVERAGE('06 Log Returns'!$F$5:$F$723)),IF('06 Log Returns'!$C$5:$C$723="",0,'06 Log Returns'!$C$5:$C$723-AVERAGE('06 Log Returns'!$C$5:$C$723)))/(COUNT('06 Log Returns'!$F$5:$F$723)-1)*'02 Config'!$B$12</f>
        <v/>
      </c>
      <c r="D21" s="32">
        <f t="array" ref="D21:D21">SUMPRODUCT(IF('06 Log Returns'!$F$5:$F$723="",0,'06 Log Returns'!$F$5:$F$723-AVERAGE('06 Log Returns'!$F$5:$F$723)),IF('06 Log Returns'!$D$5:$D$723="",0,'06 Log Returns'!$D$5:$D$723-AVERAGE('06 Log Returns'!$D$5:$D$723)))/(COUNT('06 Log Returns'!$F$5:$F$723)-1)*'02 Config'!$B$12</f>
        <v/>
      </c>
      <c r="E21" s="32">
        <f t="array" ref="E21:E21">SUMPRODUCT(IF('06 Log Returns'!$F$5:$F$723="",0,'06 Log Returns'!$F$5:$F$723-AVERAGE('06 Log Returns'!$F$5:$F$723)),IF('06 Log Returns'!$E$5:$E$723="",0,'06 Log Returns'!$E$5:$E$723-AVERAGE('06 Log Returns'!$E$5:$E$723)))/(COUNT('06 Log Returns'!$F$5:$F$723)-1)*'02 Config'!$B$12</f>
        <v/>
      </c>
      <c r="F21" s="31">
        <f t="array" ref="F21:F21">SUMPRODUCT(IF('06 Log Returns'!$F$5:$F$723="",0,'06 Log Returns'!$F$5:$F$723-AVERAGE('06 Log Returns'!$F$5:$F$723)),IF('06 Log Returns'!$F$5:$F$723="",0,'06 Log Returns'!$F$5:$F$723-AVERAGE('06 Log Returns'!$F$5:$F$723)))/(COUNT('06 Log Returns'!$F$5:$F$723)-1)*'02 Config'!$B$12</f>
        <v/>
      </c>
      <c r="G21" s="32">
        <f t="array" ref="G21:G21">SUMPRODUCT(IF('06 Log Returns'!$F$5:$F$723="",0,'06 Log Returns'!$F$5:$F$723-AVERAGE('06 Log Returns'!$F$5:$F$723)),IF('06 Log Returns'!$G$5:$G$723="",0,'06 Log Returns'!$G$5:$G$723-AVERAGE('06 Log Returns'!$G$5:$G$723)))/(COUNT('06 Log Returns'!$F$5:$F$723)-1)*'02 Config'!$B$12</f>
        <v/>
      </c>
    </row>
    <row r="22">
      <c r="A22" s="29" t="inlineStr">
        <is>
          <t>GLD</t>
        </is>
      </c>
      <c r="B22" s="32">
        <f t="array" ref="B22:B22">SUMPRODUCT(IF('06 Log Returns'!$G$5:$G$723="",0,'06 Log Returns'!$G$5:$G$723-AVERAGE('06 Log Returns'!$G$5:$G$723)),IF('06 Log Returns'!$B$5:$B$723="",0,'06 Log Returns'!$B$5:$B$723-AVERAGE('06 Log Returns'!$B$5:$B$723)))/(COUNT('06 Log Returns'!$G$5:$G$723)-1)*'02 Config'!$B$12</f>
        <v/>
      </c>
      <c r="C22" s="32">
        <f t="array" ref="C22:C22">SUMPRODUCT(IF('06 Log Returns'!$G$5:$G$723="",0,'06 Log Returns'!$G$5:$G$723-AVERAGE('06 Log Returns'!$G$5:$G$723)),IF('06 Log Returns'!$C$5:$C$723="",0,'06 Log Returns'!$C$5:$C$723-AVERAGE('06 Log Returns'!$C$5:$C$723)))/(COUNT('06 Log Returns'!$G$5:$G$723)-1)*'02 Config'!$B$12</f>
        <v/>
      </c>
      <c r="D22" s="32">
        <f t="array" ref="D22:D22">SUMPRODUCT(IF('06 Log Returns'!$G$5:$G$723="",0,'06 Log Returns'!$G$5:$G$723-AVERAGE('06 Log Returns'!$G$5:$G$723)),IF('06 Log Returns'!$D$5:$D$723="",0,'06 Log Returns'!$D$5:$D$723-AVERAGE('06 Log Returns'!$D$5:$D$723)))/(COUNT('06 Log Returns'!$G$5:$G$723)-1)*'02 Config'!$B$12</f>
        <v/>
      </c>
      <c r="E22" s="32">
        <f t="array" ref="E22:E22">SUMPRODUCT(IF('06 Log Returns'!$G$5:$G$723="",0,'06 Log Returns'!$G$5:$G$723-AVERAGE('06 Log Returns'!$G$5:$G$723)),IF('06 Log Returns'!$E$5:$E$723="",0,'06 Log Returns'!$E$5:$E$723-AVERAGE('06 Log Returns'!$E$5:$E$723)))/(COUNT('06 Log Returns'!$G$5:$G$723)-1)*'02 Config'!$B$12</f>
        <v/>
      </c>
      <c r="F22" s="32">
        <f t="array" ref="F22:F22">SUMPRODUCT(IF('06 Log Returns'!$G$5:$G$723="",0,'06 Log Returns'!$G$5:$G$723-AVERAGE('06 Log Returns'!$G$5:$G$723)),IF('06 Log Returns'!$F$5:$F$723="",0,'06 Log Returns'!$F$5:$F$723-AVERAGE('06 Log Returns'!$F$5:$F$723)))/(COUNT('06 Log Returns'!$G$5:$G$723)-1)*'02 Config'!$B$12</f>
        <v/>
      </c>
      <c r="G22" s="31">
        <f t="array" ref="G22:G22">SUMPRODUCT(IF('06 Log Returns'!$G$5:$G$723="",0,'06 Log Returns'!$G$5:$G$723-AVERAGE('06 Log Returns'!$G$5:$G$723)),IF('06 Log Returns'!$G$5:$G$723="",0,'06 Log Returns'!$G$5:$G$723-AVERAGE('06 Log Returns'!$G$5:$G$723)))/(COUNT('06 Log Returns'!$G$5:$G$723)-1)*'02 Config'!$B$12</f>
        <v/>
      </c>
    </row>
    <row r="25">
      <c r="A25" s="4" t="inlineStr">
        <is>
          <t>STEP 3 — CORRELATION MATRIX (diagnostic — not used by the optimiser)</t>
        </is>
      </c>
    </row>
    <row r="26">
      <c r="A26" s="29" t="inlineStr">
        <is>
          <t>Asset</t>
        </is>
      </c>
      <c r="B26" s="29" t="inlineStr">
        <is>
          <t>JPM</t>
        </is>
      </c>
      <c r="C26" s="29" t="inlineStr">
        <is>
          <t>MS</t>
        </is>
      </c>
      <c r="D26" s="29" t="inlineStr">
        <is>
          <t>BAC</t>
        </is>
      </c>
      <c r="E26" s="29" t="inlineStr">
        <is>
          <t>AAPL</t>
        </is>
      </c>
      <c r="F26" s="29" t="inlineStr">
        <is>
          <t>MSFT</t>
        </is>
      </c>
      <c r="G26" s="29" t="inlineStr">
        <is>
          <t>GLD</t>
        </is>
      </c>
    </row>
    <row r="27">
      <c r="A27" s="29" t="inlineStr">
        <is>
          <t>JPM</t>
        </is>
      </c>
      <c r="B27" s="33">
        <f>$B$17/(SQRT($B$17)*SQRT($B$17))</f>
        <v/>
      </c>
      <c r="C27" s="33">
        <f>$C$17/(SQRT($B$17)*SQRT($C$18))</f>
        <v/>
      </c>
      <c r="D27" s="33">
        <f>$D$17/(SQRT($B$17)*SQRT($D$19))</f>
        <v/>
      </c>
      <c r="E27" s="33">
        <f>$E$17/(SQRT($B$17)*SQRT($E$20))</f>
        <v/>
      </c>
      <c r="F27" s="33">
        <f>$F$17/(SQRT($B$17)*SQRT($F$21))</f>
        <v/>
      </c>
      <c r="G27" s="33">
        <f>$G$17/(SQRT($B$17)*SQRT($G$22))</f>
        <v/>
      </c>
    </row>
    <row r="28">
      <c r="A28" s="29" t="inlineStr">
        <is>
          <t>MS</t>
        </is>
      </c>
      <c r="B28" s="33">
        <f>$B$18/(SQRT($C$18)*SQRT($B$17))</f>
        <v/>
      </c>
      <c r="C28" s="33">
        <f>$C$18/(SQRT($C$18)*SQRT($C$18))</f>
        <v/>
      </c>
      <c r="D28" s="33">
        <f>$D$18/(SQRT($C$18)*SQRT($D$19))</f>
        <v/>
      </c>
      <c r="E28" s="33">
        <f>$E$18/(SQRT($C$18)*SQRT($E$20))</f>
        <v/>
      </c>
      <c r="F28" s="33">
        <f>$F$18/(SQRT($C$18)*SQRT($F$21))</f>
        <v/>
      </c>
      <c r="G28" s="33">
        <f>$G$18/(SQRT($C$18)*SQRT($G$22))</f>
        <v/>
      </c>
    </row>
    <row r="29">
      <c r="A29" s="29" t="inlineStr">
        <is>
          <t>BAC</t>
        </is>
      </c>
      <c r="B29" s="33">
        <f>$B$19/(SQRT($D$19)*SQRT($B$17))</f>
        <v/>
      </c>
      <c r="C29" s="33">
        <f>$C$19/(SQRT($D$19)*SQRT($C$18))</f>
        <v/>
      </c>
      <c r="D29" s="33">
        <f>$D$19/(SQRT($D$19)*SQRT($D$19))</f>
        <v/>
      </c>
      <c r="E29" s="33">
        <f>$E$19/(SQRT($D$19)*SQRT($E$20))</f>
        <v/>
      </c>
      <c r="F29" s="33">
        <f>$F$19/(SQRT($D$19)*SQRT($F$21))</f>
        <v/>
      </c>
      <c r="G29" s="33">
        <f>$G$19/(SQRT($D$19)*SQRT($G$22))</f>
        <v/>
      </c>
    </row>
    <row r="30">
      <c r="A30" s="29" t="inlineStr">
        <is>
          <t>AAPL</t>
        </is>
      </c>
      <c r="B30" s="33">
        <f>$B$20/(SQRT($E$20)*SQRT($B$17))</f>
        <v/>
      </c>
      <c r="C30" s="33">
        <f>$C$20/(SQRT($E$20)*SQRT($C$18))</f>
        <v/>
      </c>
      <c r="D30" s="33">
        <f>$D$20/(SQRT($E$20)*SQRT($D$19))</f>
        <v/>
      </c>
      <c r="E30" s="33">
        <f>$E$20/(SQRT($E$20)*SQRT($E$20))</f>
        <v/>
      </c>
      <c r="F30" s="33">
        <f>$F$20/(SQRT($E$20)*SQRT($F$21))</f>
        <v/>
      </c>
      <c r="G30" s="33">
        <f>$G$20/(SQRT($E$20)*SQRT($G$22))</f>
        <v/>
      </c>
    </row>
    <row r="31">
      <c r="A31" s="29" t="inlineStr">
        <is>
          <t>MSFT</t>
        </is>
      </c>
      <c r="B31" s="33">
        <f>$B$21/(SQRT($F$21)*SQRT($B$17))</f>
        <v/>
      </c>
      <c r="C31" s="33">
        <f>$C$21/(SQRT($F$21)*SQRT($C$18))</f>
        <v/>
      </c>
      <c r="D31" s="33">
        <f>$D$21/(SQRT($F$21)*SQRT($D$19))</f>
        <v/>
      </c>
      <c r="E31" s="33">
        <f>$E$21/(SQRT($F$21)*SQRT($E$20))</f>
        <v/>
      </c>
      <c r="F31" s="33">
        <f>$F$21/(SQRT($F$21)*SQRT($F$21))</f>
        <v/>
      </c>
      <c r="G31" s="33">
        <f>$G$21/(SQRT($F$21)*SQRT($G$22))</f>
        <v/>
      </c>
    </row>
    <row r="32">
      <c r="A32" s="29" t="inlineStr">
        <is>
          <t>GLD</t>
        </is>
      </c>
      <c r="B32" s="33">
        <f>$B$22/(SQRT($G$22)*SQRT($B$17))</f>
        <v/>
      </c>
      <c r="C32" s="33">
        <f>$C$22/(SQRT($G$22)*SQRT($C$18))</f>
        <v/>
      </c>
      <c r="D32" s="33">
        <f>$D$22/(SQRT($G$22)*SQRT($D$19))</f>
        <v/>
      </c>
      <c r="E32" s="33">
        <f>$E$22/(SQRT($G$22)*SQRT($E$20))</f>
        <v/>
      </c>
      <c r="F32" s="33">
        <f>$F$22/(SQRT($G$22)*SQRT($F$21))</f>
        <v/>
      </c>
      <c r="G32" s="33">
        <f>$G$22/(SQRT($G$22)*SQRT($G$22))</f>
        <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G164"/>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74" customWidth="1" min="9" max="9"/>
  </cols>
  <sheetData>
    <row r="1">
      <c r="A1" s="1" t="inlineStr">
        <is>
          <t>Markowitz Mean-Variance Optimisation — Closed Form</t>
        </is>
      </c>
    </row>
    <row r="2">
      <c r="A2" s="2" t="inlineStr">
        <is>
          <t>Solved with matrix algebra (MINVERSE / MMULT) rather than a numerical optimiser, so every weight is a live formula. This is the UNCONSTRAINED solution: weights may go negative (short positions).</t>
        </is>
      </c>
    </row>
    <row r="3">
      <c r="A3" s="3" t="inlineStr">
        <is>
          <t>Mirrors: optimization.py -&gt; PortfolioMath, minimum_volatility_portfolio(), maximum_sharpe_portfolio(), efficient_frontier()</t>
        </is>
      </c>
    </row>
    <row r="4" ht="46" customHeight="1">
      <c r="A4" s="6" t="inlineStr">
        <is>
          <t>IMPORTANT — how this differs from the Python project: optimization.py constrains weights to [0, 1] (long-only) and solves numerically with SciPy's SLSQP. A bounded problem like that has no closed form. The matrix solution below is the analytically exact answer to the SAME objective WITHOUT the bounds, so where a short position would improve the portfolio these weights will differ from the Python output.</t>
        </is>
      </c>
    </row>
    <row r="6">
      <c r="A6" s="4" t="inlineStr">
        <is>
          <t>STEP 1 — INVERT THE COVARIANCE MATRIX  (Sigma^-1)</t>
        </is>
      </c>
    </row>
    <row r="7">
      <c r="A7" s="34" t="inlineStr">
        <is>
          <t>Asset</t>
        </is>
      </c>
      <c r="B7" s="29" t="inlineStr">
        <is>
          <t>JPM</t>
        </is>
      </c>
      <c r="C7" s="29" t="inlineStr">
        <is>
          <t>MS</t>
        </is>
      </c>
      <c r="D7" s="29" t="inlineStr">
        <is>
          <t>BAC</t>
        </is>
      </c>
      <c r="E7" s="29" t="inlineStr">
        <is>
          <t>AAPL</t>
        </is>
      </c>
      <c r="F7" s="29" t="inlineStr">
        <is>
          <t>MSFT</t>
        </is>
      </c>
      <c r="G7" s="29" t="inlineStr">
        <is>
          <t>GLD</t>
        </is>
      </c>
    </row>
    <row r="8">
      <c r="A8" s="29" t="inlineStr">
        <is>
          <t>JPM</t>
        </is>
      </c>
      <c r="B8" s="33">
        <f t="array" ref="B8:G13">MINVERSE('07 Annualised Inputs'!$B$17:$G$22)</f>
        <v/>
      </c>
      <c r="C8" s="33" t="n"/>
      <c r="D8" s="33" t="n"/>
      <c r="E8" s="33" t="n"/>
      <c r="F8" s="33" t="n"/>
      <c r="G8" s="33" t="n"/>
    </row>
    <row r="9">
      <c r="A9" s="29" t="inlineStr">
        <is>
          <t>MS</t>
        </is>
      </c>
      <c r="B9" s="33" t="n"/>
      <c r="C9" s="33" t="n"/>
      <c r="D9" s="33" t="n"/>
      <c r="E9" s="33" t="n"/>
      <c r="F9" s="33" t="n"/>
      <c r="G9" s="33" t="n"/>
    </row>
    <row r="10">
      <c r="A10" s="29" t="inlineStr">
        <is>
          <t>BAC</t>
        </is>
      </c>
      <c r="B10" s="33" t="n"/>
      <c r="C10" s="33" t="n"/>
      <c r="D10" s="33" t="n"/>
      <c r="E10" s="33" t="n"/>
      <c r="F10" s="33" t="n"/>
      <c r="G10" s="33" t="n"/>
    </row>
    <row r="11">
      <c r="A11" s="29" t="inlineStr">
        <is>
          <t>AAPL</t>
        </is>
      </c>
      <c r="B11" s="33" t="n"/>
      <c r="C11" s="33" t="n"/>
      <c r="D11" s="33" t="n"/>
      <c r="E11" s="33" t="n"/>
      <c r="F11" s="33" t="n"/>
      <c r="G11" s="33" t="n"/>
    </row>
    <row r="12">
      <c r="A12" s="29" t="inlineStr">
        <is>
          <t>MSFT</t>
        </is>
      </c>
      <c r="B12" s="33" t="n"/>
      <c r="C12" s="33" t="n"/>
      <c r="D12" s="33" t="n"/>
      <c r="E12" s="33" t="n"/>
      <c r="F12" s="33" t="n"/>
      <c r="G12" s="33" t="n"/>
    </row>
    <row r="13">
      <c r="A13" s="29" t="inlineStr">
        <is>
          <t>GLD</t>
        </is>
      </c>
      <c r="B13" s="33" t="n"/>
      <c r="C13" s="33" t="n"/>
      <c r="D13" s="33" t="n"/>
      <c r="E13" s="33" t="n"/>
      <c r="F13" s="33" t="n"/>
      <c r="G13" s="33" t="n"/>
    </row>
    <row r="16">
      <c r="A16" s="4" t="inlineStr">
        <is>
          <t>STEP 2 — THE THREE BUILDING-BLOCK VECTORS</t>
        </is>
      </c>
    </row>
    <row r="17">
      <c r="A17" s="7" t="inlineStr">
        <is>
          <t>Asset</t>
        </is>
      </c>
      <c r="B17" s="7" t="inlineStr">
        <is>
          <t>Sigma^-1 . 1</t>
        </is>
      </c>
      <c r="C17" s="7" t="inlineStr">
        <is>
          <t>Sigma^-1 . mu</t>
        </is>
      </c>
      <c r="D17" s="7" t="inlineStr">
        <is>
          <t>Sigma^-1 . (mu - rf.1)</t>
        </is>
      </c>
    </row>
    <row r="18">
      <c r="A18" s="8" t="inlineStr">
        <is>
          <t>JPM</t>
        </is>
      </c>
      <c r="B18" s="33">
        <f>SUM(B8:G8)</f>
        <v/>
      </c>
      <c r="C18" s="33">
        <f>SUM(MMULT(B8:G8,'07 Annualised Inputs'!$D$7:$D$12))</f>
        <v/>
      </c>
      <c r="D18" s="33">
        <f>C18-'02 Config'!$B$10*B18</f>
        <v/>
      </c>
    </row>
    <row r="19">
      <c r="A19" s="8" t="inlineStr">
        <is>
          <t>MS</t>
        </is>
      </c>
      <c r="B19" s="33">
        <f>SUM(B9:G9)</f>
        <v/>
      </c>
      <c r="C19" s="33">
        <f>SUM(MMULT(B9:G9,'07 Annualised Inputs'!$D$7:$D$12))</f>
        <v/>
      </c>
      <c r="D19" s="33">
        <f>C19-'02 Config'!$B$10*B19</f>
        <v/>
      </c>
    </row>
    <row r="20">
      <c r="A20" s="8" t="inlineStr">
        <is>
          <t>BAC</t>
        </is>
      </c>
      <c r="B20" s="33">
        <f>SUM(B10:G10)</f>
        <v/>
      </c>
      <c r="C20" s="33">
        <f>SUM(MMULT(B10:G10,'07 Annualised Inputs'!$D$7:$D$12))</f>
        <v/>
      </c>
      <c r="D20" s="33">
        <f>C20-'02 Config'!$B$10*B20</f>
        <v/>
      </c>
    </row>
    <row r="21">
      <c r="A21" s="8" t="inlineStr">
        <is>
          <t>AAPL</t>
        </is>
      </c>
      <c r="B21" s="33">
        <f>SUM(B11:G11)</f>
        <v/>
      </c>
      <c r="C21" s="33">
        <f>SUM(MMULT(B11:G11,'07 Annualised Inputs'!$D$7:$D$12))</f>
        <v/>
      </c>
      <c r="D21" s="33">
        <f>C21-'02 Config'!$B$10*B21</f>
        <v/>
      </c>
    </row>
    <row r="22">
      <c r="A22" s="8" t="inlineStr">
        <is>
          <t>MSFT</t>
        </is>
      </c>
      <c r="B22" s="33">
        <f>SUM(B12:G12)</f>
        <v/>
      </c>
      <c r="C22" s="33">
        <f>SUM(MMULT(B12:G12,'07 Annualised Inputs'!$D$7:$D$12))</f>
        <v/>
      </c>
      <c r="D22" s="33">
        <f>C22-'02 Config'!$B$10*B22</f>
        <v/>
      </c>
    </row>
    <row r="23">
      <c r="A23" s="8" t="inlineStr">
        <is>
          <t>GLD</t>
        </is>
      </c>
      <c r="B23" s="33">
        <f>SUM(B13:G13)</f>
        <v/>
      </c>
      <c r="C23" s="33">
        <f>SUM(MMULT(B13:G13,'07 Annualised Inputs'!$D$7:$D$12))</f>
        <v/>
      </c>
      <c r="D23" s="33">
        <f>C23-'02 Config'!$B$10*B23</f>
        <v/>
      </c>
    </row>
    <row r="26">
      <c r="A26" s="4" t="inlineStr">
        <is>
          <t>STEP 3 — THE FOUR SCALAR CONSTANTS OF THE FRONTIER</t>
        </is>
      </c>
    </row>
    <row r="27">
      <c r="A27" s="7" t="inlineStr">
        <is>
          <t>Constant</t>
        </is>
      </c>
      <c r="B27" s="7" t="inlineStr">
        <is>
          <t>Value</t>
        </is>
      </c>
      <c r="C27" s="7" t="inlineStr">
        <is>
          <t>Definition</t>
        </is>
      </c>
      <c r="D27" s="7" t="inlineStr">
        <is>
          <t>Meaning</t>
        </is>
      </c>
    </row>
    <row r="28" ht="28" customHeight="1">
      <c r="A28" s="8" t="inlineStr">
        <is>
          <t>A</t>
        </is>
      </c>
      <c r="B28" s="33">
        <f>SUM(B18:B23)</f>
        <v/>
      </c>
      <c r="C28" s="22" t="inlineStr">
        <is>
          <t>1' Sigma^-1 1</t>
        </is>
      </c>
      <c r="D28" s="6" t="inlineStr">
        <is>
          <t>Total 'precision' available. 1/A is the variance of the global minimum-variance portfolio.</t>
        </is>
      </c>
    </row>
    <row r="29" ht="28" customHeight="1">
      <c r="A29" s="8" t="inlineStr">
        <is>
          <t>B</t>
        </is>
      </c>
      <c r="B29" s="33">
        <f>SUM(C18:C23)</f>
        <v/>
      </c>
      <c r="C29" s="22" t="inlineStr">
        <is>
          <t>1' Sigma^-1 mu</t>
        </is>
      </c>
      <c r="D29" s="6" t="inlineStr">
        <is>
          <t>Links the return vector to the weighting scheme. B/A is the min-variance portfolio's expected return.</t>
        </is>
      </c>
    </row>
    <row r="30" ht="28" customHeight="1">
      <c r="A30" s="8" t="inlineStr">
        <is>
          <t>C</t>
        </is>
      </c>
      <c r="B30" s="33">
        <f>SUMPRODUCT('07 Annualised Inputs'!$D$7:$D$12,C18:C23)</f>
        <v/>
      </c>
      <c r="C30" s="22" t="inlineStr">
        <is>
          <t>mu' Sigma^-1 mu</t>
        </is>
      </c>
      <c r="D30" s="6" t="inlineStr">
        <is>
          <t>Risk-adjusted magnitude of the expected-return vector.</t>
        </is>
      </c>
    </row>
    <row r="31" ht="28" customHeight="1">
      <c r="A31" s="8" t="inlineStr">
        <is>
          <t>D</t>
        </is>
      </c>
      <c r="B31" s="33">
        <f>B28*B30-B29^2</f>
        <v/>
      </c>
      <c r="C31" s="22" t="inlineStr">
        <is>
          <t>A.C - B^2</t>
        </is>
      </c>
      <c r="D31" s="6" t="inlineStr">
        <is>
          <t>The frontier's curvature. Positive whenever Sigma is well behaved; it is the denominator of the frontier equation.</t>
        </is>
      </c>
    </row>
    <row r="33">
      <c r="A33" s="4" t="inlineStr">
        <is>
          <t>STEP 4 — MINIMUM VARIANCE PORTFOLIO      w = (Sigma^-1 . 1) / A</t>
        </is>
      </c>
    </row>
    <row r="34">
      <c r="A34" s="3" t="inlineStr">
        <is>
          <t>These are the weights the rest of the workbook uses as THE portfolio, exactly as main.py does.</t>
        </is>
      </c>
    </row>
    <row r="35">
      <c r="A35" s="7" t="inlineStr">
        <is>
          <t>Asset</t>
        </is>
      </c>
      <c r="B35" s="7" t="inlineStr">
        <is>
          <t>Weight</t>
        </is>
      </c>
    </row>
    <row r="36">
      <c r="A36" s="8" t="inlineStr">
        <is>
          <t>JPM</t>
        </is>
      </c>
      <c r="B36" s="28">
        <f>B18/$B$28</f>
        <v/>
      </c>
    </row>
    <row r="37">
      <c r="A37" s="8" t="inlineStr">
        <is>
          <t>MS</t>
        </is>
      </c>
      <c r="B37" s="28">
        <f>B19/$B$28</f>
        <v/>
      </c>
    </row>
    <row r="38">
      <c r="A38" s="8" t="inlineStr">
        <is>
          <t>BAC</t>
        </is>
      </c>
      <c r="B38" s="28">
        <f>B20/$B$28</f>
        <v/>
      </c>
    </row>
    <row r="39">
      <c r="A39" s="8" t="inlineStr">
        <is>
          <t>AAPL</t>
        </is>
      </c>
      <c r="B39" s="28">
        <f>B21/$B$28</f>
        <v/>
      </c>
    </row>
    <row r="40">
      <c r="A40" s="8" t="inlineStr">
        <is>
          <t>MSFT</t>
        </is>
      </c>
      <c r="B40" s="28">
        <f>B22/$B$28</f>
        <v/>
      </c>
    </row>
    <row r="41">
      <c r="A41" s="8" t="inlineStr">
        <is>
          <t>GLD</t>
        </is>
      </c>
      <c r="B41" s="28">
        <f>B23/$B$28</f>
        <v/>
      </c>
    </row>
    <row r="42">
      <c r="A42" s="35" t="inlineStr">
        <is>
          <t>Sum of weights (must equal 100%)</t>
        </is>
      </c>
      <c r="B42" s="28">
        <f>SUM(B36:B41)</f>
        <v/>
      </c>
    </row>
    <row r="43">
      <c r="A43" s="5" t="inlineStr">
        <is>
          <t>Expected annual return</t>
        </is>
      </c>
      <c r="B43" s="28">
        <f>SUMPRODUCT('07 Annualised Inputs'!$D$7:$D$12,'08 Optimisation'!$B$36:$B$41)</f>
        <v/>
      </c>
    </row>
    <row r="44">
      <c r="A44" s="5" t="inlineStr">
        <is>
          <t>Annual volatility (risk)</t>
        </is>
      </c>
      <c r="B44" s="28">
        <f>SQRT(SUMPRODUCT(MMULT(TRANSPOSE('08 Optimisation'!$B$36:$B$41),'07 Annualised Inputs'!$B$17:$G$22),TRANSPOSE('08 Optimisation'!$B$36:$B$41)))</f>
        <v/>
      </c>
    </row>
    <row r="45">
      <c r="A45" s="5" t="inlineStr">
        <is>
          <t>Sharpe ratio</t>
        </is>
      </c>
      <c r="B45" s="33">
        <f>(B43-'02 Config'!$B$10)/B44</f>
        <v/>
      </c>
    </row>
    <row r="48">
      <c r="A48" s="4" t="inlineStr">
        <is>
          <t>STEP 5 — MAXIMUM SHARPE (TANGENCY) PORTFOLIO      w = Sigma^-1 (mu - rf.1) / 1'Sigma^-1 (mu - rf.1)</t>
        </is>
      </c>
    </row>
    <row r="49">
      <c r="A49" s="7" t="inlineStr">
        <is>
          <t>Asset</t>
        </is>
      </c>
      <c r="B49" s="7" t="inlineStr">
        <is>
          <t>Weight</t>
        </is>
      </c>
    </row>
    <row r="50">
      <c r="A50" s="8" t="inlineStr">
        <is>
          <t>JPM</t>
        </is>
      </c>
      <c r="B50" s="28">
        <f>D18/SUM($D$18:$D$23)</f>
        <v/>
      </c>
    </row>
    <row r="51">
      <c r="A51" s="8" t="inlineStr">
        <is>
          <t>MS</t>
        </is>
      </c>
      <c r="B51" s="28">
        <f>D19/SUM($D$18:$D$23)</f>
        <v/>
      </c>
    </row>
    <row r="52">
      <c r="A52" s="8" t="inlineStr">
        <is>
          <t>BAC</t>
        </is>
      </c>
      <c r="B52" s="28">
        <f>D20/SUM($D$18:$D$23)</f>
        <v/>
      </c>
    </row>
    <row r="53">
      <c r="A53" s="8" t="inlineStr">
        <is>
          <t>AAPL</t>
        </is>
      </c>
      <c r="B53" s="28">
        <f>D21/SUM($D$18:$D$23)</f>
        <v/>
      </c>
    </row>
    <row r="54">
      <c r="A54" s="8" t="inlineStr">
        <is>
          <t>MSFT</t>
        </is>
      </c>
      <c r="B54" s="28">
        <f>D22/SUM($D$18:$D$23)</f>
        <v/>
      </c>
    </row>
    <row r="55">
      <c r="A55" s="8" t="inlineStr">
        <is>
          <t>GLD</t>
        </is>
      </c>
      <c r="B55" s="28">
        <f>D23/SUM($D$18:$D$23)</f>
        <v/>
      </c>
    </row>
    <row r="56">
      <c r="A56" s="35" t="inlineStr">
        <is>
          <t>Sum of weights (must equal 100%)</t>
        </is>
      </c>
      <c r="B56" s="28">
        <f>SUM(B50:B55)</f>
        <v/>
      </c>
    </row>
    <row r="57">
      <c r="A57" s="5" t="inlineStr">
        <is>
          <t>Expected annual return</t>
        </is>
      </c>
      <c r="B57" s="28">
        <f>SUMPRODUCT('07 Annualised Inputs'!$D$7:$D$12,'08 Optimisation'!$B$50:$B$55)</f>
        <v/>
      </c>
    </row>
    <row r="58">
      <c r="A58" s="5" t="inlineStr">
        <is>
          <t>Annual volatility (risk)</t>
        </is>
      </c>
      <c r="B58" s="28">
        <f>SQRT(SUMPRODUCT(MMULT(TRANSPOSE('08 Optimisation'!$B$50:$B$55),'07 Annualised Inputs'!$B$17:$G$22),TRANSPOSE('08 Optimisation'!$B$50:$B$55)))</f>
        <v/>
      </c>
    </row>
    <row r="59">
      <c r="A59" s="5" t="inlineStr">
        <is>
          <t>Sharpe ratio</t>
        </is>
      </c>
      <c r="B59" s="33">
        <f>(B57-'02 Config'!$B$10)/B58</f>
        <v/>
      </c>
    </row>
    <row r="62">
      <c r="A62" s="4" t="inlineStr">
        <is>
          <t>STEP 6 — THE EFFICIENT FRONTIER      sigma(r)^2 = (A r^2 - 2 B r + C) / D</t>
        </is>
      </c>
    </row>
    <row r="63">
      <c r="A63" s="3" t="inlineStr">
        <is>
          <t>100 target returns spread evenly between the lowest and highest return found by the Monte Carlo simulation on sheet '09 Monte Carlo', matching how main.py builds its target range.</t>
        </is>
      </c>
    </row>
    <row r="64">
      <c r="A64" s="7" t="inlineStr">
        <is>
          <t>#</t>
        </is>
      </c>
      <c r="B64" s="7" t="inlineStr">
        <is>
          <t>Target annual return</t>
        </is>
      </c>
      <c r="C64" s="7" t="inlineStr">
        <is>
          <t>Minimum volatility</t>
        </is>
      </c>
      <c r="D64" s="7" t="inlineStr">
        <is>
          <t>Sharpe at this point</t>
        </is>
      </c>
    </row>
    <row r="65">
      <c r="A65" s="21" t="n">
        <v>1</v>
      </c>
      <c r="B65" s="28">
        <f>MIN('09 Monte Carlo'!$O$6:$O$1005)+(MAX('09 Monte Carlo'!$O$6:$O$1005)-MIN('09 Monte Carlo'!$O$6:$O$1005))*(A65-1)/('02 Config'!$B$17-1)</f>
        <v/>
      </c>
      <c r="C65" s="28">
        <f>SQRT(($B$28*B65^2-2*$B$29*B65+$B$30)/$B$31)</f>
        <v/>
      </c>
      <c r="D65" s="33">
        <f>(B65-'02 Config'!$B$10)/C65</f>
        <v/>
      </c>
    </row>
    <row r="66">
      <c r="A66" s="21" t="n">
        <v>2</v>
      </c>
      <c r="B66" s="28">
        <f>MIN('09 Monte Carlo'!$O$6:$O$1005)+(MAX('09 Monte Carlo'!$O$6:$O$1005)-MIN('09 Monte Carlo'!$O$6:$O$1005))*(A66-1)/('02 Config'!$B$17-1)</f>
        <v/>
      </c>
      <c r="C66" s="28">
        <f>SQRT(($B$28*B66^2-2*$B$29*B66+$B$30)/$B$31)</f>
        <v/>
      </c>
      <c r="D66" s="33">
        <f>(B66-'02 Config'!$B$10)/C66</f>
        <v/>
      </c>
    </row>
    <row r="67">
      <c r="A67" s="21" t="n">
        <v>3</v>
      </c>
      <c r="B67" s="28">
        <f>MIN('09 Monte Carlo'!$O$6:$O$1005)+(MAX('09 Monte Carlo'!$O$6:$O$1005)-MIN('09 Monte Carlo'!$O$6:$O$1005))*(A67-1)/('02 Config'!$B$17-1)</f>
        <v/>
      </c>
      <c r="C67" s="28">
        <f>SQRT(($B$28*B67^2-2*$B$29*B67+$B$30)/$B$31)</f>
        <v/>
      </c>
      <c r="D67" s="33">
        <f>(B67-'02 Config'!$B$10)/C67</f>
        <v/>
      </c>
    </row>
    <row r="68">
      <c r="A68" s="21" t="n">
        <v>4</v>
      </c>
      <c r="B68" s="28">
        <f>MIN('09 Monte Carlo'!$O$6:$O$1005)+(MAX('09 Monte Carlo'!$O$6:$O$1005)-MIN('09 Monte Carlo'!$O$6:$O$1005))*(A68-1)/('02 Config'!$B$17-1)</f>
        <v/>
      </c>
      <c r="C68" s="28">
        <f>SQRT(($B$28*B68^2-2*$B$29*B68+$B$30)/$B$31)</f>
        <v/>
      </c>
      <c r="D68" s="33">
        <f>(B68-'02 Config'!$B$10)/C68</f>
        <v/>
      </c>
    </row>
    <row r="69">
      <c r="A69" s="21" t="n">
        <v>5</v>
      </c>
      <c r="B69" s="28">
        <f>MIN('09 Monte Carlo'!$O$6:$O$1005)+(MAX('09 Monte Carlo'!$O$6:$O$1005)-MIN('09 Monte Carlo'!$O$6:$O$1005))*(A69-1)/('02 Config'!$B$17-1)</f>
        <v/>
      </c>
      <c r="C69" s="28">
        <f>SQRT(($B$28*B69^2-2*$B$29*B69+$B$30)/$B$31)</f>
        <v/>
      </c>
      <c r="D69" s="33">
        <f>(B69-'02 Config'!$B$10)/C69</f>
        <v/>
      </c>
    </row>
    <row r="70">
      <c r="A70" s="21" t="n">
        <v>6</v>
      </c>
      <c r="B70" s="28">
        <f>MIN('09 Monte Carlo'!$O$6:$O$1005)+(MAX('09 Monte Carlo'!$O$6:$O$1005)-MIN('09 Monte Carlo'!$O$6:$O$1005))*(A70-1)/('02 Config'!$B$17-1)</f>
        <v/>
      </c>
      <c r="C70" s="28">
        <f>SQRT(($B$28*B70^2-2*$B$29*B70+$B$30)/$B$31)</f>
        <v/>
      </c>
      <c r="D70" s="33">
        <f>(B70-'02 Config'!$B$10)/C70</f>
        <v/>
      </c>
    </row>
    <row r="71">
      <c r="A71" s="21" t="n">
        <v>7</v>
      </c>
      <c r="B71" s="28">
        <f>MIN('09 Monte Carlo'!$O$6:$O$1005)+(MAX('09 Monte Carlo'!$O$6:$O$1005)-MIN('09 Monte Carlo'!$O$6:$O$1005))*(A71-1)/('02 Config'!$B$17-1)</f>
        <v/>
      </c>
      <c r="C71" s="28">
        <f>SQRT(($B$28*B71^2-2*$B$29*B71+$B$30)/$B$31)</f>
        <v/>
      </c>
      <c r="D71" s="33">
        <f>(B71-'02 Config'!$B$10)/C71</f>
        <v/>
      </c>
    </row>
    <row r="72">
      <c r="A72" s="21" t="n">
        <v>8</v>
      </c>
      <c r="B72" s="28">
        <f>MIN('09 Monte Carlo'!$O$6:$O$1005)+(MAX('09 Monte Carlo'!$O$6:$O$1005)-MIN('09 Monte Carlo'!$O$6:$O$1005))*(A72-1)/('02 Config'!$B$17-1)</f>
        <v/>
      </c>
      <c r="C72" s="28">
        <f>SQRT(($B$28*B72^2-2*$B$29*B72+$B$30)/$B$31)</f>
        <v/>
      </c>
      <c r="D72" s="33">
        <f>(B72-'02 Config'!$B$10)/C72</f>
        <v/>
      </c>
    </row>
    <row r="73">
      <c r="A73" s="21" t="n">
        <v>9</v>
      </c>
      <c r="B73" s="28">
        <f>MIN('09 Monte Carlo'!$O$6:$O$1005)+(MAX('09 Monte Carlo'!$O$6:$O$1005)-MIN('09 Monte Carlo'!$O$6:$O$1005))*(A73-1)/('02 Config'!$B$17-1)</f>
        <v/>
      </c>
      <c r="C73" s="28">
        <f>SQRT(($B$28*B73^2-2*$B$29*B73+$B$30)/$B$31)</f>
        <v/>
      </c>
      <c r="D73" s="33">
        <f>(B73-'02 Config'!$B$10)/C73</f>
        <v/>
      </c>
    </row>
    <row r="74">
      <c r="A74" s="21" t="n">
        <v>10</v>
      </c>
      <c r="B74" s="28">
        <f>MIN('09 Monte Carlo'!$O$6:$O$1005)+(MAX('09 Monte Carlo'!$O$6:$O$1005)-MIN('09 Monte Carlo'!$O$6:$O$1005))*(A74-1)/('02 Config'!$B$17-1)</f>
        <v/>
      </c>
      <c r="C74" s="28">
        <f>SQRT(($B$28*B74^2-2*$B$29*B74+$B$30)/$B$31)</f>
        <v/>
      </c>
      <c r="D74" s="33">
        <f>(B74-'02 Config'!$B$10)/C74</f>
        <v/>
      </c>
    </row>
    <row r="75">
      <c r="A75" s="21" t="n">
        <v>11</v>
      </c>
      <c r="B75" s="28">
        <f>MIN('09 Monte Carlo'!$O$6:$O$1005)+(MAX('09 Monte Carlo'!$O$6:$O$1005)-MIN('09 Monte Carlo'!$O$6:$O$1005))*(A75-1)/('02 Config'!$B$17-1)</f>
        <v/>
      </c>
      <c r="C75" s="28">
        <f>SQRT(($B$28*B75^2-2*$B$29*B75+$B$30)/$B$31)</f>
        <v/>
      </c>
      <c r="D75" s="33">
        <f>(B75-'02 Config'!$B$10)/C75</f>
        <v/>
      </c>
    </row>
    <row r="76">
      <c r="A76" s="21" t="n">
        <v>12</v>
      </c>
      <c r="B76" s="28">
        <f>MIN('09 Monte Carlo'!$O$6:$O$1005)+(MAX('09 Monte Carlo'!$O$6:$O$1005)-MIN('09 Monte Carlo'!$O$6:$O$1005))*(A76-1)/('02 Config'!$B$17-1)</f>
        <v/>
      </c>
      <c r="C76" s="28">
        <f>SQRT(($B$28*B76^2-2*$B$29*B76+$B$30)/$B$31)</f>
        <v/>
      </c>
      <c r="D76" s="33">
        <f>(B76-'02 Config'!$B$10)/C76</f>
        <v/>
      </c>
    </row>
    <row r="77">
      <c r="A77" s="21" t="n">
        <v>13</v>
      </c>
      <c r="B77" s="28">
        <f>MIN('09 Monte Carlo'!$O$6:$O$1005)+(MAX('09 Monte Carlo'!$O$6:$O$1005)-MIN('09 Monte Carlo'!$O$6:$O$1005))*(A77-1)/('02 Config'!$B$17-1)</f>
        <v/>
      </c>
      <c r="C77" s="28">
        <f>SQRT(($B$28*B77^2-2*$B$29*B77+$B$30)/$B$31)</f>
        <v/>
      </c>
      <c r="D77" s="33">
        <f>(B77-'02 Config'!$B$10)/C77</f>
        <v/>
      </c>
    </row>
    <row r="78">
      <c r="A78" s="21" t="n">
        <v>14</v>
      </c>
      <c r="B78" s="28">
        <f>MIN('09 Monte Carlo'!$O$6:$O$1005)+(MAX('09 Monte Carlo'!$O$6:$O$1005)-MIN('09 Monte Carlo'!$O$6:$O$1005))*(A78-1)/('02 Config'!$B$17-1)</f>
        <v/>
      </c>
      <c r="C78" s="28">
        <f>SQRT(($B$28*B78^2-2*$B$29*B78+$B$30)/$B$31)</f>
        <v/>
      </c>
      <c r="D78" s="33">
        <f>(B78-'02 Config'!$B$10)/C78</f>
        <v/>
      </c>
    </row>
    <row r="79">
      <c r="A79" s="21" t="n">
        <v>15</v>
      </c>
      <c r="B79" s="28">
        <f>MIN('09 Monte Carlo'!$O$6:$O$1005)+(MAX('09 Monte Carlo'!$O$6:$O$1005)-MIN('09 Monte Carlo'!$O$6:$O$1005))*(A79-1)/('02 Config'!$B$17-1)</f>
        <v/>
      </c>
      <c r="C79" s="28">
        <f>SQRT(($B$28*B79^2-2*$B$29*B79+$B$30)/$B$31)</f>
        <v/>
      </c>
      <c r="D79" s="33">
        <f>(B79-'02 Config'!$B$10)/C79</f>
        <v/>
      </c>
    </row>
    <row r="80">
      <c r="A80" s="21" t="n">
        <v>16</v>
      </c>
      <c r="B80" s="28">
        <f>MIN('09 Monte Carlo'!$O$6:$O$1005)+(MAX('09 Monte Carlo'!$O$6:$O$1005)-MIN('09 Monte Carlo'!$O$6:$O$1005))*(A80-1)/('02 Config'!$B$17-1)</f>
        <v/>
      </c>
      <c r="C80" s="28">
        <f>SQRT(($B$28*B80^2-2*$B$29*B80+$B$30)/$B$31)</f>
        <v/>
      </c>
      <c r="D80" s="33">
        <f>(B80-'02 Config'!$B$10)/C80</f>
        <v/>
      </c>
    </row>
    <row r="81">
      <c r="A81" s="21" t="n">
        <v>17</v>
      </c>
      <c r="B81" s="28">
        <f>MIN('09 Monte Carlo'!$O$6:$O$1005)+(MAX('09 Monte Carlo'!$O$6:$O$1005)-MIN('09 Monte Carlo'!$O$6:$O$1005))*(A81-1)/('02 Config'!$B$17-1)</f>
        <v/>
      </c>
      <c r="C81" s="28">
        <f>SQRT(($B$28*B81^2-2*$B$29*B81+$B$30)/$B$31)</f>
        <v/>
      </c>
      <c r="D81" s="33">
        <f>(B81-'02 Config'!$B$10)/C81</f>
        <v/>
      </c>
    </row>
    <row r="82">
      <c r="A82" s="21" t="n">
        <v>18</v>
      </c>
      <c r="B82" s="28">
        <f>MIN('09 Monte Carlo'!$O$6:$O$1005)+(MAX('09 Monte Carlo'!$O$6:$O$1005)-MIN('09 Monte Carlo'!$O$6:$O$1005))*(A82-1)/('02 Config'!$B$17-1)</f>
        <v/>
      </c>
      <c r="C82" s="28">
        <f>SQRT(($B$28*B82^2-2*$B$29*B82+$B$30)/$B$31)</f>
        <v/>
      </c>
      <c r="D82" s="33">
        <f>(B82-'02 Config'!$B$10)/C82</f>
        <v/>
      </c>
    </row>
    <row r="83">
      <c r="A83" s="21" t="n">
        <v>19</v>
      </c>
      <c r="B83" s="28">
        <f>MIN('09 Monte Carlo'!$O$6:$O$1005)+(MAX('09 Monte Carlo'!$O$6:$O$1005)-MIN('09 Monte Carlo'!$O$6:$O$1005))*(A83-1)/('02 Config'!$B$17-1)</f>
        <v/>
      </c>
      <c r="C83" s="28">
        <f>SQRT(($B$28*B83^2-2*$B$29*B83+$B$30)/$B$31)</f>
        <v/>
      </c>
      <c r="D83" s="33">
        <f>(B83-'02 Config'!$B$10)/C83</f>
        <v/>
      </c>
    </row>
    <row r="84">
      <c r="A84" s="21" t="n">
        <v>20</v>
      </c>
      <c r="B84" s="28">
        <f>MIN('09 Monte Carlo'!$O$6:$O$1005)+(MAX('09 Monte Carlo'!$O$6:$O$1005)-MIN('09 Monte Carlo'!$O$6:$O$1005))*(A84-1)/('02 Config'!$B$17-1)</f>
        <v/>
      </c>
      <c r="C84" s="28">
        <f>SQRT(($B$28*B84^2-2*$B$29*B84+$B$30)/$B$31)</f>
        <v/>
      </c>
      <c r="D84" s="33">
        <f>(B84-'02 Config'!$B$10)/C84</f>
        <v/>
      </c>
    </row>
    <row r="85">
      <c r="A85" s="21" t="n">
        <v>21</v>
      </c>
      <c r="B85" s="28">
        <f>MIN('09 Monte Carlo'!$O$6:$O$1005)+(MAX('09 Monte Carlo'!$O$6:$O$1005)-MIN('09 Monte Carlo'!$O$6:$O$1005))*(A85-1)/('02 Config'!$B$17-1)</f>
        <v/>
      </c>
      <c r="C85" s="28">
        <f>SQRT(($B$28*B85^2-2*$B$29*B85+$B$30)/$B$31)</f>
        <v/>
      </c>
      <c r="D85" s="33">
        <f>(B85-'02 Config'!$B$10)/C85</f>
        <v/>
      </c>
    </row>
    <row r="86">
      <c r="A86" s="21" t="n">
        <v>22</v>
      </c>
      <c r="B86" s="28">
        <f>MIN('09 Monte Carlo'!$O$6:$O$1005)+(MAX('09 Monte Carlo'!$O$6:$O$1005)-MIN('09 Monte Carlo'!$O$6:$O$1005))*(A86-1)/('02 Config'!$B$17-1)</f>
        <v/>
      </c>
      <c r="C86" s="28">
        <f>SQRT(($B$28*B86^2-2*$B$29*B86+$B$30)/$B$31)</f>
        <v/>
      </c>
      <c r="D86" s="33">
        <f>(B86-'02 Config'!$B$10)/C86</f>
        <v/>
      </c>
    </row>
    <row r="87">
      <c r="A87" s="21" t="n">
        <v>23</v>
      </c>
      <c r="B87" s="28">
        <f>MIN('09 Monte Carlo'!$O$6:$O$1005)+(MAX('09 Monte Carlo'!$O$6:$O$1005)-MIN('09 Monte Carlo'!$O$6:$O$1005))*(A87-1)/('02 Config'!$B$17-1)</f>
        <v/>
      </c>
      <c r="C87" s="28">
        <f>SQRT(($B$28*B87^2-2*$B$29*B87+$B$30)/$B$31)</f>
        <v/>
      </c>
      <c r="D87" s="33">
        <f>(B87-'02 Config'!$B$10)/C87</f>
        <v/>
      </c>
    </row>
    <row r="88">
      <c r="A88" s="21" t="n">
        <v>24</v>
      </c>
      <c r="B88" s="28">
        <f>MIN('09 Monte Carlo'!$O$6:$O$1005)+(MAX('09 Monte Carlo'!$O$6:$O$1005)-MIN('09 Monte Carlo'!$O$6:$O$1005))*(A88-1)/('02 Config'!$B$17-1)</f>
        <v/>
      </c>
      <c r="C88" s="28">
        <f>SQRT(($B$28*B88^2-2*$B$29*B88+$B$30)/$B$31)</f>
        <v/>
      </c>
      <c r="D88" s="33">
        <f>(B88-'02 Config'!$B$10)/C88</f>
        <v/>
      </c>
    </row>
    <row r="89">
      <c r="A89" s="21" t="n">
        <v>25</v>
      </c>
      <c r="B89" s="28">
        <f>MIN('09 Monte Carlo'!$O$6:$O$1005)+(MAX('09 Monte Carlo'!$O$6:$O$1005)-MIN('09 Monte Carlo'!$O$6:$O$1005))*(A89-1)/('02 Config'!$B$17-1)</f>
        <v/>
      </c>
      <c r="C89" s="28">
        <f>SQRT(($B$28*B89^2-2*$B$29*B89+$B$30)/$B$31)</f>
        <v/>
      </c>
      <c r="D89" s="33">
        <f>(B89-'02 Config'!$B$10)/C89</f>
        <v/>
      </c>
    </row>
    <row r="90">
      <c r="A90" s="21" t="n">
        <v>26</v>
      </c>
      <c r="B90" s="28">
        <f>MIN('09 Monte Carlo'!$O$6:$O$1005)+(MAX('09 Monte Carlo'!$O$6:$O$1005)-MIN('09 Monte Carlo'!$O$6:$O$1005))*(A90-1)/('02 Config'!$B$17-1)</f>
        <v/>
      </c>
      <c r="C90" s="28">
        <f>SQRT(($B$28*B90^2-2*$B$29*B90+$B$30)/$B$31)</f>
        <v/>
      </c>
      <c r="D90" s="33">
        <f>(B90-'02 Config'!$B$10)/C90</f>
        <v/>
      </c>
    </row>
    <row r="91">
      <c r="A91" s="21" t="n">
        <v>27</v>
      </c>
      <c r="B91" s="28">
        <f>MIN('09 Monte Carlo'!$O$6:$O$1005)+(MAX('09 Monte Carlo'!$O$6:$O$1005)-MIN('09 Monte Carlo'!$O$6:$O$1005))*(A91-1)/('02 Config'!$B$17-1)</f>
        <v/>
      </c>
      <c r="C91" s="28">
        <f>SQRT(($B$28*B91^2-2*$B$29*B91+$B$30)/$B$31)</f>
        <v/>
      </c>
      <c r="D91" s="33">
        <f>(B91-'02 Config'!$B$10)/C91</f>
        <v/>
      </c>
    </row>
    <row r="92">
      <c r="A92" s="21" t="n">
        <v>28</v>
      </c>
      <c r="B92" s="28">
        <f>MIN('09 Monte Carlo'!$O$6:$O$1005)+(MAX('09 Monte Carlo'!$O$6:$O$1005)-MIN('09 Monte Carlo'!$O$6:$O$1005))*(A92-1)/('02 Config'!$B$17-1)</f>
        <v/>
      </c>
      <c r="C92" s="28">
        <f>SQRT(($B$28*B92^2-2*$B$29*B92+$B$30)/$B$31)</f>
        <v/>
      </c>
      <c r="D92" s="33">
        <f>(B92-'02 Config'!$B$10)/C92</f>
        <v/>
      </c>
    </row>
    <row r="93">
      <c r="A93" s="21" t="n">
        <v>29</v>
      </c>
      <c r="B93" s="28">
        <f>MIN('09 Monte Carlo'!$O$6:$O$1005)+(MAX('09 Monte Carlo'!$O$6:$O$1005)-MIN('09 Monte Carlo'!$O$6:$O$1005))*(A93-1)/('02 Config'!$B$17-1)</f>
        <v/>
      </c>
      <c r="C93" s="28">
        <f>SQRT(($B$28*B93^2-2*$B$29*B93+$B$30)/$B$31)</f>
        <v/>
      </c>
      <c r="D93" s="33">
        <f>(B93-'02 Config'!$B$10)/C93</f>
        <v/>
      </c>
    </row>
    <row r="94">
      <c r="A94" s="21" t="n">
        <v>30</v>
      </c>
      <c r="B94" s="28">
        <f>MIN('09 Monte Carlo'!$O$6:$O$1005)+(MAX('09 Monte Carlo'!$O$6:$O$1005)-MIN('09 Monte Carlo'!$O$6:$O$1005))*(A94-1)/('02 Config'!$B$17-1)</f>
        <v/>
      </c>
      <c r="C94" s="28">
        <f>SQRT(($B$28*B94^2-2*$B$29*B94+$B$30)/$B$31)</f>
        <v/>
      </c>
      <c r="D94" s="33">
        <f>(B94-'02 Config'!$B$10)/C94</f>
        <v/>
      </c>
    </row>
    <row r="95">
      <c r="A95" s="21" t="n">
        <v>31</v>
      </c>
      <c r="B95" s="28">
        <f>MIN('09 Monte Carlo'!$O$6:$O$1005)+(MAX('09 Monte Carlo'!$O$6:$O$1005)-MIN('09 Monte Carlo'!$O$6:$O$1005))*(A95-1)/('02 Config'!$B$17-1)</f>
        <v/>
      </c>
      <c r="C95" s="28">
        <f>SQRT(($B$28*B95^2-2*$B$29*B95+$B$30)/$B$31)</f>
        <v/>
      </c>
      <c r="D95" s="33">
        <f>(B95-'02 Config'!$B$10)/C95</f>
        <v/>
      </c>
    </row>
    <row r="96">
      <c r="A96" s="21" t="n">
        <v>32</v>
      </c>
      <c r="B96" s="28">
        <f>MIN('09 Monte Carlo'!$O$6:$O$1005)+(MAX('09 Monte Carlo'!$O$6:$O$1005)-MIN('09 Monte Carlo'!$O$6:$O$1005))*(A96-1)/('02 Config'!$B$17-1)</f>
        <v/>
      </c>
      <c r="C96" s="28">
        <f>SQRT(($B$28*B96^2-2*$B$29*B96+$B$30)/$B$31)</f>
        <v/>
      </c>
      <c r="D96" s="33">
        <f>(B96-'02 Config'!$B$10)/C96</f>
        <v/>
      </c>
    </row>
    <row r="97">
      <c r="A97" s="21" t="n">
        <v>33</v>
      </c>
      <c r="B97" s="28">
        <f>MIN('09 Monte Carlo'!$O$6:$O$1005)+(MAX('09 Monte Carlo'!$O$6:$O$1005)-MIN('09 Monte Carlo'!$O$6:$O$1005))*(A97-1)/('02 Config'!$B$17-1)</f>
        <v/>
      </c>
      <c r="C97" s="28">
        <f>SQRT(($B$28*B97^2-2*$B$29*B97+$B$30)/$B$31)</f>
        <v/>
      </c>
      <c r="D97" s="33">
        <f>(B97-'02 Config'!$B$10)/C97</f>
        <v/>
      </c>
    </row>
    <row r="98">
      <c r="A98" s="21" t="n">
        <v>34</v>
      </c>
      <c r="B98" s="28">
        <f>MIN('09 Monte Carlo'!$O$6:$O$1005)+(MAX('09 Monte Carlo'!$O$6:$O$1005)-MIN('09 Monte Carlo'!$O$6:$O$1005))*(A98-1)/('02 Config'!$B$17-1)</f>
        <v/>
      </c>
      <c r="C98" s="28">
        <f>SQRT(($B$28*B98^2-2*$B$29*B98+$B$30)/$B$31)</f>
        <v/>
      </c>
      <c r="D98" s="33">
        <f>(B98-'02 Config'!$B$10)/C98</f>
        <v/>
      </c>
    </row>
    <row r="99">
      <c r="A99" s="21" t="n">
        <v>35</v>
      </c>
      <c r="B99" s="28">
        <f>MIN('09 Monte Carlo'!$O$6:$O$1005)+(MAX('09 Monte Carlo'!$O$6:$O$1005)-MIN('09 Monte Carlo'!$O$6:$O$1005))*(A99-1)/('02 Config'!$B$17-1)</f>
        <v/>
      </c>
      <c r="C99" s="28">
        <f>SQRT(($B$28*B99^2-2*$B$29*B99+$B$30)/$B$31)</f>
        <v/>
      </c>
      <c r="D99" s="33">
        <f>(B99-'02 Config'!$B$10)/C99</f>
        <v/>
      </c>
    </row>
    <row r="100">
      <c r="A100" s="21" t="n">
        <v>36</v>
      </c>
      <c r="B100" s="28">
        <f>MIN('09 Monte Carlo'!$O$6:$O$1005)+(MAX('09 Monte Carlo'!$O$6:$O$1005)-MIN('09 Monte Carlo'!$O$6:$O$1005))*(A100-1)/('02 Config'!$B$17-1)</f>
        <v/>
      </c>
      <c r="C100" s="28">
        <f>SQRT(($B$28*B100^2-2*$B$29*B100+$B$30)/$B$31)</f>
        <v/>
      </c>
      <c r="D100" s="33">
        <f>(B100-'02 Config'!$B$10)/C100</f>
        <v/>
      </c>
    </row>
    <row r="101">
      <c r="A101" s="21" t="n">
        <v>37</v>
      </c>
      <c r="B101" s="28">
        <f>MIN('09 Monte Carlo'!$O$6:$O$1005)+(MAX('09 Monte Carlo'!$O$6:$O$1005)-MIN('09 Monte Carlo'!$O$6:$O$1005))*(A101-1)/('02 Config'!$B$17-1)</f>
        <v/>
      </c>
      <c r="C101" s="28">
        <f>SQRT(($B$28*B101^2-2*$B$29*B101+$B$30)/$B$31)</f>
        <v/>
      </c>
      <c r="D101" s="33">
        <f>(B101-'02 Config'!$B$10)/C101</f>
        <v/>
      </c>
    </row>
    <row r="102">
      <c r="A102" s="21" t="n">
        <v>38</v>
      </c>
      <c r="B102" s="28">
        <f>MIN('09 Monte Carlo'!$O$6:$O$1005)+(MAX('09 Monte Carlo'!$O$6:$O$1005)-MIN('09 Monte Carlo'!$O$6:$O$1005))*(A102-1)/('02 Config'!$B$17-1)</f>
        <v/>
      </c>
      <c r="C102" s="28">
        <f>SQRT(($B$28*B102^2-2*$B$29*B102+$B$30)/$B$31)</f>
        <v/>
      </c>
      <c r="D102" s="33">
        <f>(B102-'02 Config'!$B$10)/C102</f>
        <v/>
      </c>
    </row>
    <row r="103">
      <c r="A103" s="21" t="n">
        <v>39</v>
      </c>
      <c r="B103" s="28">
        <f>MIN('09 Monte Carlo'!$O$6:$O$1005)+(MAX('09 Monte Carlo'!$O$6:$O$1005)-MIN('09 Monte Carlo'!$O$6:$O$1005))*(A103-1)/('02 Config'!$B$17-1)</f>
        <v/>
      </c>
      <c r="C103" s="28">
        <f>SQRT(($B$28*B103^2-2*$B$29*B103+$B$30)/$B$31)</f>
        <v/>
      </c>
      <c r="D103" s="33">
        <f>(B103-'02 Config'!$B$10)/C103</f>
        <v/>
      </c>
    </row>
    <row r="104">
      <c r="A104" s="21" t="n">
        <v>40</v>
      </c>
      <c r="B104" s="28">
        <f>MIN('09 Monte Carlo'!$O$6:$O$1005)+(MAX('09 Monte Carlo'!$O$6:$O$1005)-MIN('09 Monte Carlo'!$O$6:$O$1005))*(A104-1)/('02 Config'!$B$17-1)</f>
        <v/>
      </c>
      <c r="C104" s="28">
        <f>SQRT(($B$28*B104^2-2*$B$29*B104+$B$30)/$B$31)</f>
        <v/>
      </c>
      <c r="D104" s="33">
        <f>(B104-'02 Config'!$B$10)/C104</f>
        <v/>
      </c>
    </row>
    <row r="105">
      <c r="A105" s="21" t="n">
        <v>41</v>
      </c>
      <c r="B105" s="28">
        <f>MIN('09 Monte Carlo'!$O$6:$O$1005)+(MAX('09 Monte Carlo'!$O$6:$O$1005)-MIN('09 Monte Carlo'!$O$6:$O$1005))*(A105-1)/('02 Config'!$B$17-1)</f>
        <v/>
      </c>
      <c r="C105" s="28">
        <f>SQRT(($B$28*B105^2-2*$B$29*B105+$B$30)/$B$31)</f>
        <v/>
      </c>
      <c r="D105" s="33">
        <f>(B105-'02 Config'!$B$10)/C105</f>
        <v/>
      </c>
    </row>
    <row r="106">
      <c r="A106" s="21" t="n">
        <v>42</v>
      </c>
      <c r="B106" s="28">
        <f>MIN('09 Monte Carlo'!$O$6:$O$1005)+(MAX('09 Monte Carlo'!$O$6:$O$1005)-MIN('09 Monte Carlo'!$O$6:$O$1005))*(A106-1)/('02 Config'!$B$17-1)</f>
        <v/>
      </c>
      <c r="C106" s="28">
        <f>SQRT(($B$28*B106^2-2*$B$29*B106+$B$30)/$B$31)</f>
        <v/>
      </c>
      <c r="D106" s="33">
        <f>(B106-'02 Config'!$B$10)/C106</f>
        <v/>
      </c>
    </row>
    <row r="107">
      <c r="A107" s="21" t="n">
        <v>43</v>
      </c>
      <c r="B107" s="28">
        <f>MIN('09 Monte Carlo'!$O$6:$O$1005)+(MAX('09 Monte Carlo'!$O$6:$O$1005)-MIN('09 Monte Carlo'!$O$6:$O$1005))*(A107-1)/('02 Config'!$B$17-1)</f>
        <v/>
      </c>
      <c r="C107" s="28">
        <f>SQRT(($B$28*B107^2-2*$B$29*B107+$B$30)/$B$31)</f>
        <v/>
      </c>
      <c r="D107" s="33">
        <f>(B107-'02 Config'!$B$10)/C107</f>
        <v/>
      </c>
    </row>
    <row r="108">
      <c r="A108" s="21" t="n">
        <v>44</v>
      </c>
      <c r="B108" s="28">
        <f>MIN('09 Monte Carlo'!$O$6:$O$1005)+(MAX('09 Monte Carlo'!$O$6:$O$1005)-MIN('09 Monte Carlo'!$O$6:$O$1005))*(A108-1)/('02 Config'!$B$17-1)</f>
        <v/>
      </c>
      <c r="C108" s="28">
        <f>SQRT(($B$28*B108^2-2*$B$29*B108+$B$30)/$B$31)</f>
        <v/>
      </c>
      <c r="D108" s="33">
        <f>(B108-'02 Config'!$B$10)/C108</f>
        <v/>
      </c>
    </row>
    <row r="109">
      <c r="A109" s="21" t="n">
        <v>45</v>
      </c>
      <c r="B109" s="28">
        <f>MIN('09 Monte Carlo'!$O$6:$O$1005)+(MAX('09 Monte Carlo'!$O$6:$O$1005)-MIN('09 Monte Carlo'!$O$6:$O$1005))*(A109-1)/('02 Config'!$B$17-1)</f>
        <v/>
      </c>
      <c r="C109" s="28">
        <f>SQRT(($B$28*B109^2-2*$B$29*B109+$B$30)/$B$31)</f>
        <v/>
      </c>
      <c r="D109" s="33">
        <f>(B109-'02 Config'!$B$10)/C109</f>
        <v/>
      </c>
    </row>
    <row r="110">
      <c r="A110" s="21" t="n">
        <v>46</v>
      </c>
      <c r="B110" s="28">
        <f>MIN('09 Monte Carlo'!$O$6:$O$1005)+(MAX('09 Monte Carlo'!$O$6:$O$1005)-MIN('09 Monte Carlo'!$O$6:$O$1005))*(A110-1)/('02 Config'!$B$17-1)</f>
        <v/>
      </c>
      <c r="C110" s="28">
        <f>SQRT(($B$28*B110^2-2*$B$29*B110+$B$30)/$B$31)</f>
        <v/>
      </c>
      <c r="D110" s="33">
        <f>(B110-'02 Config'!$B$10)/C110</f>
        <v/>
      </c>
    </row>
    <row r="111">
      <c r="A111" s="21" t="n">
        <v>47</v>
      </c>
      <c r="B111" s="28">
        <f>MIN('09 Monte Carlo'!$O$6:$O$1005)+(MAX('09 Monte Carlo'!$O$6:$O$1005)-MIN('09 Monte Carlo'!$O$6:$O$1005))*(A111-1)/('02 Config'!$B$17-1)</f>
        <v/>
      </c>
      <c r="C111" s="28">
        <f>SQRT(($B$28*B111^2-2*$B$29*B111+$B$30)/$B$31)</f>
        <v/>
      </c>
      <c r="D111" s="33">
        <f>(B111-'02 Config'!$B$10)/C111</f>
        <v/>
      </c>
    </row>
    <row r="112">
      <c r="A112" s="21" t="n">
        <v>48</v>
      </c>
      <c r="B112" s="28">
        <f>MIN('09 Monte Carlo'!$O$6:$O$1005)+(MAX('09 Monte Carlo'!$O$6:$O$1005)-MIN('09 Monte Carlo'!$O$6:$O$1005))*(A112-1)/('02 Config'!$B$17-1)</f>
        <v/>
      </c>
      <c r="C112" s="28">
        <f>SQRT(($B$28*B112^2-2*$B$29*B112+$B$30)/$B$31)</f>
        <v/>
      </c>
      <c r="D112" s="33">
        <f>(B112-'02 Config'!$B$10)/C112</f>
        <v/>
      </c>
    </row>
    <row r="113">
      <c r="A113" s="21" t="n">
        <v>49</v>
      </c>
      <c r="B113" s="28">
        <f>MIN('09 Monte Carlo'!$O$6:$O$1005)+(MAX('09 Monte Carlo'!$O$6:$O$1005)-MIN('09 Monte Carlo'!$O$6:$O$1005))*(A113-1)/('02 Config'!$B$17-1)</f>
        <v/>
      </c>
      <c r="C113" s="28">
        <f>SQRT(($B$28*B113^2-2*$B$29*B113+$B$30)/$B$31)</f>
        <v/>
      </c>
      <c r="D113" s="33">
        <f>(B113-'02 Config'!$B$10)/C113</f>
        <v/>
      </c>
    </row>
    <row r="114">
      <c r="A114" s="21" t="n">
        <v>50</v>
      </c>
      <c r="B114" s="28">
        <f>MIN('09 Monte Carlo'!$O$6:$O$1005)+(MAX('09 Monte Carlo'!$O$6:$O$1005)-MIN('09 Monte Carlo'!$O$6:$O$1005))*(A114-1)/('02 Config'!$B$17-1)</f>
        <v/>
      </c>
      <c r="C114" s="28">
        <f>SQRT(($B$28*B114^2-2*$B$29*B114+$B$30)/$B$31)</f>
        <v/>
      </c>
      <c r="D114" s="33">
        <f>(B114-'02 Config'!$B$10)/C114</f>
        <v/>
      </c>
    </row>
    <row r="115">
      <c r="A115" s="21" t="n">
        <v>51</v>
      </c>
      <c r="B115" s="28">
        <f>MIN('09 Monte Carlo'!$O$6:$O$1005)+(MAX('09 Monte Carlo'!$O$6:$O$1005)-MIN('09 Monte Carlo'!$O$6:$O$1005))*(A115-1)/('02 Config'!$B$17-1)</f>
        <v/>
      </c>
      <c r="C115" s="28">
        <f>SQRT(($B$28*B115^2-2*$B$29*B115+$B$30)/$B$31)</f>
        <v/>
      </c>
      <c r="D115" s="33">
        <f>(B115-'02 Config'!$B$10)/C115</f>
        <v/>
      </c>
    </row>
    <row r="116">
      <c r="A116" s="21" t="n">
        <v>52</v>
      </c>
      <c r="B116" s="28">
        <f>MIN('09 Monte Carlo'!$O$6:$O$1005)+(MAX('09 Monte Carlo'!$O$6:$O$1005)-MIN('09 Monte Carlo'!$O$6:$O$1005))*(A116-1)/('02 Config'!$B$17-1)</f>
        <v/>
      </c>
      <c r="C116" s="28">
        <f>SQRT(($B$28*B116^2-2*$B$29*B116+$B$30)/$B$31)</f>
        <v/>
      </c>
      <c r="D116" s="33">
        <f>(B116-'02 Config'!$B$10)/C116</f>
        <v/>
      </c>
    </row>
    <row r="117">
      <c r="A117" s="21" t="n">
        <v>53</v>
      </c>
      <c r="B117" s="28">
        <f>MIN('09 Monte Carlo'!$O$6:$O$1005)+(MAX('09 Monte Carlo'!$O$6:$O$1005)-MIN('09 Monte Carlo'!$O$6:$O$1005))*(A117-1)/('02 Config'!$B$17-1)</f>
        <v/>
      </c>
      <c r="C117" s="28">
        <f>SQRT(($B$28*B117^2-2*$B$29*B117+$B$30)/$B$31)</f>
        <v/>
      </c>
      <c r="D117" s="33">
        <f>(B117-'02 Config'!$B$10)/C117</f>
        <v/>
      </c>
    </row>
    <row r="118">
      <c r="A118" s="21" t="n">
        <v>54</v>
      </c>
      <c r="B118" s="28">
        <f>MIN('09 Monte Carlo'!$O$6:$O$1005)+(MAX('09 Monte Carlo'!$O$6:$O$1005)-MIN('09 Monte Carlo'!$O$6:$O$1005))*(A118-1)/('02 Config'!$B$17-1)</f>
        <v/>
      </c>
      <c r="C118" s="28">
        <f>SQRT(($B$28*B118^2-2*$B$29*B118+$B$30)/$B$31)</f>
        <v/>
      </c>
      <c r="D118" s="33">
        <f>(B118-'02 Config'!$B$10)/C118</f>
        <v/>
      </c>
    </row>
    <row r="119">
      <c r="A119" s="21" t="n">
        <v>55</v>
      </c>
      <c r="B119" s="28">
        <f>MIN('09 Monte Carlo'!$O$6:$O$1005)+(MAX('09 Monte Carlo'!$O$6:$O$1005)-MIN('09 Monte Carlo'!$O$6:$O$1005))*(A119-1)/('02 Config'!$B$17-1)</f>
        <v/>
      </c>
      <c r="C119" s="28">
        <f>SQRT(($B$28*B119^2-2*$B$29*B119+$B$30)/$B$31)</f>
        <v/>
      </c>
      <c r="D119" s="33">
        <f>(B119-'02 Config'!$B$10)/C119</f>
        <v/>
      </c>
    </row>
    <row r="120">
      <c r="A120" s="21" t="n">
        <v>56</v>
      </c>
      <c r="B120" s="28">
        <f>MIN('09 Monte Carlo'!$O$6:$O$1005)+(MAX('09 Monte Carlo'!$O$6:$O$1005)-MIN('09 Monte Carlo'!$O$6:$O$1005))*(A120-1)/('02 Config'!$B$17-1)</f>
        <v/>
      </c>
      <c r="C120" s="28">
        <f>SQRT(($B$28*B120^2-2*$B$29*B120+$B$30)/$B$31)</f>
        <v/>
      </c>
      <c r="D120" s="33">
        <f>(B120-'02 Config'!$B$10)/C120</f>
        <v/>
      </c>
    </row>
    <row r="121">
      <c r="A121" s="21" t="n">
        <v>57</v>
      </c>
      <c r="B121" s="28">
        <f>MIN('09 Monte Carlo'!$O$6:$O$1005)+(MAX('09 Monte Carlo'!$O$6:$O$1005)-MIN('09 Monte Carlo'!$O$6:$O$1005))*(A121-1)/('02 Config'!$B$17-1)</f>
        <v/>
      </c>
      <c r="C121" s="28">
        <f>SQRT(($B$28*B121^2-2*$B$29*B121+$B$30)/$B$31)</f>
        <v/>
      </c>
      <c r="D121" s="33">
        <f>(B121-'02 Config'!$B$10)/C121</f>
        <v/>
      </c>
    </row>
    <row r="122">
      <c r="A122" s="21" t="n">
        <v>58</v>
      </c>
      <c r="B122" s="28">
        <f>MIN('09 Monte Carlo'!$O$6:$O$1005)+(MAX('09 Monte Carlo'!$O$6:$O$1005)-MIN('09 Monte Carlo'!$O$6:$O$1005))*(A122-1)/('02 Config'!$B$17-1)</f>
        <v/>
      </c>
      <c r="C122" s="28">
        <f>SQRT(($B$28*B122^2-2*$B$29*B122+$B$30)/$B$31)</f>
        <v/>
      </c>
      <c r="D122" s="33">
        <f>(B122-'02 Config'!$B$10)/C122</f>
        <v/>
      </c>
    </row>
    <row r="123">
      <c r="A123" s="21" t="n">
        <v>59</v>
      </c>
      <c r="B123" s="28">
        <f>MIN('09 Monte Carlo'!$O$6:$O$1005)+(MAX('09 Monte Carlo'!$O$6:$O$1005)-MIN('09 Monte Carlo'!$O$6:$O$1005))*(A123-1)/('02 Config'!$B$17-1)</f>
        <v/>
      </c>
      <c r="C123" s="28">
        <f>SQRT(($B$28*B123^2-2*$B$29*B123+$B$30)/$B$31)</f>
        <v/>
      </c>
      <c r="D123" s="33">
        <f>(B123-'02 Config'!$B$10)/C123</f>
        <v/>
      </c>
    </row>
    <row r="124">
      <c r="A124" s="21" t="n">
        <v>60</v>
      </c>
      <c r="B124" s="28">
        <f>MIN('09 Monte Carlo'!$O$6:$O$1005)+(MAX('09 Monte Carlo'!$O$6:$O$1005)-MIN('09 Monte Carlo'!$O$6:$O$1005))*(A124-1)/('02 Config'!$B$17-1)</f>
        <v/>
      </c>
      <c r="C124" s="28">
        <f>SQRT(($B$28*B124^2-2*$B$29*B124+$B$30)/$B$31)</f>
        <v/>
      </c>
      <c r="D124" s="33">
        <f>(B124-'02 Config'!$B$10)/C124</f>
        <v/>
      </c>
    </row>
    <row r="125">
      <c r="A125" s="21" t="n">
        <v>61</v>
      </c>
      <c r="B125" s="28">
        <f>MIN('09 Monte Carlo'!$O$6:$O$1005)+(MAX('09 Monte Carlo'!$O$6:$O$1005)-MIN('09 Monte Carlo'!$O$6:$O$1005))*(A125-1)/('02 Config'!$B$17-1)</f>
        <v/>
      </c>
      <c r="C125" s="28">
        <f>SQRT(($B$28*B125^2-2*$B$29*B125+$B$30)/$B$31)</f>
        <v/>
      </c>
      <c r="D125" s="33">
        <f>(B125-'02 Config'!$B$10)/C125</f>
        <v/>
      </c>
    </row>
    <row r="126">
      <c r="A126" s="21" t="n">
        <v>62</v>
      </c>
      <c r="B126" s="28">
        <f>MIN('09 Monte Carlo'!$O$6:$O$1005)+(MAX('09 Monte Carlo'!$O$6:$O$1005)-MIN('09 Monte Carlo'!$O$6:$O$1005))*(A126-1)/('02 Config'!$B$17-1)</f>
        <v/>
      </c>
      <c r="C126" s="28">
        <f>SQRT(($B$28*B126^2-2*$B$29*B126+$B$30)/$B$31)</f>
        <v/>
      </c>
      <c r="D126" s="33">
        <f>(B126-'02 Config'!$B$10)/C126</f>
        <v/>
      </c>
    </row>
    <row r="127">
      <c r="A127" s="21" t="n">
        <v>63</v>
      </c>
      <c r="B127" s="28">
        <f>MIN('09 Monte Carlo'!$O$6:$O$1005)+(MAX('09 Monte Carlo'!$O$6:$O$1005)-MIN('09 Monte Carlo'!$O$6:$O$1005))*(A127-1)/('02 Config'!$B$17-1)</f>
        <v/>
      </c>
      <c r="C127" s="28">
        <f>SQRT(($B$28*B127^2-2*$B$29*B127+$B$30)/$B$31)</f>
        <v/>
      </c>
      <c r="D127" s="33">
        <f>(B127-'02 Config'!$B$10)/C127</f>
        <v/>
      </c>
    </row>
    <row r="128">
      <c r="A128" s="21" t="n">
        <v>64</v>
      </c>
      <c r="B128" s="28">
        <f>MIN('09 Monte Carlo'!$O$6:$O$1005)+(MAX('09 Monte Carlo'!$O$6:$O$1005)-MIN('09 Monte Carlo'!$O$6:$O$1005))*(A128-1)/('02 Config'!$B$17-1)</f>
        <v/>
      </c>
      <c r="C128" s="28">
        <f>SQRT(($B$28*B128^2-2*$B$29*B128+$B$30)/$B$31)</f>
        <v/>
      </c>
      <c r="D128" s="33">
        <f>(B128-'02 Config'!$B$10)/C128</f>
        <v/>
      </c>
    </row>
    <row r="129">
      <c r="A129" s="21" t="n">
        <v>65</v>
      </c>
      <c r="B129" s="28">
        <f>MIN('09 Monte Carlo'!$O$6:$O$1005)+(MAX('09 Monte Carlo'!$O$6:$O$1005)-MIN('09 Monte Carlo'!$O$6:$O$1005))*(A129-1)/('02 Config'!$B$17-1)</f>
        <v/>
      </c>
      <c r="C129" s="28">
        <f>SQRT(($B$28*B129^2-2*$B$29*B129+$B$30)/$B$31)</f>
        <v/>
      </c>
      <c r="D129" s="33">
        <f>(B129-'02 Config'!$B$10)/C129</f>
        <v/>
      </c>
    </row>
    <row r="130">
      <c r="A130" s="21" t="n">
        <v>66</v>
      </c>
      <c r="B130" s="28">
        <f>MIN('09 Monte Carlo'!$O$6:$O$1005)+(MAX('09 Monte Carlo'!$O$6:$O$1005)-MIN('09 Monte Carlo'!$O$6:$O$1005))*(A130-1)/('02 Config'!$B$17-1)</f>
        <v/>
      </c>
      <c r="C130" s="28">
        <f>SQRT(($B$28*B130^2-2*$B$29*B130+$B$30)/$B$31)</f>
        <v/>
      </c>
      <c r="D130" s="33">
        <f>(B130-'02 Config'!$B$10)/C130</f>
        <v/>
      </c>
    </row>
    <row r="131">
      <c r="A131" s="21" t="n">
        <v>67</v>
      </c>
      <c r="B131" s="28">
        <f>MIN('09 Monte Carlo'!$O$6:$O$1005)+(MAX('09 Monte Carlo'!$O$6:$O$1005)-MIN('09 Monte Carlo'!$O$6:$O$1005))*(A131-1)/('02 Config'!$B$17-1)</f>
        <v/>
      </c>
      <c r="C131" s="28">
        <f>SQRT(($B$28*B131^2-2*$B$29*B131+$B$30)/$B$31)</f>
        <v/>
      </c>
      <c r="D131" s="33">
        <f>(B131-'02 Config'!$B$10)/C131</f>
        <v/>
      </c>
    </row>
    <row r="132">
      <c r="A132" s="21" t="n">
        <v>68</v>
      </c>
      <c r="B132" s="28">
        <f>MIN('09 Monte Carlo'!$O$6:$O$1005)+(MAX('09 Monte Carlo'!$O$6:$O$1005)-MIN('09 Monte Carlo'!$O$6:$O$1005))*(A132-1)/('02 Config'!$B$17-1)</f>
        <v/>
      </c>
      <c r="C132" s="28">
        <f>SQRT(($B$28*B132^2-2*$B$29*B132+$B$30)/$B$31)</f>
        <v/>
      </c>
      <c r="D132" s="33">
        <f>(B132-'02 Config'!$B$10)/C132</f>
        <v/>
      </c>
    </row>
    <row r="133">
      <c r="A133" s="21" t="n">
        <v>69</v>
      </c>
      <c r="B133" s="28">
        <f>MIN('09 Monte Carlo'!$O$6:$O$1005)+(MAX('09 Monte Carlo'!$O$6:$O$1005)-MIN('09 Monte Carlo'!$O$6:$O$1005))*(A133-1)/('02 Config'!$B$17-1)</f>
        <v/>
      </c>
      <c r="C133" s="28">
        <f>SQRT(($B$28*B133^2-2*$B$29*B133+$B$30)/$B$31)</f>
        <v/>
      </c>
      <c r="D133" s="33">
        <f>(B133-'02 Config'!$B$10)/C133</f>
        <v/>
      </c>
    </row>
    <row r="134">
      <c r="A134" s="21" t="n">
        <v>70</v>
      </c>
      <c r="B134" s="28">
        <f>MIN('09 Monte Carlo'!$O$6:$O$1005)+(MAX('09 Monte Carlo'!$O$6:$O$1005)-MIN('09 Monte Carlo'!$O$6:$O$1005))*(A134-1)/('02 Config'!$B$17-1)</f>
        <v/>
      </c>
      <c r="C134" s="28">
        <f>SQRT(($B$28*B134^2-2*$B$29*B134+$B$30)/$B$31)</f>
        <v/>
      </c>
      <c r="D134" s="33">
        <f>(B134-'02 Config'!$B$10)/C134</f>
        <v/>
      </c>
    </row>
    <row r="135">
      <c r="A135" s="21" t="n">
        <v>71</v>
      </c>
      <c r="B135" s="28">
        <f>MIN('09 Monte Carlo'!$O$6:$O$1005)+(MAX('09 Monte Carlo'!$O$6:$O$1005)-MIN('09 Monte Carlo'!$O$6:$O$1005))*(A135-1)/('02 Config'!$B$17-1)</f>
        <v/>
      </c>
      <c r="C135" s="28">
        <f>SQRT(($B$28*B135^2-2*$B$29*B135+$B$30)/$B$31)</f>
        <v/>
      </c>
      <c r="D135" s="33">
        <f>(B135-'02 Config'!$B$10)/C135</f>
        <v/>
      </c>
    </row>
    <row r="136">
      <c r="A136" s="21" t="n">
        <v>72</v>
      </c>
      <c r="B136" s="28">
        <f>MIN('09 Monte Carlo'!$O$6:$O$1005)+(MAX('09 Monte Carlo'!$O$6:$O$1005)-MIN('09 Monte Carlo'!$O$6:$O$1005))*(A136-1)/('02 Config'!$B$17-1)</f>
        <v/>
      </c>
      <c r="C136" s="28">
        <f>SQRT(($B$28*B136^2-2*$B$29*B136+$B$30)/$B$31)</f>
        <v/>
      </c>
      <c r="D136" s="33">
        <f>(B136-'02 Config'!$B$10)/C136</f>
        <v/>
      </c>
    </row>
    <row r="137">
      <c r="A137" s="21" t="n">
        <v>73</v>
      </c>
      <c r="B137" s="28">
        <f>MIN('09 Monte Carlo'!$O$6:$O$1005)+(MAX('09 Monte Carlo'!$O$6:$O$1005)-MIN('09 Monte Carlo'!$O$6:$O$1005))*(A137-1)/('02 Config'!$B$17-1)</f>
        <v/>
      </c>
      <c r="C137" s="28">
        <f>SQRT(($B$28*B137^2-2*$B$29*B137+$B$30)/$B$31)</f>
        <v/>
      </c>
      <c r="D137" s="33">
        <f>(B137-'02 Config'!$B$10)/C137</f>
        <v/>
      </c>
    </row>
    <row r="138">
      <c r="A138" s="21" t="n">
        <v>74</v>
      </c>
      <c r="B138" s="28">
        <f>MIN('09 Monte Carlo'!$O$6:$O$1005)+(MAX('09 Monte Carlo'!$O$6:$O$1005)-MIN('09 Monte Carlo'!$O$6:$O$1005))*(A138-1)/('02 Config'!$B$17-1)</f>
        <v/>
      </c>
      <c r="C138" s="28">
        <f>SQRT(($B$28*B138^2-2*$B$29*B138+$B$30)/$B$31)</f>
        <v/>
      </c>
      <c r="D138" s="33">
        <f>(B138-'02 Config'!$B$10)/C138</f>
        <v/>
      </c>
    </row>
    <row r="139">
      <c r="A139" s="21" t="n">
        <v>75</v>
      </c>
      <c r="B139" s="28">
        <f>MIN('09 Monte Carlo'!$O$6:$O$1005)+(MAX('09 Monte Carlo'!$O$6:$O$1005)-MIN('09 Monte Carlo'!$O$6:$O$1005))*(A139-1)/('02 Config'!$B$17-1)</f>
        <v/>
      </c>
      <c r="C139" s="28">
        <f>SQRT(($B$28*B139^2-2*$B$29*B139+$B$30)/$B$31)</f>
        <v/>
      </c>
      <c r="D139" s="33">
        <f>(B139-'02 Config'!$B$10)/C139</f>
        <v/>
      </c>
    </row>
    <row r="140">
      <c r="A140" s="21" t="n">
        <v>76</v>
      </c>
      <c r="B140" s="28">
        <f>MIN('09 Monte Carlo'!$O$6:$O$1005)+(MAX('09 Monte Carlo'!$O$6:$O$1005)-MIN('09 Monte Carlo'!$O$6:$O$1005))*(A140-1)/('02 Config'!$B$17-1)</f>
        <v/>
      </c>
      <c r="C140" s="28">
        <f>SQRT(($B$28*B140^2-2*$B$29*B140+$B$30)/$B$31)</f>
        <v/>
      </c>
      <c r="D140" s="33">
        <f>(B140-'02 Config'!$B$10)/C140</f>
        <v/>
      </c>
    </row>
    <row r="141">
      <c r="A141" s="21" t="n">
        <v>77</v>
      </c>
      <c r="B141" s="28">
        <f>MIN('09 Monte Carlo'!$O$6:$O$1005)+(MAX('09 Monte Carlo'!$O$6:$O$1005)-MIN('09 Monte Carlo'!$O$6:$O$1005))*(A141-1)/('02 Config'!$B$17-1)</f>
        <v/>
      </c>
      <c r="C141" s="28">
        <f>SQRT(($B$28*B141^2-2*$B$29*B141+$B$30)/$B$31)</f>
        <v/>
      </c>
      <c r="D141" s="33">
        <f>(B141-'02 Config'!$B$10)/C141</f>
        <v/>
      </c>
    </row>
    <row r="142">
      <c r="A142" s="21" t="n">
        <v>78</v>
      </c>
      <c r="B142" s="28">
        <f>MIN('09 Monte Carlo'!$O$6:$O$1005)+(MAX('09 Monte Carlo'!$O$6:$O$1005)-MIN('09 Monte Carlo'!$O$6:$O$1005))*(A142-1)/('02 Config'!$B$17-1)</f>
        <v/>
      </c>
      <c r="C142" s="28">
        <f>SQRT(($B$28*B142^2-2*$B$29*B142+$B$30)/$B$31)</f>
        <v/>
      </c>
      <c r="D142" s="33">
        <f>(B142-'02 Config'!$B$10)/C142</f>
        <v/>
      </c>
    </row>
    <row r="143">
      <c r="A143" s="21" t="n">
        <v>79</v>
      </c>
      <c r="B143" s="28">
        <f>MIN('09 Monte Carlo'!$O$6:$O$1005)+(MAX('09 Monte Carlo'!$O$6:$O$1005)-MIN('09 Monte Carlo'!$O$6:$O$1005))*(A143-1)/('02 Config'!$B$17-1)</f>
        <v/>
      </c>
      <c r="C143" s="28">
        <f>SQRT(($B$28*B143^2-2*$B$29*B143+$B$30)/$B$31)</f>
        <v/>
      </c>
      <c r="D143" s="33">
        <f>(B143-'02 Config'!$B$10)/C143</f>
        <v/>
      </c>
    </row>
    <row r="144">
      <c r="A144" s="21" t="n">
        <v>80</v>
      </c>
      <c r="B144" s="28">
        <f>MIN('09 Monte Carlo'!$O$6:$O$1005)+(MAX('09 Monte Carlo'!$O$6:$O$1005)-MIN('09 Monte Carlo'!$O$6:$O$1005))*(A144-1)/('02 Config'!$B$17-1)</f>
        <v/>
      </c>
      <c r="C144" s="28">
        <f>SQRT(($B$28*B144^2-2*$B$29*B144+$B$30)/$B$31)</f>
        <v/>
      </c>
      <c r="D144" s="33">
        <f>(B144-'02 Config'!$B$10)/C144</f>
        <v/>
      </c>
    </row>
    <row r="145">
      <c r="A145" s="21" t="n">
        <v>81</v>
      </c>
      <c r="B145" s="28">
        <f>MIN('09 Monte Carlo'!$O$6:$O$1005)+(MAX('09 Monte Carlo'!$O$6:$O$1005)-MIN('09 Monte Carlo'!$O$6:$O$1005))*(A145-1)/('02 Config'!$B$17-1)</f>
        <v/>
      </c>
      <c r="C145" s="28">
        <f>SQRT(($B$28*B145^2-2*$B$29*B145+$B$30)/$B$31)</f>
        <v/>
      </c>
      <c r="D145" s="33">
        <f>(B145-'02 Config'!$B$10)/C145</f>
        <v/>
      </c>
    </row>
    <row r="146">
      <c r="A146" s="21" t="n">
        <v>82</v>
      </c>
      <c r="B146" s="28">
        <f>MIN('09 Monte Carlo'!$O$6:$O$1005)+(MAX('09 Monte Carlo'!$O$6:$O$1005)-MIN('09 Monte Carlo'!$O$6:$O$1005))*(A146-1)/('02 Config'!$B$17-1)</f>
        <v/>
      </c>
      <c r="C146" s="28">
        <f>SQRT(($B$28*B146^2-2*$B$29*B146+$B$30)/$B$31)</f>
        <v/>
      </c>
      <c r="D146" s="33">
        <f>(B146-'02 Config'!$B$10)/C146</f>
        <v/>
      </c>
    </row>
    <row r="147">
      <c r="A147" s="21" t="n">
        <v>83</v>
      </c>
      <c r="B147" s="28">
        <f>MIN('09 Monte Carlo'!$O$6:$O$1005)+(MAX('09 Monte Carlo'!$O$6:$O$1005)-MIN('09 Monte Carlo'!$O$6:$O$1005))*(A147-1)/('02 Config'!$B$17-1)</f>
        <v/>
      </c>
      <c r="C147" s="28">
        <f>SQRT(($B$28*B147^2-2*$B$29*B147+$B$30)/$B$31)</f>
        <v/>
      </c>
      <c r="D147" s="33">
        <f>(B147-'02 Config'!$B$10)/C147</f>
        <v/>
      </c>
    </row>
    <row r="148">
      <c r="A148" s="21" t="n">
        <v>84</v>
      </c>
      <c r="B148" s="28">
        <f>MIN('09 Monte Carlo'!$O$6:$O$1005)+(MAX('09 Monte Carlo'!$O$6:$O$1005)-MIN('09 Monte Carlo'!$O$6:$O$1005))*(A148-1)/('02 Config'!$B$17-1)</f>
        <v/>
      </c>
      <c r="C148" s="28">
        <f>SQRT(($B$28*B148^2-2*$B$29*B148+$B$30)/$B$31)</f>
        <v/>
      </c>
      <c r="D148" s="33">
        <f>(B148-'02 Config'!$B$10)/C148</f>
        <v/>
      </c>
    </row>
    <row r="149">
      <c r="A149" s="21" t="n">
        <v>85</v>
      </c>
      <c r="B149" s="28">
        <f>MIN('09 Monte Carlo'!$O$6:$O$1005)+(MAX('09 Monte Carlo'!$O$6:$O$1005)-MIN('09 Monte Carlo'!$O$6:$O$1005))*(A149-1)/('02 Config'!$B$17-1)</f>
        <v/>
      </c>
      <c r="C149" s="28">
        <f>SQRT(($B$28*B149^2-2*$B$29*B149+$B$30)/$B$31)</f>
        <v/>
      </c>
      <c r="D149" s="33">
        <f>(B149-'02 Config'!$B$10)/C149</f>
        <v/>
      </c>
    </row>
    <row r="150">
      <c r="A150" s="21" t="n">
        <v>86</v>
      </c>
      <c r="B150" s="28">
        <f>MIN('09 Monte Carlo'!$O$6:$O$1005)+(MAX('09 Monte Carlo'!$O$6:$O$1005)-MIN('09 Monte Carlo'!$O$6:$O$1005))*(A150-1)/('02 Config'!$B$17-1)</f>
        <v/>
      </c>
      <c r="C150" s="28">
        <f>SQRT(($B$28*B150^2-2*$B$29*B150+$B$30)/$B$31)</f>
        <v/>
      </c>
      <c r="D150" s="33">
        <f>(B150-'02 Config'!$B$10)/C150</f>
        <v/>
      </c>
    </row>
    <row r="151">
      <c r="A151" s="21" t="n">
        <v>87</v>
      </c>
      <c r="B151" s="28">
        <f>MIN('09 Monte Carlo'!$O$6:$O$1005)+(MAX('09 Monte Carlo'!$O$6:$O$1005)-MIN('09 Monte Carlo'!$O$6:$O$1005))*(A151-1)/('02 Config'!$B$17-1)</f>
        <v/>
      </c>
      <c r="C151" s="28">
        <f>SQRT(($B$28*B151^2-2*$B$29*B151+$B$30)/$B$31)</f>
        <v/>
      </c>
      <c r="D151" s="33">
        <f>(B151-'02 Config'!$B$10)/C151</f>
        <v/>
      </c>
    </row>
    <row r="152">
      <c r="A152" s="21" t="n">
        <v>88</v>
      </c>
      <c r="B152" s="28">
        <f>MIN('09 Monte Carlo'!$O$6:$O$1005)+(MAX('09 Monte Carlo'!$O$6:$O$1005)-MIN('09 Monte Carlo'!$O$6:$O$1005))*(A152-1)/('02 Config'!$B$17-1)</f>
        <v/>
      </c>
      <c r="C152" s="28">
        <f>SQRT(($B$28*B152^2-2*$B$29*B152+$B$30)/$B$31)</f>
        <v/>
      </c>
      <c r="D152" s="33">
        <f>(B152-'02 Config'!$B$10)/C152</f>
        <v/>
      </c>
    </row>
    <row r="153">
      <c r="A153" s="21" t="n">
        <v>89</v>
      </c>
      <c r="B153" s="28">
        <f>MIN('09 Monte Carlo'!$O$6:$O$1005)+(MAX('09 Monte Carlo'!$O$6:$O$1005)-MIN('09 Monte Carlo'!$O$6:$O$1005))*(A153-1)/('02 Config'!$B$17-1)</f>
        <v/>
      </c>
      <c r="C153" s="28">
        <f>SQRT(($B$28*B153^2-2*$B$29*B153+$B$30)/$B$31)</f>
        <v/>
      </c>
      <c r="D153" s="33">
        <f>(B153-'02 Config'!$B$10)/C153</f>
        <v/>
      </c>
    </row>
    <row r="154">
      <c r="A154" s="21" t="n">
        <v>90</v>
      </c>
      <c r="B154" s="28">
        <f>MIN('09 Monte Carlo'!$O$6:$O$1005)+(MAX('09 Monte Carlo'!$O$6:$O$1005)-MIN('09 Monte Carlo'!$O$6:$O$1005))*(A154-1)/('02 Config'!$B$17-1)</f>
        <v/>
      </c>
      <c r="C154" s="28">
        <f>SQRT(($B$28*B154^2-2*$B$29*B154+$B$30)/$B$31)</f>
        <v/>
      </c>
      <c r="D154" s="33">
        <f>(B154-'02 Config'!$B$10)/C154</f>
        <v/>
      </c>
    </row>
    <row r="155">
      <c r="A155" s="21" t="n">
        <v>91</v>
      </c>
      <c r="B155" s="28">
        <f>MIN('09 Monte Carlo'!$O$6:$O$1005)+(MAX('09 Monte Carlo'!$O$6:$O$1005)-MIN('09 Monte Carlo'!$O$6:$O$1005))*(A155-1)/('02 Config'!$B$17-1)</f>
        <v/>
      </c>
      <c r="C155" s="28">
        <f>SQRT(($B$28*B155^2-2*$B$29*B155+$B$30)/$B$31)</f>
        <v/>
      </c>
      <c r="D155" s="33">
        <f>(B155-'02 Config'!$B$10)/C155</f>
        <v/>
      </c>
    </row>
    <row r="156">
      <c r="A156" s="21" t="n">
        <v>92</v>
      </c>
      <c r="B156" s="28">
        <f>MIN('09 Monte Carlo'!$O$6:$O$1005)+(MAX('09 Monte Carlo'!$O$6:$O$1005)-MIN('09 Monte Carlo'!$O$6:$O$1005))*(A156-1)/('02 Config'!$B$17-1)</f>
        <v/>
      </c>
      <c r="C156" s="28">
        <f>SQRT(($B$28*B156^2-2*$B$29*B156+$B$30)/$B$31)</f>
        <v/>
      </c>
      <c r="D156" s="33">
        <f>(B156-'02 Config'!$B$10)/C156</f>
        <v/>
      </c>
    </row>
    <row r="157">
      <c r="A157" s="21" t="n">
        <v>93</v>
      </c>
      <c r="B157" s="28">
        <f>MIN('09 Monte Carlo'!$O$6:$O$1005)+(MAX('09 Monte Carlo'!$O$6:$O$1005)-MIN('09 Monte Carlo'!$O$6:$O$1005))*(A157-1)/('02 Config'!$B$17-1)</f>
        <v/>
      </c>
      <c r="C157" s="28">
        <f>SQRT(($B$28*B157^2-2*$B$29*B157+$B$30)/$B$31)</f>
        <v/>
      </c>
      <c r="D157" s="33">
        <f>(B157-'02 Config'!$B$10)/C157</f>
        <v/>
      </c>
    </row>
    <row r="158">
      <c r="A158" s="21" t="n">
        <v>94</v>
      </c>
      <c r="B158" s="28">
        <f>MIN('09 Monte Carlo'!$O$6:$O$1005)+(MAX('09 Monte Carlo'!$O$6:$O$1005)-MIN('09 Monte Carlo'!$O$6:$O$1005))*(A158-1)/('02 Config'!$B$17-1)</f>
        <v/>
      </c>
      <c r="C158" s="28">
        <f>SQRT(($B$28*B158^2-2*$B$29*B158+$B$30)/$B$31)</f>
        <v/>
      </c>
      <c r="D158" s="33">
        <f>(B158-'02 Config'!$B$10)/C158</f>
        <v/>
      </c>
    </row>
    <row r="159">
      <c r="A159" s="21" t="n">
        <v>95</v>
      </c>
      <c r="B159" s="28">
        <f>MIN('09 Monte Carlo'!$O$6:$O$1005)+(MAX('09 Monte Carlo'!$O$6:$O$1005)-MIN('09 Monte Carlo'!$O$6:$O$1005))*(A159-1)/('02 Config'!$B$17-1)</f>
        <v/>
      </c>
      <c r="C159" s="28">
        <f>SQRT(($B$28*B159^2-2*$B$29*B159+$B$30)/$B$31)</f>
        <v/>
      </c>
      <c r="D159" s="33">
        <f>(B159-'02 Config'!$B$10)/C159</f>
        <v/>
      </c>
    </row>
    <row r="160">
      <c r="A160" s="21" t="n">
        <v>96</v>
      </c>
      <c r="B160" s="28">
        <f>MIN('09 Monte Carlo'!$O$6:$O$1005)+(MAX('09 Monte Carlo'!$O$6:$O$1005)-MIN('09 Monte Carlo'!$O$6:$O$1005))*(A160-1)/('02 Config'!$B$17-1)</f>
        <v/>
      </c>
      <c r="C160" s="28">
        <f>SQRT(($B$28*B160^2-2*$B$29*B160+$B$30)/$B$31)</f>
        <v/>
      </c>
      <c r="D160" s="33">
        <f>(B160-'02 Config'!$B$10)/C160</f>
        <v/>
      </c>
    </row>
    <row r="161">
      <c r="A161" s="21" t="n">
        <v>97</v>
      </c>
      <c r="B161" s="28">
        <f>MIN('09 Monte Carlo'!$O$6:$O$1005)+(MAX('09 Monte Carlo'!$O$6:$O$1005)-MIN('09 Monte Carlo'!$O$6:$O$1005))*(A161-1)/('02 Config'!$B$17-1)</f>
        <v/>
      </c>
      <c r="C161" s="28">
        <f>SQRT(($B$28*B161^2-2*$B$29*B161+$B$30)/$B$31)</f>
        <v/>
      </c>
      <c r="D161" s="33">
        <f>(B161-'02 Config'!$B$10)/C161</f>
        <v/>
      </c>
    </row>
    <row r="162">
      <c r="A162" s="21" t="n">
        <v>98</v>
      </c>
      <c r="B162" s="28">
        <f>MIN('09 Monte Carlo'!$O$6:$O$1005)+(MAX('09 Monte Carlo'!$O$6:$O$1005)-MIN('09 Monte Carlo'!$O$6:$O$1005))*(A162-1)/('02 Config'!$B$17-1)</f>
        <v/>
      </c>
      <c r="C162" s="28">
        <f>SQRT(($B$28*B162^2-2*$B$29*B162+$B$30)/$B$31)</f>
        <v/>
      </c>
      <c r="D162" s="33">
        <f>(B162-'02 Config'!$B$10)/C162</f>
        <v/>
      </c>
    </row>
    <row r="163">
      <c r="A163" s="21" t="n">
        <v>99</v>
      </c>
      <c r="B163" s="28">
        <f>MIN('09 Monte Carlo'!$O$6:$O$1005)+(MAX('09 Monte Carlo'!$O$6:$O$1005)-MIN('09 Monte Carlo'!$O$6:$O$1005))*(A163-1)/('02 Config'!$B$17-1)</f>
        <v/>
      </c>
      <c r="C163" s="28">
        <f>SQRT(($B$28*B163^2-2*$B$29*B163+$B$30)/$B$31)</f>
        <v/>
      </c>
      <c r="D163" s="33">
        <f>(B163-'02 Config'!$B$10)/C163</f>
        <v/>
      </c>
    </row>
    <row r="164">
      <c r="A164" s="21" t="n">
        <v>100</v>
      </c>
      <c r="B164" s="28">
        <f>MIN('09 Monte Carlo'!$O$6:$O$1005)+(MAX('09 Monte Carlo'!$O$6:$O$1005)-MIN('09 Monte Carlo'!$O$6:$O$1005))*(A164-1)/('02 Config'!$B$17-1)</f>
        <v/>
      </c>
      <c r="C164" s="28">
        <f>SQRT(($B$28*B164^2-2*$B$29*B164+$B$30)/$B$31)</f>
        <v/>
      </c>
      <c r="D164" s="33">
        <f>(B164-'02 Config'!$B$10)/C164</f>
        <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V100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46" customWidth="1" min="19" max="19"/>
    <col width="14" customWidth="1" min="22" max="22"/>
  </cols>
  <sheetData>
    <row r="1">
      <c r="A1" s="1" t="inlineStr">
        <is>
          <t>Monte Carlo Simulation of the Feasible Set</t>
        </is>
      </c>
    </row>
    <row r="2">
      <c r="A2" s="2" t="inlineStr">
        <is>
          <t>1,000 randomly weighted long-only portfolios. Plotted as a cloud, they fill in the region of risk/return space a portfolio can actually reach — the efficient frontier is its upper-left edge.</t>
        </is>
      </c>
    </row>
    <row r="3">
      <c r="A3" s="3" t="inlineStr">
        <is>
          <t>Mirrors: optimization.py -&gt; monte_carlo_portfolios(pm, n_portfolios, seed)</t>
        </is>
      </c>
    </row>
    <row r="4" ht="46" customHeight="1">
      <c r="A4" s="6" t="inlineStr">
        <is>
          <t>The six blue columns are the raw uniform random draws produced by numpy's default_rng(seed=42) — the same generator and seed as config.py — so these rows reproduce the first rows of the Python simulation exactly. They are pasted as fixed values rather than RAND(), which would reshuffle the cloud on every keystroke and make the charts flicker. Everything to the right of them is live formula.</t>
        </is>
      </c>
    </row>
    <row r="5">
      <c r="A5" s="7" t="inlineStr">
        <is>
          <t>#</t>
        </is>
      </c>
      <c r="B5" s="7" t="inlineStr">
        <is>
          <t>draw JPM</t>
        </is>
      </c>
      <c r="C5" s="7" t="inlineStr">
        <is>
          <t>draw MS</t>
        </is>
      </c>
      <c r="D5" s="7" t="inlineStr">
        <is>
          <t>draw BAC</t>
        </is>
      </c>
      <c r="E5" s="7" t="inlineStr">
        <is>
          <t>draw AAPL</t>
        </is>
      </c>
      <c r="F5" s="7" t="inlineStr">
        <is>
          <t>draw MSFT</t>
        </is>
      </c>
      <c r="G5" s="7" t="inlineStr">
        <is>
          <t>draw GLD</t>
        </is>
      </c>
      <c r="H5" s="7" t="inlineStr">
        <is>
          <t>Sum of draws</t>
        </is>
      </c>
      <c r="I5" s="7" t="inlineStr">
        <is>
          <t>w JPM</t>
        </is>
      </c>
      <c r="J5" s="7" t="inlineStr">
        <is>
          <t>w MS</t>
        </is>
      </c>
      <c r="K5" s="7" t="inlineStr">
        <is>
          <t>w BAC</t>
        </is>
      </c>
      <c r="L5" s="7" t="inlineStr">
        <is>
          <t>w AAPL</t>
        </is>
      </c>
      <c r="M5" s="7" t="inlineStr">
        <is>
          <t>w MSFT</t>
        </is>
      </c>
      <c r="N5" s="7" t="inlineStr">
        <is>
          <t>w GLD</t>
        </is>
      </c>
      <c r="O5" s="7" t="inlineStr">
        <is>
          <t>Return</t>
        </is>
      </c>
      <c r="P5" s="7" t="inlineStr">
        <is>
          <t>Volatility</t>
        </is>
      </c>
      <c r="Q5" s="7" t="inlineStr">
        <is>
          <t>Sharpe</t>
        </is>
      </c>
      <c r="S5" s="4" t="inlineStr">
        <is>
          <t>SIMULATION SUMMARY</t>
        </is>
      </c>
    </row>
    <row r="6">
      <c r="A6" s="12" t="n">
        <v>1</v>
      </c>
      <c r="B6" s="36" t="n">
        <v>0.7739560485559633</v>
      </c>
      <c r="C6" s="36" t="n">
        <v>0.4388784397520523</v>
      </c>
      <c r="D6" s="36" t="n">
        <v>0.8585979199113825</v>
      </c>
      <c r="E6" s="36" t="n">
        <v>0.6973680290593639</v>
      </c>
      <c r="F6" s="36" t="n">
        <v>0.09417734788764953</v>
      </c>
      <c r="G6" s="36" t="n">
        <v>0.9756223516367559</v>
      </c>
      <c r="H6" s="37">
        <f>SUM(B6:G6)</f>
        <v/>
      </c>
      <c r="I6" s="25">
        <f>B6/$H6</f>
        <v/>
      </c>
      <c r="J6" s="25">
        <f>C6/$H6</f>
        <v/>
      </c>
      <c r="K6" s="25">
        <f>D6/$H6</f>
        <v/>
      </c>
      <c r="L6" s="25">
        <f>E6/$H6</f>
        <v/>
      </c>
      <c r="M6" s="25">
        <f>F6/$H6</f>
        <v/>
      </c>
      <c r="N6" s="25">
        <f>G6/$H6</f>
        <v/>
      </c>
      <c r="O6" s="25">
        <f>SUM(MMULT(I6:N6,'07 Annualised Inputs'!$D$7:$D$12))</f>
        <v/>
      </c>
      <c r="P6" s="25">
        <f>SQRT(SUMPRODUCT(MMULT(I6:N6,'07 Annualised Inputs'!$B$17:$G$22),I6:N6))</f>
        <v/>
      </c>
      <c r="Q6" s="37">
        <f>(O6-'02 Config'!$B$10)/P6</f>
        <v/>
      </c>
      <c r="S6" s="5" t="inlineStr">
        <is>
          <t>Lowest simulated return</t>
        </is>
      </c>
      <c r="V6" s="28">
        <f>MIN($O$6:$O$1005)</f>
        <v/>
      </c>
    </row>
    <row r="7">
      <c r="A7" s="12" t="n">
        <v>2</v>
      </c>
      <c r="B7" s="36" t="n">
        <v>0.761139701990353</v>
      </c>
      <c r="C7" s="36" t="n">
        <v>0.7860643052769538</v>
      </c>
      <c r="D7" s="36" t="n">
        <v>0.1281136326755459</v>
      </c>
      <c r="E7" s="36" t="n">
        <v>0.4503859378955671</v>
      </c>
      <c r="F7" s="36" t="n">
        <v>0.3707980242325812</v>
      </c>
      <c r="G7" s="36" t="n">
        <v>0.9267649888486018</v>
      </c>
      <c r="H7" s="37">
        <f>SUM(B7:G7)</f>
        <v/>
      </c>
      <c r="I7" s="25">
        <f>B7/$H7</f>
        <v/>
      </c>
      <c r="J7" s="25">
        <f>C7/$H7</f>
        <v/>
      </c>
      <c r="K7" s="25">
        <f>D7/$H7</f>
        <v/>
      </c>
      <c r="L7" s="25">
        <f>E7/$H7</f>
        <v/>
      </c>
      <c r="M7" s="25">
        <f>F7/$H7</f>
        <v/>
      </c>
      <c r="N7" s="25">
        <f>G7/$H7</f>
        <v/>
      </c>
      <c r="O7" s="25">
        <f>SUM(MMULT(I7:N7,'07 Annualised Inputs'!$D$7:$D$12))</f>
        <v/>
      </c>
      <c r="P7" s="25">
        <f>SQRT(SUMPRODUCT(MMULT(I7:N7,'07 Annualised Inputs'!$B$17:$G$22),I7:N7))</f>
        <v/>
      </c>
      <c r="Q7" s="37">
        <f>(O7-'02 Config'!$B$10)/P7</f>
        <v/>
      </c>
      <c r="S7" s="5" t="inlineStr">
        <is>
          <t>Highest simulated return</t>
        </is>
      </c>
      <c r="V7" s="28">
        <f>MAX($O$6:$O$1005)</f>
        <v/>
      </c>
    </row>
    <row r="8">
      <c r="A8" s="12" t="n">
        <v>3</v>
      </c>
      <c r="B8" s="36" t="n">
        <v>0.6438651200806645</v>
      </c>
      <c r="C8" s="36" t="n">
        <v>0.82276161327083</v>
      </c>
      <c r="D8" s="36" t="n">
        <v>0.4434141988273311</v>
      </c>
      <c r="E8" s="36" t="n">
        <v>0.2272387217847769</v>
      </c>
      <c r="F8" s="36" t="n">
        <v>0.5545847870158348</v>
      </c>
      <c r="G8" s="36" t="n">
        <v>0.06381725610417532</v>
      </c>
      <c r="H8" s="37">
        <f>SUM(B8:G8)</f>
        <v/>
      </c>
      <c r="I8" s="25">
        <f>B8/$H8</f>
        <v/>
      </c>
      <c r="J8" s="25">
        <f>C8/$H8</f>
        <v/>
      </c>
      <c r="K8" s="25">
        <f>D8/$H8</f>
        <v/>
      </c>
      <c r="L8" s="25">
        <f>E8/$H8</f>
        <v/>
      </c>
      <c r="M8" s="25">
        <f>F8/$H8</f>
        <v/>
      </c>
      <c r="N8" s="25">
        <f>G8/$H8</f>
        <v/>
      </c>
      <c r="O8" s="25">
        <f>SUM(MMULT(I8:N8,'07 Annualised Inputs'!$D$7:$D$12))</f>
        <v/>
      </c>
      <c r="P8" s="25">
        <f>SQRT(SUMPRODUCT(MMULT(I8:N8,'07 Annualised Inputs'!$B$17:$G$22),I8:N8))</f>
        <v/>
      </c>
      <c r="Q8" s="37">
        <f>(O8-'02 Config'!$B$10)/P8</f>
        <v/>
      </c>
      <c r="S8" s="5" t="inlineStr">
        <is>
          <t>Lowest simulated volatility</t>
        </is>
      </c>
      <c r="V8" s="28">
        <f>MIN($P$6:$P$1005)</f>
        <v/>
      </c>
    </row>
    <row r="9">
      <c r="A9" s="12" t="n">
        <v>4</v>
      </c>
      <c r="B9" s="36" t="n">
        <v>0.8276311719925821</v>
      </c>
      <c r="C9" s="36" t="n">
        <v>0.6316643991220648</v>
      </c>
      <c r="D9" s="36" t="n">
        <v>0.7580877400853738</v>
      </c>
      <c r="E9" s="36" t="n">
        <v>0.3545259681298684</v>
      </c>
      <c r="F9" s="36" t="n">
        <v>0.9706980243949033</v>
      </c>
      <c r="G9" s="36" t="n">
        <v>0.8931211213221977</v>
      </c>
      <c r="H9" s="37">
        <f>SUM(B9:G9)</f>
        <v/>
      </c>
      <c r="I9" s="25">
        <f>B9/$H9</f>
        <v/>
      </c>
      <c r="J9" s="25">
        <f>C9/$H9</f>
        <v/>
      </c>
      <c r="K9" s="25">
        <f>D9/$H9</f>
        <v/>
      </c>
      <c r="L9" s="25">
        <f>E9/$H9</f>
        <v/>
      </c>
      <c r="M9" s="25">
        <f>F9/$H9</f>
        <v/>
      </c>
      <c r="N9" s="25">
        <f>G9/$H9</f>
        <v/>
      </c>
      <c r="O9" s="25">
        <f>SUM(MMULT(I9:N9,'07 Annualised Inputs'!$D$7:$D$12))</f>
        <v/>
      </c>
      <c r="P9" s="25">
        <f>SQRT(SUMPRODUCT(MMULT(I9:N9,'07 Annualised Inputs'!$B$17:$G$22),I9:N9))</f>
        <v/>
      </c>
      <c r="Q9" s="37">
        <f>(O9-'02 Config'!$B$10)/P9</f>
        <v/>
      </c>
      <c r="S9" s="5" t="inlineStr">
        <is>
          <t>Best simulated Sharpe ratio</t>
        </is>
      </c>
      <c r="V9" s="33">
        <f>MAX($Q$6:$Q$1005)</f>
        <v/>
      </c>
    </row>
    <row r="10">
      <c r="A10" s="12" t="n">
        <v>5</v>
      </c>
      <c r="B10" s="36" t="n">
        <v>0.7783834970737619</v>
      </c>
      <c r="C10" s="36" t="n">
        <v>0.1946387078519676</v>
      </c>
      <c r="D10" s="36" t="n">
        <v>0.4667210037270342</v>
      </c>
      <c r="E10" s="36" t="n">
        <v>0.04380376578722878</v>
      </c>
      <c r="F10" s="36" t="n">
        <v>0.1542894920675478</v>
      </c>
      <c r="G10" s="36" t="n">
        <v>0.6830489532424546</v>
      </c>
      <c r="H10" s="37">
        <f>SUM(B10:G10)</f>
        <v/>
      </c>
      <c r="I10" s="25">
        <f>B10/$H10</f>
        <v/>
      </c>
      <c r="J10" s="25">
        <f>C10/$H10</f>
        <v/>
      </c>
      <c r="K10" s="25">
        <f>D10/$H10</f>
        <v/>
      </c>
      <c r="L10" s="25">
        <f>E10/$H10</f>
        <v/>
      </c>
      <c r="M10" s="25">
        <f>F10/$H10</f>
        <v/>
      </c>
      <c r="N10" s="25">
        <f>G10/$H10</f>
        <v/>
      </c>
      <c r="O10" s="25">
        <f>SUM(MMULT(I10:N10,'07 Annualised Inputs'!$D$7:$D$12))</f>
        <v/>
      </c>
      <c r="P10" s="25">
        <f>SQRT(SUMPRODUCT(MMULT(I10:N10,'07 Annualised Inputs'!$B$17:$G$22),I10:N10))</f>
        <v/>
      </c>
      <c r="Q10" s="37">
        <f>(O10-'02 Config'!$B$10)/P10</f>
        <v/>
      </c>
      <c r="S10" s="5" t="inlineStr">
        <is>
          <t>Best Sharpe from the closed-form tangency portfolio</t>
        </is>
      </c>
      <c r="V10" s="33">
        <f>'08 Optimisation'!$B$59</f>
        <v/>
      </c>
    </row>
    <row r="11">
      <c r="A11" s="12" t="n">
        <v>6</v>
      </c>
      <c r="B11" s="36" t="n">
        <v>0.7447621559078171</v>
      </c>
      <c r="C11" s="36" t="n">
        <v>0.96750973243421</v>
      </c>
      <c r="D11" s="36" t="n">
        <v>0.3258253581381519</v>
      </c>
      <c r="E11" s="36" t="n">
        <v>0.3704597060348689</v>
      </c>
      <c r="F11" s="36" t="n">
        <v>0.4695558112758079</v>
      </c>
      <c r="G11" s="36" t="n">
        <v>0.1894713590842857</v>
      </c>
      <c r="H11" s="37">
        <f>SUM(B11:G11)</f>
        <v/>
      </c>
      <c r="I11" s="25">
        <f>B11/$H11</f>
        <v/>
      </c>
      <c r="J11" s="25">
        <f>C11/$H11</f>
        <v/>
      </c>
      <c r="K11" s="25">
        <f>D11/$H11</f>
        <v/>
      </c>
      <c r="L11" s="25">
        <f>E11/$H11</f>
        <v/>
      </c>
      <c r="M11" s="25">
        <f>F11/$H11</f>
        <v/>
      </c>
      <c r="N11" s="25">
        <f>G11/$H11</f>
        <v/>
      </c>
      <c r="O11" s="25">
        <f>SUM(MMULT(I11:N11,'07 Annualised Inputs'!$D$7:$D$12))</f>
        <v/>
      </c>
      <c r="P11" s="25">
        <f>SQRT(SUMPRODUCT(MMULT(I11:N11,'07 Annualised Inputs'!$B$17:$G$22),I11:N11))</f>
        <v/>
      </c>
      <c r="Q11" s="37">
        <f>(O11-'02 Config'!$B$10)/P11</f>
        <v/>
      </c>
    </row>
    <row r="12">
      <c r="A12" s="12" t="n">
        <v>7</v>
      </c>
      <c r="B12" s="36" t="n">
        <v>0.1299215053354716</v>
      </c>
      <c r="C12" s="36" t="n">
        <v>0.4757049262259337</v>
      </c>
      <c r="D12" s="36" t="n">
        <v>0.2269093490508841</v>
      </c>
      <c r="E12" s="36" t="n">
        <v>0.6698139946825103</v>
      </c>
      <c r="F12" s="36" t="n">
        <v>0.4371519188723307</v>
      </c>
      <c r="G12" s="36" t="n">
        <v>0.8326781960578374</v>
      </c>
      <c r="H12" s="37">
        <f>SUM(B12:G12)</f>
        <v/>
      </c>
      <c r="I12" s="25">
        <f>B12/$H12</f>
        <v/>
      </c>
      <c r="J12" s="25">
        <f>C12/$H12</f>
        <v/>
      </c>
      <c r="K12" s="25">
        <f>D12/$H12</f>
        <v/>
      </c>
      <c r="L12" s="25">
        <f>E12/$H12</f>
        <v/>
      </c>
      <c r="M12" s="25">
        <f>F12/$H12</f>
        <v/>
      </c>
      <c r="N12" s="25">
        <f>G12/$H12</f>
        <v/>
      </c>
      <c r="O12" s="25">
        <f>SUM(MMULT(I12:N12,'07 Annualised Inputs'!$D$7:$D$12))</f>
        <v/>
      </c>
      <c r="P12" s="25">
        <f>SQRT(SUMPRODUCT(MMULT(I12:N12,'07 Annualised Inputs'!$B$17:$G$22),I12:N12))</f>
        <v/>
      </c>
      <c r="Q12" s="37">
        <f>(O12-'02 Config'!$B$10)/P12</f>
        <v/>
      </c>
    </row>
    <row r="13">
      <c r="A13" s="12" t="n">
        <v>8</v>
      </c>
      <c r="B13" s="36" t="n">
        <v>0.7002651020022491</v>
      </c>
      <c r="C13" s="36" t="n">
        <v>0.3123666413820411</v>
      </c>
      <c r="D13" s="36" t="n">
        <v>0.8322598013952011</v>
      </c>
      <c r="E13" s="36" t="n">
        <v>0.8047643574968019</v>
      </c>
      <c r="F13" s="36" t="n">
        <v>0.3874783790301745</v>
      </c>
      <c r="G13" s="36" t="n">
        <v>0.2883281039302441</v>
      </c>
      <c r="H13" s="37">
        <f>SUM(B13:G13)</f>
        <v/>
      </c>
      <c r="I13" s="25">
        <f>B13/$H13</f>
        <v/>
      </c>
      <c r="J13" s="25">
        <f>C13/$H13</f>
        <v/>
      </c>
      <c r="K13" s="25">
        <f>D13/$H13</f>
        <v/>
      </c>
      <c r="L13" s="25">
        <f>E13/$H13</f>
        <v/>
      </c>
      <c r="M13" s="25">
        <f>F13/$H13</f>
        <v/>
      </c>
      <c r="N13" s="25">
        <f>G13/$H13</f>
        <v/>
      </c>
      <c r="O13" s="25">
        <f>SUM(MMULT(I13:N13,'07 Annualised Inputs'!$D$7:$D$12))</f>
        <v/>
      </c>
      <c r="P13" s="25">
        <f>SQRT(SUMPRODUCT(MMULT(I13:N13,'07 Annualised Inputs'!$B$17:$G$22),I13:N13))</f>
        <v/>
      </c>
      <c r="Q13" s="37">
        <f>(O13-'02 Config'!$B$10)/P13</f>
        <v/>
      </c>
    </row>
    <row r="14">
      <c r="A14" s="12" t="n">
        <v>9</v>
      </c>
      <c r="B14" s="36" t="n">
        <v>0.6824955039749755</v>
      </c>
      <c r="C14" s="36" t="n">
        <v>0.1397524836093098</v>
      </c>
      <c r="D14" s="36" t="n">
        <v>0.1999082024751083</v>
      </c>
      <c r="E14" s="36" t="n">
        <v>0.007362269751005512</v>
      </c>
      <c r="F14" s="36" t="n">
        <v>0.7869243775021384</v>
      </c>
      <c r="G14" s="36" t="n">
        <v>0.6648508565920321</v>
      </c>
      <c r="H14" s="37">
        <f>SUM(B14:G14)</f>
        <v/>
      </c>
      <c r="I14" s="25">
        <f>B14/$H14</f>
        <v/>
      </c>
      <c r="J14" s="25">
        <f>C14/$H14</f>
        <v/>
      </c>
      <c r="K14" s="25">
        <f>D14/$H14</f>
        <v/>
      </c>
      <c r="L14" s="25">
        <f>E14/$H14</f>
        <v/>
      </c>
      <c r="M14" s="25">
        <f>F14/$H14</f>
        <v/>
      </c>
      <c r="N14" s="25">
        <f>G14/$H14</f>
        <v/>
      </c>
      <c r="O14" s="25">
        <f>SUM(MMULT(I14:N14,'07 Annualised Inputs'!$D$7:$D$12))</f>
        <v/>
      </c>
      <c r="P14" s="25">
        <f>SQRT(SUMPRODUCT(MMULT(I14:N14,'07 Annualised Inputs'!$B$17:$G$22),I14:N14))</f>
        <v/>
      </c>
      <c r="Q14" s="37">
        <f>(O14-'02 Config'!$B$10)/P14</f>
        <v/>
      </c>
    </row>
    <row r="15">
      <c r="A15" s="12" t="n">
        <v>10</v>
      </c>
      <c r="B15" s="36" t="n">
        <v>0.7051653786263351</v>
      </c>
      <c r="C15" s="36" t="n">
        <v>0.7807290310219679</v>
      </c>
      <c r="D15" s="36" t="n">
        <v>0.45891577553834</v>
      </c>
      <c r="E15" s="36" t="n">
        <v>0.5687411959528937</v>
      </c>
      <c r="F15" s="36" t="n">
        <v>0.1397969981276574</v>
      </c>
      <c r="G15" s="36" t="n">
        <v>0.1145300735359734</v>
      </c>
      <c r="H15" s="37">
        <f>SUM(B15:G15)</f>
        <v/>
      </c>
      <c r="I15" s="25">
        <f>B15/$H15</f>
        <v/>
      </c>
      <c r="J15" s="25">
        <f>C15/$H15</f>
        <v/>
      </c>
      <c r="K15" s="25">
        <f>D15/$H15</f>
        <v/>
      </c>
      <c r="L15" s="25">
        <f>E15/$H15</f>
        <v/>
      </c>
      <c r="M15" s="25">
        <f>F15/$H15</f>
        <v/>
      </c>
      <c r="N15" s="25">
        <f>G15/$H15</f>
        <v/>
      </c>
      <c r="O15" s="25">
        <f>SUM(MMULT(I15:N15,'07 Annualised Inputs'!$D$7:$D$12))</f>
        <v/>
      </c>
      <c r="P15" s="25">
        <f>SQRT(SUMPRODUCT(MMULT(I15:N15,'07 Annualised Inputs'!$B$17:$G$22),I15:N15))</f>
        <v/>
      </c>
      <c r="Q15" s="37">
        <f>(O15-'02 Config'!$B$10)/P15</f>
        <v/>
      </c>
    </row>
    <row r="16">
      <c r="A16" s="12" t="n">
        <v>11</v>
      </c>
      <c r="B16" s="36" t="n">
        <v>0.6684029617904717</v>
      </c>
      <c r="C16" s="36" t="n">
        <v>0.4710962061431325</v>
      </c>
      <c r="D16" s="36" t="n">
        <v>0.5652361064811888</v>
      </c>
      <c r="E16" s="36" t="n">
        <v>0.7649988574160256</v>
      </c>
      <c r="F16" s="36" t="n">
        <v>0.6347183200005908</v>
      </c>
      <c r="G16" s="36" t="n">
        <v>0.5535794006579958</v>
      </c>
      <c r="H16" s="37">
        <f>SUM(B16:G16)</f>
        <v/>
      </c>
      <c r="I16" s="25">
        <f>B16/$H16</f>
        <v/>
      </c>
      <c r="J16" s="25">
        <f>C16/$H16</f>
        <v/>
      </c>
      <c r="K16" s="25">
        <f>D16/$H16</f>
        <v/>
      </c>
      <c r="L16" s="25">
        <f>E16/$H16</f>
        <v/>
      </c>
      <c r="M16" s="25">
        <f>F16/$H16</f>
        <v/>
      </c>
      <c r="N16" s="25">
        <f>G16/$H16</f>
        <v/>
      </c>
      <c r="O16" s="25">
        <f>SUM(MMULT(I16:N16,'07 Annualised Inputs'!$D$7:$D$12))</f>
        <v/>
      </c>
      <c r="P16" s="25">
        <f>SQRT(SUMPRODUCT(MMULT(I16:N16,'07 Annualised Inputs'!$B$17:$G$22),I16:N16))</f>
        <v/>
      </c>
      <c r="Q16" s="37">
        <f>(O16-'02 Config'!$B$10)/P16</f>
        <v/>
      </c>
    </row>
    <row r="17">
      <c r="A17" s="12" t="n">
        <v>12</v>
      </c>
      <c r="B17" s="36" t="n">
        <v>0.5592071607454135</v>
      </c>
      <c r="C17" s="36" t="n">
        <v>0.3039500980626122</v>
      </c>
      <c r="D17" s="36" t="n">
        <v>0.03081783456793941</v>
      </c>
      <c r="E17" s="36" t="n">
        <v>0.4367173892323624</v>
      </c>
      <c r="F17" s="36" t="n">
        <v>0.2145846728195292</v>
      </c>
      <c r="G17" s="36" t="n">
        <v>0.4085286437246362</v>
      </c>
      <c r="H17" s="37">
        <f>SUM(B17:G17)</f>
        <v/>
      </c>
      <c r="I17" s="25">
        <f>B17/$H17</f>
        <v/>
      </c>
      <c r="J17" s="25">
        <f>C17/$H17</f>
        <v/>
      </c>
      <c r="K17" s="25">
        <f>D17/$H17</f>
        <v/>
      </c>
      <c r="L17" s="25">
        <f>E17/$H17</f>
        <v/>
      </c>
      <c r="M17" s="25">
        <f>F17/$H17</f>
        <v/>
      </c>
      <c r="N17" s="25">
        <f>G17/$H17</f>
        <v/>
      </c>
      <c r="O17" s="25">
        <f>SUM(MMULT(I17:N17,'07 Annualised Inputs'!$D$7:$D$12))</f>
        <v/>
      </c>
      <c r="P17" s="25">
        <f>SQRT(SUMPRODUCT(MMULT(I17:N17,'07 Annualised Inputs'!$B$17:$G$22),I17:N17))</f>
        <v/>
      </c>
      <c r="Q17" s="37">
        <f>(O17-'02 Config'!$B$10)/P17</f>
        <v/>
      </c>
    </row>
    <row r="18">
      <c r="A18" s="12" t="n">
        <v>13</v>
      </c>
      <c r="B18" s="36" t="n">
        <v>0.8534030732681661</v>
      </c>
      <c r="C18" s="36" t="n">
        <v>0.2339394858653407</v>
      </c>
      <c r="D18" s="36" t="n">
        <v>0.05830274168906602</v>
      </c>
      <c r="E18" s="36" t="n">
        <v>0.2813838920219965</v>
      </c>
      <c r="F18" s="36" t="n">
        <v>0.2935937577666836</v>
      </c>
      <c r="G18" s="36" t="n">
        <v>0.6619165147268951</v>
      </c>
      <c r="H18" s="37">
        <f>SUM(B18:G18)</f>
        <v/>
      </c>
      <c r="I18" s="25">
        <f>B18/$H18</f>
        <v/>
      </c>
      <c r="J18" s="25">
        <f>C18/$H18</f>
        <v/>
      </c>
      <c r="K18" s="25">
        <f>D18/$H18</f>
        <v/>
      </c>
      <c r="L18" s="25">
        <f>E18/$H18</f>
        <v/>
      </c>
      <c r="M18" s="25">
        <f>F18/$H18</f>
        <v/>
      </c>
      <c r="N18" s="25">
        <f>G18/$H18</f>
        <v/>
      </c>
      <c r="O18" s="25">
        <f>SUM(MMULT(I18:N18,'07 Annualised Inputs'!$D$7:$D$12))</f>
        <v/>
      </c>
      <c r="P18" s="25">
        <f>SQRT(SUMPRODUCT(MMULT(I18:N18,'07 Annualised Inputs'!$B$17:$G$22),I18:N18))</f>
        <v/>
      </c>
      <c r="Q18" s="37">
        <f>(O18-'02 Config'!$B$10)/P18</f>
        <v/>
      </c>
    </row>
    <row r="19">
      <c r="A19" s="12" t="n">
        <v>14</v>
      </c>
      <c r="B19" s="36" t="n">
        <v>0.5570321523412783</v>
      </c>
      <c r="C19" s="36" t="n">
        <v>0.7838982091064135</v>
      </c>
      <c r="D19" s="36" t="n">
        <v>0.6643135403273875</v>
      </c>
      <c r="E19" s="36" t="n">
        <v>0.4063868614400705</v>
      </c>
      <c r="F19" s="36" t="n">
        <v>0.8140203846660347</v>
      </c>
      <c r="G19" s="36" t="n">
        <v>0.1669729199077039</v>
      </c>
      <c r="H19" s="37">
        <f>SUM(B19:G19)</f>
        <v/>
      </c>
      <c r="I19" s="25">
        <f>B19/$H19</f>
        <v/>
      </c>
      <c r="J19" s="25">
        <f>C19/$H19</f>
        <v/>
      </c>
      <c r="K19" s="25">
        <f>D19/$H19</f>
        <v/>
      </c>
      <c r="L19" s="25">
        <f>E19/$H19</f>
        <v/>
      </c>
      <c r="M19" s="25">
        <f>F19/$H19</f>
        <v/>
      </c>
      <c r="N19" s="25">
        <f>G19/$H19</f>
        <v/>
      </c>
      <c r="O19" s="25">
        <f>SUM(MMULT(I19:N19,'07 Annualised Inputs'!$D$7:$D$12))</f>
        <v/>
      </c>
      <c r="P19" s="25">
        <f>SQRT(SUMPRODUCT(MMULT(I19:N19,'07 Annualised Inputs'!$B$17:$G$22),I19:N19))</f>
        <v/>
      </c>
      <c r="Q19" s="37">
        <f>(O19-'02 Config'!$B$10)/P19</f>
        <v/>
      </c>
    </row>
    <row r="20">
      <c r="A20" s="12" t="n">
        <v>15</v>
      </c>
      <c r="B20" s="36" t="n">
        <v>0.02271207313386048</v>
      </c>
      <c r="C20" s="36" t="n">
        <v>0.09004786077564175</v>
      </c>
      <c r="D20" s="36" t="n">
        <v>0.7223593505964503</v>
      </c>
      <c r="E20" s="36" t="n">
        <v>0.4618772302513874</v>
      </c>
      <c r="F20" s="36" t="n">
        <v>0.1612717790336018</v>
      </c>
      <c r="G20" s="36" t="n">
        <v>0.5010447751033635</v>
      </c>
      <c r="H20" s="37">
        <f>SUM(B20:G20)</f>
        <v/>
      </c>
      <c r="I20" s="25">
        <f>B20/$H20</f>
        <v/>
      </c>
      <c r="J20" s="25">
        <f>C20/$H20</f>
        <v/>
      </c>
      <c r="K20" s="25">
        <f>D20/$H20</f>
        <v/>
      </c>
      <c r="L20" s="25">
        <f>E20/$H20</f>
        <v/>
      </c>
      <c r="M20" s="25">
        <f>F20/$H20</f>
        <v/>
      </c>
      <c r="N20" s="25">
        <f>G20/$H20</f>
        <v/>
      </c>
      <c r="O20" s="25">
        <f>SUM(MMULT(I20:N20,'07 Annualised Inputs'!$D$7:$D$12))</f>
        <v/>
      </c>
      <c r="P20" s="25">
        <f>SQRT(SUMPRODUCT(MMULT(I20:N20,'07 Annualised Inputs'!$B$17:$G$22),I20:N20))</f>
        <v/>
      </c>
      <c r="Q20" s="37">
        <f>(O20-'02 Config'!$B$10)/P20</f>
        <v/>
      </c>
    </row>
    <row r="21">
      <c r="A21" s="12" t="n">
        <v>16</v>
      </c>
      <c r="B21" s="36" t="n">
        <v>0.1523121027131684</v>
      </c>
      <c r="C21" s="36" t="n">
        <v>0.696320375077736</v>
      </c>
      <c r="D21" s="36" t="n">
        <v>0.4461562755740307</v>
      </c>
      <c r="E21" s="36" t="n">
        <v>0.3810212260964825</v>
      </c>
      <c r="F21" s="36" t="n">
        <v>0.3015120891478765</v>
      </c>
      <c r="G21" s="36" t="n">
        <v>0.6302825931188885</v>
      </c>
      <c r="H21" s="37">
        <f>SUM(B21:G21)</f>
        <v/>
      </c>
      <c r="I21" s="25">
        <f>B21/$H21</f>
        <v/>
      </c>
      <c r="J21" s="25">
        <f>C21/$H21</f>
        <v/>
      </c>
      <c r="K21" s="25">
        <f>D21/$H21</f>
        <v/>
      </c>
      <c r="L21" s="25">
        <f>E21/$H21</f>
        <v/>
      </c>
      <c r="M21" s="25">
        <f>F21/$H21</f>
        <v/>
      </c>
      <c r="N21" s="25">
        <f>G21/$H21</f>
        <v/>
      </c>
      <c r="O21" s="25">
        <f>SUM(MMULT(I21:N21,'07 Annualised Inputs'!$D$7:$D$12))</f>
        <v/>
      </c>
      <c r="P21" s="25">
        <f>SQRT(SUMPRODUCT(MMULT(I21:N21,'07 Annualised Inputs'!$B$17:$G$22),I21:N21))</f>
        <v/>
      </c>
      <c r="Q21" s="37">
        <f>(O21-'02 Config'!$B$10)/P21</f>
        <v/>
      </c>
    </row>
    <row r="22">
      <c r="A22" s="12" t="n">
        <v>17</v>
      </c>
      <c r="B22" s="36" t="n">
        <v>0.3618126105533904</v>
      </c>
      <c r="C22" s="36" t="n">
        <v>0.087649919316101</v>
      </c>
      <c r="D22" s="36" t="n">
        <v>0.1180059021205153</v>
      </c>
      <c r="E22" s="36" t="n">
        <v>0.9618976645495145</v>
      </c>
      <c r="F22" s="36" t="n">
        <v>0.9085806907076071</v>
      </c>
      <c r="G22" s="36" t="n">
        <v>0.6997071338107496</v>
      </c>
      <c r="H22" s="37">
        <f>SUM(B22:G22)</f>
        <v/>
      </c>
      <c r="I22" s="25">
        <f>B22/$H22</f>
        <v/>
      </c>
      <c r="J22" s="25">
        <f>C22/$H22</f>
        <v/>
      </c>
      <c r="K22" s="25">
        <f>D22/$H22</f>
        <v/>
      </c>
      <c r="L22" s="25">
        <f>E22/$H22</f>
        <v/>
      </c>
      <c r="M22" s="25">
        <f>F22/$H22</f>
        <v/>
      </c>
      <c r="N22" s="25">
        <f>G22/$H22</f>
        <v/>
      </c>
      <c r="O22" s="25">
        <f>SUM(MMULT(I22:N22,'07 Annualised Inputs'!$D$7:$D$12))</f>
        <v/>
      </c>
      <c r="P22" s="25">
        <f>SQRT(SUMPRODUCT(MMULT(I22:N22,'07 Annualised Inputs'!$B$17:$G$22),I22:N22))</f>
        <v/>
      </c>
      <c r="Q22" s="37">
        <f>(O22-'02 Config'!$B$10)/P22</f>
        <v/>
      </c>
    </row>
    <row r="23">
      <c r="A23" s="12" t="n">
        <v>18</v>
      </c>
      <c r="B23" s="36" t="n">
        <v>0.2658699614595196</v>
      </c>
      <c r="C23" s="36" t="n">
        <v>0.9691763773477239</v>
      </c>
      <c r="D23" s="36" t="n">
        <v>0.7787509039657946</v>
      </c>
      <c r="E23" s="36" t="n">
        <v>0.7168901891589956</v>
      </c>
      <c r="F23" s="36" t="n">
        <v>0.4493615021437887</v>
      </c>
      <c r="G23" s="36" t="n">
        <v>0.272241561845159</v>
      </c>
      <c r="H23" s="37">
        <f>SUM(B23:G23)</f>
        <v/>
      </c>
      <c r="I23" s="25">
        <f>B23/$H23</f>
        <v/>
      </c>
      <c r="J23" s="25">
        <f>C23/$H23</f>
        <v/>
      </c>
      <c r="K23" s="25">
        <f>D23/$H23</f>
        <v/>
      </c>
      <c r="L23" s="25">
        <f>E23/$H23</f>
        <v/>
      </c>
      <c r="M23" s="25">
        <f>F23/$H23</f>
        <v/>
      </c>
      <c r="N23" s="25">
        <f>G23/$H23</f>
        <v/>
      </c>
      <c r="O23" s="25">
        <f>SUM(MMULT(I23:N23,'07 Annualised Inputs'!$D$7:$D$12))</f>
        <v/>
      </c>
      <c r="P23" s="25">
        <f>SQRT(SUMPRODUCT(MMULT(I23:N23,'07 Annualised Inputs'!$B$17:$G$22),I23:N23))</f>
        <v/>
      </c>
      <c r="Q23" s="37">
        <f>(O23-'02 Config'!$B$10)/P23</f>
        <v/>
      </c>
    </row>
    <row r="24">
      <c r="A24" s="12" t="n">
        <v>19</v>
      </c>
      <c r="B24" s="36" t="n">
        <v>0.09639096215349929</v>
      </c>
      <c r="C24" s="36" t="n">
        <v>0.9026023965438417</v>
      </c>
      <c r="D24" s="36" t="n">
        <v>0.4557762898336111</v>
      </c>
      <c r="E24" s="36" t="n">
        <v>0.2023633647952303</v>
      </c>
      <c r="F24" s="36" t="n">
        <v>0.3059566241506525</v>
      </c>
      <c r="G24" s="36" t="n">
        <v>0.579219568941896</v>
      </c>
      <c r="H24" s="37">
        <f>SUM(B24:G24)</f>
        <v/>
      </c>
      <c r="I24" s="25">
        <f>B24/$H24</f>
        <v/>
      </c>
      <c r="J24" s="25">
        <f>C24/$H24</f>
        <v/>
      </c>
      <c r="K24" s="25">
        <f>D24/$H24</f>
        <v/>
      </c>
      <c r="L24" s="25">
        <f>E24/$H24</f>
        <v/>
      </c>
      <c r="M24" s="25">
        <f>F24/$H24</f>
        <v/>
      </c>
      <c r="N24" s="25">
        <f>G24/$H24</f>
        <v/>
      </c>
      <c r="O24" s="25">
        <f>SUM(MMULT(I24:N24,'07 Annualised Inputs'!$D$7:$D$12))</f>
        <v/>
      </c>
      <c r="P24" s="25">
        <f>SQRT(SUMPRODUCT(MMULT(I24:N24,'07 Annualised Inputs'!$B$17:$G$22),I24:N24))</f>
        <v/>
      </c>
      <c r="Q24" s="37">
        <f>(O24-'02 Config'!$B$10)/P24</f>
        <v/>
      </c>
    </row>
    <row r="25">
      <c r="A25" s="12" t="n">
        <v>20</v>
      </c>
      <c r="B25" s="36" t="n">
        <v>0.1767727829392317</v>
      </c>
      <c r="C25" s="36" t="n">
        <v>0.8566142840923755</v>
      </c>
      <c r="D25" s="36" t="n">
        <v>0.7585195298352101</v>
      </c>
      <c r="E25" s="36" t="n">
        <v>0.7194629559509368</v>
      </c>
      <c r="F25" s="36" t="n">
        <v>0.4320930397751037</v>
      </c>
      <c r="G25" s="36" t="n">
        <v>0.6273088407024432</v>
      </c>
      <c r="H25" s="37">
        <f>SUM(B25:G25)</f>
        <v/>
      </c>
      <c r="I25" s="25">
        <f>B25/$H25</f>
        <v/>
      </c>
      <c r="J25" s="25">
        <f>C25/$H25</f>
        <v/>
      </c>
      <c r="K25" s="25">
        <f>D25/$H25</f>
        <v/>
      </c>
      <c r="L25" s="25">
        <f>E25/$H25</f>
        <v/>
      </c>
      <c r="M25" s="25">
        <f>F25/$H25</f>
        <v/>
      </c>
      <c r="N25" s="25">
        <f>G25/$H25</f>
        <v/>
      </c>
      <c r="O25" s="25">
        <f>SUM(MMULT(I25:N25,'07 Annualised Inputs'!$D$7:$D$12))</f>
        <v/>
      </c>
      <c r="P25" s="25">
        <f>SQRT(SUMPRODUCT(MMULT(I25:N25,'07 Annualised Inputs'!$B$17:$G$22),I25:N25))</f>
        <v/>
      </c>
      <c r="Q25" s="37">
        <f>(O25-'02 Config'!$B$10)/P25</f>
        <v/>
      </c>
    </row>
    <row r="26">
      <c r="A26" s="12" t="n">
        <v>21</v>
      </c>
      <c r="B26" s="36" t="n">
        <v>0.5840979689127356</v>
      </c>
      <c r="C26" s="36" t="n">
        <v>0.64984660155482</v>
      </c>
      <c r="D26" s="36" t="n">
        <v>0.08444432113988909</v>
      </c>
      <c r="E26" s="36" t="n">
        <v>0.4158074021706096</v>
      </c>
      <c r="F26" s="36" t="n">
        <v>0.04161417386189248</v>
      </c>
      <c r="G26" s="36" t="n">
        <v>0.4939908192445189</v>
      </c>
      <c r="H26" s="37">
        <f>SUM(B26:G26)</f>
        <v/>
      </c>
      <c r="I26" s="25">
        <f>B26/$H26</f>
        <v/>
      </c>
      <c r="J26" s="25">
        <f>C26/$H26</f>
        <v/>
      </c>
      <c r="K26" s="25">
        <f>D26/$H26</f>
        <v/>
      </c>
      <c r="L26" s="25">
        <f>E26/$H26</f>
        <v/>
      </c>
      <c r="M26" s="25">
        <f>F26/$H26</f>
        <v/>
      </c>
      <c r="N26" s="25">
        <f>G26/$H26</f>
        <v/>
      </c>
      <c r="O26" s="25">
        <f>SUM(MMULT(I26:N26,'07 Annualised Inputs'!$D$7:$D$12))</f>
        <v/>
      </c>
      <c r="P26" s="25">
        <f>SQRT(SUMPRODUCT(MMULT(I26:N26,'07 Annualised Inputs'!$B$17:$G$22),I26:N26))</f>
        <v/>
      </c>
      <c r="Q26" s="37">
        <f>(O26-'02 Config'!$B$10)/P26</f>
        <v/>
      </c>
    </row>
    <row r="27">
      <c r="A27" s="12" t="n">
        <v>22</v>
      </c>
      <c r="B27" s="36" t="n">
        <v>0.3298612123327853</v>
      </c>
      <c r="C27" s="36" t="n">
        <v>0.1445241888660469</v>
      </c>
      <c r="D27" s="36" t="n">
        <v>0.1034029677225516</v>
      </c>
      <c r="E27" s="36" t="n">
        <v>0.587644572177712</v>
      </c>
      <c r="F27" s="36" t="n">
        <v>0.1705929685368861</v>
      </c>
      <c r="G27" s="36" t="n">
        <v>0.9251201183767972</v>
      </c>
      <c r="H27" s="37">
        <f>SUM(B27:G27)</f>
        <v/>
      </c>
      <c r="I27" s="25">
        <f>B27/$H27</f>
        <v/>
      </c>
      <c r="J27" s="25">
        <f>C27/$H27</f>
        <v/>
      </c>
      <c r="K27" s="25">
        <f>D27/$H27</f>
        <v/>
      </c>
      <c r="L27" s="25">
        <f>E27/$H27</f>
        <v/>
      </c>
      <c r="M27" s="25">
        <f>F27/$H27</f>
        <v/>
      </c>
      <c r="N27" s="25">
        <f>G27/$H27</f>
        <v/>
      </c>
      <c r="O27" s="25">
        <f>SUM(MMULT(I27:N27,'07 Annualised Inputs'!$D$7:$D$12))</f>
        <v/>
      </c>
      <c r="P27" s="25">
        <f>SQRT(SUMPRODUCT(MMULT(I27:N27,'07 Annualised Inputs'!$B$17:$G$22),I27:N27))</f>
        <v/>
      </c>
      <c r="Q27" s="37">
        <f>(O27-'02 Config'!$B$10)/P27</f>
        <v/>
      </c>
    </row>
    <row r="28">
      <c r="A28" s="12" t="n">
        <v>23</v>
      </c>
      <c r="B28" s="36" t="n">
        <v>0.581061139700395</v>
      </c>
      <c r="C28" s="36" t="n">
        <v>0.3468698045348371</v>
      </c>
      <c r="D28" s="36" t="n">
        <v>0.5909154914814168</v>
      </c>
      <c r="E28" s="36" t="n">
        <v>0.0228038710296975</v>
      </c>
      <c r="F28" s="36" t="n">
        <v>0.9585592132414453</v>
      </c>
      <c r="G28" s="36" t="n">
        <v>0.4823034369429002</v>
      </c>
      <c r="H28" s="37">
        <f>SUM(B28:G28)</f>
        <v/>
      </c>
      <c r="I28" s="25">
        <f>B28/$H28</f>
        <v/>
      </c>
      <c r="J28" s="25">
        <f>C28/$H28</f>
        <v/>
      </c>
      <c r="K28" s="25">
        <f>D28/$H28</f>
        <v/>
      </c>
      <c r="L28" s="25">
        <f>E28/$H28</f>
        <v/>
      </c>
      <c r="M28" s="25">
        <f>F28/$H28</f>
        <v/>
      </c>
      <c r="N28" s="25">
        <f>G28/$H28</f>
        <v/>
      </c>
      <c r="O28" s="25">
        <f>SUM(MMULT(I28:N28,'07 Annualised Inputs'!$D$7:$D$12))</f>
        <v/>
      </c>
      <c r="P28" s="25">
        <f>SQRT(SUMPRODUCT(MMULT(I28:N28,'07 Annualised Inputs'!$B$17:$G$22),I28:N28))</f>
        <v/>
      </c>
      <c r="Q28" s="37">
        <f>(O28-'02 Config'!$B$10)/P28</f>
        <v/>
      </c>
    </row>
    <row r="29">
      <c r="A29" s="12" t="n">
        <v>24</v>
      </c>
      <c r="B29" s="36" t="n">
        <v>0.7827352272502862</v>
      </c>
      <c r="C29" s="36" t="n">
        <v>0.08272999992243857</v>
      </c>
      <c r="D29" s="36" t="n">
        <v>0.4866583308381603</v>
      </c>
      <c r="E29" s="36" t="n">
        <v>0.4907069943545209</v>
      </c>
      <c r="F29" s="36" t="n">
        <v>0.9378264549749828</v>
      </c>
      <c r="G29" s="36" t="n">
        <v>0.5717280523760754</v>
      </c>
      <c r="H29" s="37">
        <f>SUM(B29:G29)</f>
        <v/>
      </c>
      <c r="I29" s="25">
        <f>B29/$H29</f>
        <v/>
      </c>
      <c r="J29" s="25">
        <f>C29/$H29</f>
        <v/>
      </c>
      <c r="K29" s="25">
        <f>D29/$H29</f>
        <v/>
      </c>
      <c r="L29" s="25">
        <f>E29/$H29</f>
        <v/>
      </c>
      <c r="M29" s="25">
        <f>F29/$H29</f>
        <v/>
      </c>
      <c r="N29" s="25">
        <f>G29/$H29</f>
        <v/>
      </c>
      <c r="O29" s="25">
        <f>SUM(MMULT(I29:N29,'07 Annualised Inputs'!$D$7:$D$12))</f>
        <v/>
      </c>
      <c r="P29" s="25">
        <f>SQRT(SUMPRODUCT(MMULT(I29:N29,'07 Annualised Inputs'!$B$17:$G$22),I29:N29))</f>
        <v/>
      </c>
      <c r="Q29" s="37">
        <f>(O29-'02 Config'!$B$10)/P29</f>
        <v/>
      </c>
    </row>
    <row r="30">
      <c r="A30" s="12" t="n">
        <v>25</v>
      </c>
      <c r="B30" s="36" t="n">
        <v>0.4734894010569538</v>
      </c>
      <c r="C30" s="36" t="n">
        <v>0.2669756630918936</v>
      </c>
      <c r="D30" s="36" t="n">
        <v>0.3315689973425522</v>
      </c>
      <c r="E30" s="36" t="n">
        <v>0.5206724024715378</v>
      </c>
      <c r="F30" s="36" t="n">
        <v>0.4389114603050467</v>
      </c>
      <c r="G30" s="36" t="n">
        <v>0.02161207988033043</v>
      </c>
      <c r="H30" s="37">
        <f>SUM(B30:G30)</f>
        <v/>
      </c>
      <c r="I30" s="25">
        <f>B30/$H30</f>
        <v/>
      </c>
      <c r="J30" s="25">
        <f>C30/$H30</f>
        <v/>
      </c>
      <c r="K30" s="25">
        <f>D30/$H30</f>
        <v/>
      </c>
      <c r="L30" s="25">
        <f>E30/$H30</f>
        <v/>
      </c>
      <c r="M30" s="25">
        <f>F30/$H30</f>
        <v/>
      </c>
      <c r="N30" s="25">
        <f>G30/$H30</f>
        <v/>
      </c>
      <c r="O30" s="25">
        <f>SUM(MMULT(I30:N30,'07 Annualised Inputs'!$D$7:$D$12))</f>
        <v/>
      </c>
      <c r="P30" s="25">
        <f>SQRT(SUMPRODUCT(MMULT(I30:N30,'07 Annualised Inputs'!$B$17:$G$22),I30:N30))</f>
        <v/>
      </c>
      <c r="Q30" s="37">
        <f>(O30-'02 Config'!$B$10)/P30</f>
        <v/>
      </c>
    </row>
    <row r="31">
      <c r="A31" s="12" t="n">
        <v>26</v>
      </c>
      <c r="B31" s="36" t="n">
        <v>0.8262919241943578</v>
      </c>
      <c r="C31" s="36" t="n">
        <v>0.8961607718397667</v>
      </c>
      <c r="D31" s="36" t="n">
        <v>0.1402490889986108</v>
      </c>
      <c r="E31" s="36" t="n">
        <v>0.5540361435390494</v>
      </c>
      <c r="F31" s="36" t="n">
        <v>0.1085757411354435</v>
      </c>
      <c r="G31" s="36" t="n">
        <v>0.6722400930398117</v>
      </c>
      <c r="H31" s="37">
        <f>SUM(B31:G31)</f>
        <v/>
      </c>
      <c r="I31" s="25">
        <f>B31/$H31</f>
        <v/>
      </c>
      <c r="J31" s="25">
        <f>C31/$H31</f>
        <v/>
      </c>
      <c r="K31" s="25">
        <f>D31/$H31</f>
        <v/>
      </c>
      <c r="L31" s="25">
        <f>E31/$H31</f>
        <v/>
      </c>
      <c r="M31" s="25">
        <f>F31/$H31</f>
        <v/>
      </c>
      <c r="N31" s="25">
        <f>G31/$H31</f>
        <v/>
      </c>
      <c r="O31" s="25">
        <f>SUM(MMULT(I31:N31,'07 Annualised Inputs'!$D$7:$D$12))</f>
        <v/>
      </c>
      <c r="P31" s="25">
        <f>SQRT(SUMPRODUCT(MMULT(I31:N31,'07 Annualised Inputs'!$B$17:$G$22),I31:N31))</f>
        <v/>
      </c>
      <c r="Q31" s="37">
        <f>(O31-'02 Config'!$B$10)/P31</f>
        <v/>
      </c>
    </row>
    <row r="32">
      <c r="A32" s="12" t="n">
        <v>27</v>
      </c>
      <c r="B32" s="36" t="n">
        <v>0.2812337838390083</v>
      </c>
      <c r="C32" s="36" t="n">
        <v>0.6594226346919018</v>
      </c>
      <c r="D32" s="36" t="n">
        <v>0.7269946142868826</v>
      </c>
      <c r="E32" s="36" t="n">
        <v>0.768647491917657</v>
      </c>
      <c r="F32" s="36" t="n">
        <v>0.1077409459558966</v>
      </c>
      <c r="G32" s="36" t="n">
        <v>0.9160118451376079</v>
      </c>
      <c r="H32" s="37">
        <f>SUM(B32:G32)</f>
        <v/>
      </c>
      <c r="I32" s="25">
        <f>B32/$H32</f>
        <v/>
      </c>
      <c r="J32" s="25">
        <f>C32/$H32</f>
        <v/>
      </c>
      <c r="K32" s="25">
        <f>D32/$H32</f>
        <v/>
      </c>
      <c r="L32" s="25">
        <f>E32/$H32</f>
        <v/>
      </c>
      <c r="M32" s="25">
        <f>F32/$H32</f>
        <v/>
      </c>
      <c r="N32" s="25">
        <f>G32/$H32</f>
        <v/>
      </c>
      <c r="O32" s="25">
        <f>SUM(MMULT(I32:N32,'07 Annualised Inputs'!$D$7:$D$12))</f>
        <v/>
      </c>
      <c r="P32" s="25">
        <f>SQRT(SUMPRODUCT(MMULT(I32:N32,'07 Annualised Inputs'!$B$17:$G$22),I32:N32))</f>
        <v/>
      </c>
      <c r="Q32" s="37">
        <f>(O32-'02 Config'!$B$10)/P32</f>
        <v/>
      </c>
    </row>
    <row r="33">
      <c r="A33" s="12" t="n">
        <v>28</v>
      </c>
      <c r="B33" s="36" t="n">
        <v>0.2302139908948808</v>
      </c>
      <c r="C33" s="36" t="n">
        <v>0.03741255617617978</v>
      </c>
      <c r="D33" s="36" t="n">
        <v>0.5548524693914834</v>
      </c>
      <c r="E33" s="36" t="n">
        <v>0.3709222838624388</v>
      </c>
      <c r="F33" s="36" t="n">
        <v>0.8297897431324132</v>
      </c>
      <c r="G33" s="36" t="n">
        <v>0.8082514720643018</v>
      </c>
      <c r="H33" s="37">
        <f>SUM(B33:G33)</f>
        <v/>
      </c>
      <c r="I33" s="25">
        <f>B33/$H33</f>
        <v/>
      </c>
      <c r="J33" s="25">
        <f>C33/$H33</f>
        <v/>
      </c>
      <c r="K33" s="25">
        <f>D33/$H33</f>
        <v/>
      </c>
      <c r="L33" s="25">
        <f>E33/$H33</f>
        <v/>
      </c>
      <c r="M33" s="25">
        <f>F33/$H33</f>
        <v/>
      </c>
      <c r="N33" s="25">
        <f>G33/$H33</f>
        <v/>
      </c>
      <c r="O33" s="25">
        <f>SUM(MMULT(I33:N33,'07 Annualised Inputs'!$D$7:$D$12))</f>
        <v/>
      </c>
      <c r="P33" s="25">
        <f>SQRT(SUMPRODUCT(MMULT(I33:N33,'07 Annualised Inputs'!$B$17:$G$22),I33:N33))</f>
        <v/>
      </c>
      <c r="Q33" s="37">
        <f>(O33-'02 Config'!$B$10)/P33</f>
        <v/>
      </c>
    </row>
    <row r="34">
      <c r="A34" s="12" t="n">
        <v>29</v>
      </c>
      <c r="B34" s="36" t="n">
        <v>0.3171388928227153</v>
      </c>
      <c r="C34" s="36" t="n">
        <v>0.952899395069745</v>
      </c>
      <c r="D34" s="36" t="n">
        <v>0.2909178381401186</v>
      </c>
      <c r="E34" s="36" t="n">
        <v>0.5150571292317145</v>
      </c>
      <c r="F34" s="36" t="n">
        <v>0.2559650905676027</v>
      </c>
      <c r="G34" s="36" t="n">
        <v>0.9360435700489633</v>
      </c>
      <c r="H34" s="37">
        <f>SUM(B34:G34)</f>
        <v/>
      </c>
      <c r="I34" s="25">
        <f>B34/$H34</f>
        <v/>
      </c>
      <c r="J34" s="25">
        <f>C34/$H34</f>
        <v/>
      </c>
      <c r="K34" s="25">
        <f>D34/$H34</f>
        <v/>
      </c>
      <c r="L34" s="25">
        <f>E34/$H34</f>
        <v/>
      </c>
      <c r="M34" s="25">
        <f>F34/$H34</f>
        <v/>
      </c>
      <c r="N34" s="25">
        <f>G34/$H34</f>
        <v/>
      </c>
      <c r="O34" s="25">
        <f>SUM(MMULT(I34:N34,'07 Annualised Inputs'!$D$7:$D$12))</f>
        <v/>
      </c>
      <c r="P34" s="25">
        <f>SQRT(SUMPRODUCT(MMULT(I34:N34,'07 Annualised Inputs'!$B$17:$G$22),I34:N34))</f>
        <v/>
      </c>
      <c r="Q34" s="37">
        <f>(O34-'02 Config'!$B$10)/P34</f>
        <v/>
      </c>
    </row>
    <row r="35">
      <c r="A35" s="12" t="n">
        <v>30</v>
      </c>
      <c r="B35" s="36" t="n">
        <v>0.1646078175820181</v>
      </c>
      <c r="C35" s="36" t="n">
        <v>0.04491061939232899</v>
      </c>
      <c r="D35" s="36" t="n">
        <v>0.4350970600030379</v>
      </c>
      <c r="E35" s="36" t="n">
        <v>0.992375564055837</v>
      </c>
      <c r="F35" s="36" t="n">
        <v>0.8916772662549139</v>
      </c>
      <c r="G35" s="36" t="n">
        <v>0.7486080194569492</v>
      </c>
      <c r="H35" s="37">
        <f>SUM(B35:G35)</f>
        <v/>
      </c>
      <c r="I35" s="25">
        <f>B35/$H35</f>
        <v/>
      </c>
      <c r="J35" s="25">
        <f>C35/$H35</f>
        <v/>
      </c>
      <c r="K35" s="25">
        <f>D35/$H35</f>
        <v/>
      </c>
      <c r="L35" s="25">
        <f>E35/$H35</f>
        <v/>
      </c>
      <c r="M35" s="25">
        <f>F35/$H35</f>
        <v/>
      </c>
      <c r="N35" s="25">
        <f>G35/$H35</f>
        <v/>
      </c>
      <c r="O35" s="25">
        <f>SUM(MMULT(I35:N35,'07 Annualised Inputs'!$D$7:$D$12))</f>
        <v/>
      </c>
      <c r="P35" s="25">
        <f>SQRT(SUMPRODUCT(MMULT(I35:N35,'07 Annualised Inputs'!$B$17:$G$22),I35:N35))</f>
        <v/>
      </c>
      <c r="Q35" s="37">
        <f>(O35-'02 Config'!$B$10)/P35</f>
        <v/>
      </c>
    </row>
    <row r="36">
      <c r="A36" s="12" t="n">
        <v>31</v>
      </c>
      <c r="B36" s="36" t="n">
        <v>0.8907924908785249</v>
      </c>
      <c r="C36" s="36" t="n">
        <v>0.8934466396978632</v>
      </c>
      <c r="D36" s="36" t="n">
        <v>0.5188583603864491</v>
      </c>
      <c r="E36" s="36" t="n">
        <v>0.315929051830793</v>
      </c>
      <c r="F36" s="36" t="n">
        <v>0.772012432110988</v>
      </c>
      <c r="G36" s="36" t="n">
        <v>0.6616612631677611</v>
      </c>
      <c r="H36" s="37">
        <f>SUM(B36:G36)</f>
        <v/>
      </c>
      <c r="I36" s="25">
        <f>B36/$H36</f>
        <v/>
      </c>
      <c r="J36" s="25">
        <f>C36/$H36</f>
        <v/>
      </c>
      <c r="K36" s="25">
        <f>D36/$H36</f>
        <v/>
      </c>
      <c r="L36" s="25">
        <f>E36/$H36</f>
        <v/>
      </c>
      <c r="M36" s="25">
        <f>F36/$H36</f>
        <v/>
      </c>
      <c r="N36" s="25">
        <f>G36/$H36</f>
        <v/>
      </c>
      <c r="O36" s="25">
        <f>SUM(MMULT(I36:N36,'07 Annualised Inputs'!$D$7:$D$12))</f>
        <v/>
      </c>
      <c r="P36" s="25">
        <f>SQRT(SUMPRODUCT(MMULT(I36:N36,'07 Annualised Inputs'!$B$17:$G$22),I36:N36))</f>
        <v/>
      </c>
      <c r="Q36" s="37">
        <f>(O36-'02 Config'!$B$10)/P36</f>
        <v/>
      </c>
    </row>
    <row r="37">
      <c r="A37" s="12" t="n">
        <v>32</v>
      </c>
      <c r="B37" s="36" t="n">
        <v>0.3736577288737101</v>
      </c>
      <c r="C37" s="36" t="n">
        <v>0.09446666806151527</v>
      </c>
      <c r="D37" s="36" t="n">
        <v>0.746789611349026</v>
      </c>
      <c r="E37" s="36" t="n">
        <v>0.2624605159228647</v>
      </c>
      <c r="F37" s="36" t="n">
        <v>0.9368131505337792</v>
      </c>
      <c r="G37" s="36" t="n">
        <v>0.2409705750056848</v>
      </c>
      <c r="H37" s="37">
        <f>SUM(B37:G37)</f>
        <v/>
      </c>
      <c r="I37" s="25">
        <f>B37/$H37</f>
        <v/>
      </c>
      <c r="J37" s="25">
        <f>C37/$H37</f>
        <v/>
      </c>
      <c r="K37" s="25">
        <f>D37/$H37</f>
        <v/>
      </c>
      <c r="L37" s="25">
        <f>E37/$H37</f>
        <v/>
      </c>
      <c r="M37" s="25">
        <f>F37/$H37</f>
        <v/>
      </c>
      <c r="N37" s="25">
        <f>G37/$H37</f>
        <v/>
      </c>
      <c r="O37" s="25">
        <f>SUM(MMULT(I37:N37,'07 Annualised Inputs'!$D$7:$D$12))</f>
        <v/>
      </c>
      <c r="P37" s="25">
        <f>SQRT(SUMPRODUCT(MMULT(I37:N37,'07 Annualised Inputs'!$B$17:$G$22),I37:N37))</f>
        <v/>
      </c>
      <c r="Q37" s="37">
        <f>(O37-'02 Config'!$B$10)/P37</f>
        <v/>
      </c>
    </row>
    <row r="38">
      <c r="A38" s="12" t="n">
        <v>33</v>
      </c>
      <c r="B38" s="36" t="n">
        <v>0.122757932411486</v>
      </c>
      <c r="C38" s="36" t="n">
        <v>0.8311126721249061</v>
      </c>
      <c r="D38" s="36" t="n">
        <v>0.153284316624494</v>
      </c>
      <c r="E38" s="36" t="n">
        <v>0.1792683081577391</v>
      </c>
      <c r="F38" s="36" t="n">
        <v>0.5993827915208435</v>
      </c>
      <c r="G38" s="36" t="n">
        <v>0.8745620408374645</v>
      </c>
      <c r="H38" s="37">
        <f>SUM(B38:G38)</f>
        <v/>
      </c>
      <c r="I38" s="25">
        <f>B38/$H38</f>
        <v/>
      </c>
      <c r="J38" s="25">
        <f>C38/$H38</f>
        <v/>
      </c>
      <c r="K38" s="25">
        <f>D38/$H38</f>
        <v/>
      </c>
      <c r="L38" s="25">
        <f>E38/$H38</f>
        <v/>
      </c>
      <c r="M38" s="25">
        <f>F38/$H38</f>
        <v/>
      </c>
      <c r="N38" s="25">
        <f>G38/$H38</f>
        <v/>
      </c>
      <c r="O38" s="25">
        <f>SUM(MMULT(I38:N38,'07 Annualised Inputs'!$D$7:$D$12))</f>
        <v/>
      </c>
      <c r="P38" s="25">
        <f>SQRT(SUMPRODUCT(MMULT(I38:N38,'07 Annualised Inputs'!$B$17:$G$22),I38:N38))</f>
        <v/>
      </c>
      <c r="Q38" s="37">
        <f>(O38-'02 Config'!$B$10)/P38</f>
        <v/>
      </c>
    </row>
    <row r="39">
      <c r="A39" s="12" t="n">
        <v>34</v>
      </c>
      <c r="B39" s="36" t="n">
        <v>0.1964346657145732</v>
      </c>
      <c r="C39" s="36" t="n">
        <v>0.3103236729000948</v>
      </c>
      <c r="D39" s="36" t="n">
        <v>0.7774048382411776</v>
      </c>
      <c r="E39" s="36" t="n">
        <v>0.9718264260609674</v>
      </c>
      <c r="F39" s="36" t="n">
        <v>0.5007411862023423</v>
      </c>
      <c r="G39" s="36" t="n">
        <v>0.1438975025512508</v>
      </c>
      <c r="H39" s="37">
        <f>SUM(B39:G39)</f>
        <v/>
      </c>
      <c r="I39" s="25">
        <f>B39/$H39</f>
        <v/>
      </c>
      <c r="J39" s="25">
        <f>C39/$H39</f>
        <v/>
      </c>
      <c r="K39" s="25">
        <f>D39/$H39</f>
        <v/>
      </c>
      <c r="L39" s="25">
        <f>E39/$H39</f>
        <v/>
      </c>
      <c r="M39" s="25">
        <f>F39/$H39</f>
        <v/>
      </c>
      <c r="N39" s="25">
        <f>G39/$H39</f>
        <v/>
      </c>
      <c r="O39" s="25">
        <f>SUM(MMULT(I39:N39,'07 Annualised Inputs'!$D$7:$D$12))</f>
        <v/>
      </c>
      <c r="P39" s="25">
        <f>SQRT(SUMPRODUCT(MMULT(I39:N39,'07 Annualised Inputs'!$B$17:$G$22),I39:N39))</f>
        <v/>
      </c>
      <c r="Q39" s="37">
        <f>(O39-'02 Config'!$B$10)/P39</f>
        <v/>
      </c>
    </row>
    <row r="40">
      <c r="A40" s="12" t="n">
        <v>35</v>
      </c>
      <c r="B40" s="36" t="n">
        <v>0.01393628770820154</v>
      </c>
      <c r="C40" s="36" t="n">
        <v>0.2296560299988553</v>
      </c>
      <c r="D40" s="36" t="n">
        <v>0.131822217786521</v>
      </c>
      <c r="E40" s="36" t="n">
        <v>0.6776586736128575</v>
      </c>
      <c r="F40" s="36" t="n">
        <v>0.1218325046285311</v>
      </c>
      <c r="G40" s="36" t="n">
        <v>0.506329931620633</v>
      </c>
      <c r="H40" s="37">
        <f>SUM(B40:G40)</f>
        <v/>
      </c>
      <c r="I40" s="25">
        <f>B40/$H40</f>
        <v/>
      </c>
      <c r="J40" s="25">
        <f>C40/$H40</f>
        <v/>
      </c>
      <c r="K40" s="25">
        <f>D40/$H40</f>
        <v/>
      </c>
      <c r="L40" s="25">
        <f>E40/$H40</f>
        <v/>
      </c>
      <c r="M40" s="25">
        <f>F40/$H40</f>
        <v/>
      </c>
      <c r="N40" s="25">
        <f>G40/$H40</f>
        <v/>
      </c>
      <c r="O40" s="25">
        <f>SUM(MMULT(I40:N40,'07 Annualised Inputs'!$D$7:$D$12))</f>
        <v/>
      </c>
      <c r="P40" s="25">
        <f>SQRT(SUMPRODUCT(MMULT(I40:N40,'07 Annualised Inputs'!$B$17:$G$22),I40:N40))</f>
        <v/>
      </c>
      <c r="Q40" s="37">
        <f>(O40-'02 Config'!$B$10)/P40</f>
        <v/>
      </c>
    </row>
    <row r="41">
      <c r="A41" s="12" t="n">
        <v>36</v>
      </c>
      <c r="B41" s="36" t="n">
        <v>0.6942624356428865</v>
      </c>
      <c r="C41" s="36" t="n">
        <v>0.5811166092209024</v>
      </c>
      <c r="D41" s="36" t="n">
        <v>0.1997756516600576</v>
      </c>
      <c r="E41" s="36" t="n">
        <v>0.8041245261822627</v>
      </c>
      <c r="F41" s="36" t="n">
        <v>0.7154071296158017</v>
      </c>
      <c r="G41" s="36" t="n">
        <v>0.7389840039155418</v>
      </c>
      <c r="H41" s="37">
        <f>SUM(B41:G41)</f>
        <v/>
      </c>
      <c r="I41" s="25">
        <f>B41/$H41</f>
        <v/>
      </c>
      <c r="J41" s="25">
        <f>C41/$H41</f>
        <v/>
      </c>
      <c r="K41" s="25">
        <f>D41/$H41</f>
        <v/>
      </c>
      <c r="L41" s="25">
        <f>E41/$H41</f>
        <v/>
      </c>
      <c r="M41" s="25">
        <f>F41/$H41</f>
        <v/>
      </c>
      <c r="N41" s="25">
        <f>G41/$H41</f>
        <v/>
      </c>
      <c r="O41" s="25">
        <f>SUM(MMULT(I41:N41,'07 Annualised Inputs'!$D$7:$D$12))</f>
        <v/>
      </c>
      <c r="P41" s="25">
        <f>SQRT(SUMPRODUCT(MMULT(I41:N41,'07 Annualised Inputs'!$B$17:$G$22),I41:N41))</f>
        <v/>
      </c>
      <c r="Q41" s="37">
        <f>(O41-'02 Config'!$B$10)/P41</f>
        <v/>
      </c>
    </row>
    <row r="42">
      <c r="A42" s="12" t="n">
        <v>37</v>
      </c>
      <c r="B42" s="36" t="n">
        <v>0.1310577515573133</v>
      </c>
      <c r="C42" s="36" t="n">
        <v>0.1237538036503446</v>
      </c>
      <c r="D42" s="36" t="n">
        <v>0.9275625510065076</v>
      </c>
      <c r="E42" s="36" t="n">
        <v>0.3975781938249406</v>
      </c>
      <c r="F42" s="36" t="n">
        <v>0.3009486917809397</v>
      </c>
      <c r="G42" s="36" t="n">
        <v>0.4885840453515333</v>
      </c>
      <c r="H42" s="37">
        <f>SUM(B42:G42)</f>
        <v/>
      </c>
      <c r="I42" s="25">
        <f>B42/$H42</f>
        <v/>
      </c>
      <c r="J42" s="25">
        <f>C42/$H42</f>
        <v/>
      </c>
      <c r="K42" s="25">
        <f>D42/$H42</f>
        <v/>
      </c>
      <c r="L42" s="25">
        <f>E42/$H42</f>
        <v/>
      </c>
      <c r="M42" s="25">
        <f>F42/$H42</f>
        <v/>
      </c>
      <c r="N42" s="25">
        <f>G42/$H42</f>
        <v/>
      </c>
      <c r="O42" s="25">
        <f>SUM(MMULT(I42:N42,'07 Annualised Inputs'!$D$7:$D$12))</f>
        <v/>
      </c>
      <c r="P42" s="25">
        <f>SQRT(SUMPRODUCT(MMULT(I42:N42,'07 Annualised Inputs'!$B$17:$G$22),I42:N42))</f>
        <v/>
      </c>
      <c r="Q42" s="37">
        <f>(O42-'02 Config'!$B$10)/P42</f>
        <v/>
      </c>
    </row>
    <row r="43">
      <c r="A43" s="12" t="n">
        <v>38</v>
      </c>
      <c r="B43" s="36" t="n">
        <v>0.6628642127635824</v>
      </c>
      <c r="C43" s="36" t="n">
        <v>0.9556232570469699</v>
      </c>
      <c r="D43" s="36" t="n">
        <v>0.286446226882055</v>
      </c>
      <c r="E43" s="36" t="n">
        <v>0.9248084293120271</v>
      </c>
      <c r="F43" s="36" t="n">
        <v>0.02485949138625632</v>
      </c>
      <c r="G43" s="36" t="n">
        <v>0.5551980423268247</v>
      </c>
      <c r="H43" s="37">
        <f>SUM(B43:G43)</f>
        <v/>
      </c>
      <c r="I43" s="25">
        <f>B43/$H43</f>
        <v/>
      </c>
      <c r="J43" s="25">
        <f>C43/$H43</f>
        <v/>
      </c>
      <c r="K43" s="25">
        <f>D43/$H43</f>
        <v/>
      </c>
      <c r="L43" s="25">
        <f>E43/$H43</f>
        <v/>
      </c>
      <c r="M43" s="25">
        <f>F43/$H43</f>
        <v/>
      </c>
      <c r="N43" s="25">
        <f>G43/$H43</f>
        <v/>
      </c>
      <c r="O43" s="25">
        <f>SUM(MMULT(I43:N43,'07 Annualised Inputs'!$D$7:$D$12))</f>
        <v/>
      </c>
      <c r="P43" s="25">
        <f>SQRT(SUMPRODUCT(MMULT(I43:N43,'07 Annualised Inputs'!$B$17:$G$22),I43:N43))</f>
        <v/>
      </c>
      <c r="Q43" s="37">
        <f>(O43-'02 Config'!$B$10)/P43</f>
        <v/>
      </c>
    </row>
    <row r="44">
      <c r="A44" s="12" t="n">
        <v>39</v>
      </c>
      <c r="B44" s="36" t="n">
        <v>0.6339751116810851</v>
      </c>
      <c r="C44" s="36" t="n">
        <v>0.1058974037507533</v>
      </c>
      <c r="D44" s="36" t="n">
        <v>0.1403395970639126</v>
      </c>
      <c r="E44" s="36" t="n">
        <v>0.4191143193163038</v>
      </c>
      <c r="F44" s="36" t="n">
        <v>0.9662319121431817</v>
      </c>
      <c r="G44" s="36" t="n">
        <v>0.5960425532343728</v>
      </c>
      <c r="H44" s="37">
        <f>SUM(B44:G44)</f>
        <v/>
      </c>
      <c r="I44" s="25">
        <f>B44/$H44</f>
        <v/>
      </c>
      <c r="J44" s="25">
        <f>C44/$H44</f>
        <v/>
      </c>
      <c r="K44" s="25">
        <f>D44/$H44</f>
        <v/>
      </c>
      <c r="L44" s="25">
        <f>E44/$H44</f>
        <v/>
      </c>
      <c r="M44" s="25">
        <f>F44/$H44</f>
        <v/>
      </c>
      <c r="N44" s="25">
        <f>G44/$H44</f>
        <v/>
      </c>
      <c r="O44" s="25">
        <f>SUM(MMULT(I44:N44,'07 Annualised Inputs'!$D$7:$D$12))</f>
        <v/>
      </c>
      <c r="P44" s="25">
        <f>SQRT(SUMPRODUCT(MMULT(I44:N44,'07 Annualised Inputs'!$B$17:$G$22),I44:N44))</f>
        <v/>
      </c>
      <c r="Q44" s="37">
        <f>(O44-'02 Config'!$B$10)/P44</f>
        <v/>
      </c>
    </row>
    <row r="45">
      <c r="A45" s="12" t="n">
        <v>40</v>
      </c>
      <c r="B45" s="36" t="n">
        <v>0.9330232216002112</v>
      </c>
      <c r="C45" s="36" t="n">
        <v>0.8043609156129707</v>
      </c>
      <c r="D45" s="36" t="n">
        <v>0.4673816015552915</v>
      </c>
      <c r="E45" s="36" t="n">
        <v>0.7847634492521874</v>
      </c>
      <c r="F45" s="36" t="n">
        <v>0.01783678397698774</v>
      </c>
      <c r="G45" s="36" t="n">
        <v>0.1091439967657349</v>
      </c>
      <c r="H45" s="37">
        <f>SUM(B45:G45)</f>
        <v/>
      </c>
      <c r="I45" s="25">
        <f>B45/$H45</f>
        <v/>
      </c>
      <c r="J45" s="25">
        <f>C45/$H45</f>
        <v/>
      </c>
      <c r="K45" s="25">
        <f>D45/$H45</f>
        <v/>
      </c>
      <c r="L45" s="25">
        <f>E45/$H45</f>
        <v/>
      </c>
      <c r="M45" s="25">
        <f>F45/$H45</f>
        <v/>
      </c>
      <c r="N45" s="25">
        <f>G45/$H45</f>
        <v/>
      </c>
      <c r="O45" s="25">
        <f>SUM(MMULT(I45:N45,'07 Annualised Inputs'!$D$7:$D$12))</f>
        <v/>
      </c>
      <c r="P45" s="25">
        <f>SQRT(SUMPRODUCT(MMULT(I45:N45,'07 Annualised Inputs'!$B$17:$G$22),I45:N45))</f>
        <v/>
      </c>
      <c r="Q45" s="37">
        <f>(O45-'02 Config'!$B$10)/P45</f>
        <v/>
      </c>
    </row>
    <row r="46">
      <c r="A46" s="12" t="n">
        <v>41</v>
      </c>
      <c r="B46" s="36" t="n">
        <v>0.8294286148827363</v>
      </c>
      <c r="C46" s="36" t="n">
        <v>0.7968170883251617</v>
      </c>
      <c r="D46" s="36" t="n">
        <v>0.2326407419664337</v>
      </c>
      <c r="E46" s="36" t="n">
        <v>0.5307695905990535</v>
      </c>
      <c r="F46" s="36" t="n">
        <v>0.6060158207000109</v>
      </c>
      <c r="G46" s="36" t="n">
        <v>0.8677389537760112</v>
      </c>
      <c r="H46" s="37">
        <f>SUM(B46:G46)</f>
        <v/>
      </c>
      <c r="I46" s="25">
        <f>B46/$H46</f>
        <v/>
      </c>
      <c r="J46" s="25">
        <f>C46/$H46</f>
        <v/>
      </c>
      <c r="K46" s="25">
        <f>D46/$H46</f>
        <v/>
      </c>
      <c r="L46" s="25">
        <f>E46/$H46</f>
        <v/>
      </c>
      <c r="M46" s="25">
        <f>F46/$H46</f>
        <v/>
      </c>
      <c r="N46" s="25">
        <f>G46/$H46</f>
        <v/>
      </c>
      <c r="O46" s="25">
        <f>SUM(MMULT(I46:N46,'07 Annualised Inputs'!$D$7:$D$12))</f>
        <v/>
      </c>
      <c r="P46" s="25">
        <f>SQRT(SUMPRODUCT(MMULT(I46:N46,'07 Annualised Inputs'!$B$17:$G$22),I46:N46))</f>
        <v/>
      </c>
      <c r="Q46" s="37">
        <f>(O46-'02 Config'!$B$10)/P46</f>
        <v/>
      </c>
    </row>
    <row r="47">
      <c r="A47" s="12" t="n">
        <v>42</v>
      </c>
      <c r="B47" s="36" t="n">
        <v>0.6031071573387257</v>
      </c>
      <c r="C47" s="36" t="n">
        <v>0.4125715692736803</v>
      </c>
      <c r="D47" s="36" t="n">
        <v>0.3741840434071827</v>
      </c>
      <c r="E47" s="36" t="n">
        <v>0.4258820863735099</v>
      </c>
      <c r="F47" s="36" t="n">
        <v>0.6519310255799742</v>
      </c>
      <c r="G47" s="36" t="n">
        <v>0.8674906317523249</v>
      </c>
      <c r="H47" s="37">
        <f>SUM(B47:G47)</f>
        <v/>
      </c>
      <c r="I47" s="25">
        <f>B47/$H47</f>
        <v/>
      </c>
      <c r="J47" s="25">
        <f>C47/$H47</f>
        <v/>
      </c>
      <c r="K47" s="25">
        <f>D47/$H47</f>
        <v/>
      </c>
      <c r="L47" s="25">
        <f>E47/$H47</f>
        <v/>
      </c>
      <c r="M47" s="25">
        <f>F47/$H47</f>
        <v/>
      </c>
      <c r="N47" s="25">
        <f>G47/$H47</f>
        <v/>
      </c>
      <c r="O47" s="25">
        <f>SUM(MMULT(I47:N47,'07 Annualised Inputs'!$D$7:$D$12))</f>
        <v/>
      </c>
      <c r="P47" s="25">
        <f>SQRT(SUMPRODUCT(MMULT(I47:N47,'07 Annualised Inputs'!$B$17:$G$22),I47:N47))</f>
        <v/>
      </c>
      <c r="Q47" s="37">
        <f>(O47-'02 Config'!$B$10)/P47</f>
        <v/>
      </c>
    </row>
    <row r="48">
      <c r="A48" s="12" t="n">
        <v>43</v>
      </c>
      <c r="B48" s="36" t="n">
        <v>0.4538968820762997</v>
      </c>
      <c r="C48" s="36" t="n">
        <v>0.2478395629513581</v>
      </c>
      <c r="D48" s="36" t="n">
        <v>0.2366623629975811</v>
      </c>
      <c r="E48" s="36" t="n">
        <v>0.7460142802434464</v>
      </c>
      <c r="F48" s="36" t="n">
        <v>0.8165687634239104</v>
      </c>
      <c r="G48" s="36" t="n">
        <v>0.105278079854125</v>
      </c>
      <c r="H48" s="37">
        <f>SUM(B48:G48)</f>
        <v/>
      </c>
      <c r="I48" s="25">
        <f>B48/$H48</f>
        <v/>
      </c>
      <c r="J48" s="25">
        <f>C48/$H48</f>
        <v/>
      </c>
      <c r="K48" s="25">
        <f>D48/$H48</f>
        <v/>
      </c>
      <c r="L48" s="25">
        <f>E48/$H48</f>
        <v/>
      </c>
      <c r="M48" s="25">
        <f>F48/$H48</f>
        <v/>
      </c>
      <c r="N48" s="25">
        <f>G48/$H48</f>
        <v/>
      </c>
      <c r="O48" s="25">
        <f>SUM(MMULT(I48:N48,'07 Annualised Inputs'!$D$7:$D$12))</f>
        <v/>
      </c>
      <c r="P48" s="25">
        <f>SQRT(SUMPRODUCT(MMULT(I48:N48,'07 Annualised Inputs'!$B$17:$G$22),I48:N48))</f>
        <v/>
      </c>
      <c r="Q48" s="37">
        <f>(O48-'02 Config'!$B$10)/P48</f>
        <v/>
      </c>
    </row>
    <row r="49">
      <c r="A49" s="12" t="n">
        <v>44</v>
      </c>
      <c r="B49" s="36" t="n">
        <v>0.06655885695517816</v>
      </c>
      <c r="C49" s="36" t="n">
        <v>0.5944336637564518</v>
      </c>
      <c r="D49" s="36" t="n">
        <v>0.1461732441926983</v>
      </c>
      <c r="E49" s="36" t="n">
        <v>0.8246641904563413</v>
      </c>
      <c r="F49" s="36" t="n">
        <v>0.3103346739240744</v>
      </c>
      <c r="G49" s="36" t="n">
        <v>0.1438719329711426</v>
      </c>
      <c r="H49" s="37">
        <f>SUM(B49:G49)</f>
        <v/>
      </c>
      <c r="I49" s="25">
        <f>B49/$H49</f>
        <v/>
      </c>
      <c r="J49" s="25">
        <f>C49/$H49</f>
        <v/>
      </c>
      <c r="K49" s="25">
        <f>D49/$H49</f>
        <v/>
      </c>
      <c r="L49" s="25">
        <f>E49/$H49</f>
        <v/>
      </c>
      <c r="M49" s="25">
        <f>F49/$H49</f>
        <v/>
      </c>
      <c r="N49" s="25">
        <f>G49/$H49</f>
        <v/>
      </c>
      <c r="O49" s="25">
        <f>SUM(MMULT(I49:N49,'07 Annualised Inputs'!$D$7:$D$12))</f>
        <v/>
      </c>
      <c r="P49" s="25">
        <f>SQRT(SUMPRODUCT(MMULT(I49:N49,'07 Annualised Inputs'!$B$17:$G$22),I49:N49))</f>
        <v/>
      </c>
      <c r="Q49" s="37">
        <f>(O49-'02 Config'!$B$10)/P49</f>
        <v/>
      </c>
    </row>
    <row r="50">
      <c r="A50" s="12" t="n">
        <v>45</v>
      </c>
      <c r="B50" s="36" t="n">
        <v>0.9209704724874502</v>
      </c>
      <c r="C50" s="36" t="n">
        <v>0.1655317227352782</v>
      </c>
      <c r="D50" s="36" t="n">
        <v>0.2847200823379356</v>
      </c>
      <c r="E50" s="36" t="n">
        <v>0.1536133951920586</v>
      </c>
      <c r="F50" s="36" t="n">
        <v>0.115490063665355</v>
      </c>
      <c r="G50" s="36" t="n">
        <v>0.02114801633644003</v>
      </c>
      <c r="H50" s="37">
        <f>SUM(B50:G50)</f>
        <v/>
      </c>
      <c r="I50" s="25">
        <f>B50/$H50</f>
        <v/>
      </c>
      <c r="J50" s="25">
        <f>C50/$H50</f>
        <v/>
      </c>
      <c r="K50" s="25">
        <f>D50/$H50</f>
        <v/>
      </c>
      <c r="L50" s="25">
        <f>E50/$H50</f>
        <v/>
      </c>
      <c r="M50" s="25">
        <f>F50/$H50</f>
        <v/>
      </c>
      <c r="N50" s="25">
        <f>G50/$H50</f>
        <v/>
      </c>
      <c r="O50" s="25">
        <f>SUM(MMULT(I50:N50,'07 Annualised Inputs'!$D$7:$D$12))</f>
        <v/>
      </c>
      <c r="P50" s="25">
        <f>SQRT(SUMPRODUCT(MMULT(I50:N50,'07 Annualised Inputs'!$B$17:$G$22),I50:N50))</f>
        <v/>
      </c>
      <c r="Q50" s="37">
        <f>(O50-'02 Config'!$B$10)/P50</f>
        <v/>
      </c>
    </row>
    <row r="51">
      <c r="A51" s="12" t="n">
        <v>46</v>
      </c>
      <c r="B51" s="36" t="n">
        <v>0.05539540916426011</v>
      </c>
      <c r="C51" s="36" t="n">
        <v>0.1746414709358527</v>
      </c>
      <c r="D51" s="36" t="n">
        <v>0.05338193262717539</v>
      </c>
      <c r="E51" s="36" t="n">
        <v>0.5911438161109712</v>
      </c>
      <c r="F51" s="36" t="n">
        <v>0.6807145267995064</v>
      </c>
      <c r="G51" s="36" t="n">
        <v>0.3936304568320282</v>
      </c>
      <c r="H51" s="37">
        <f>SUM(B51:G51)</f>
        <v/>
      </c>
      <c r="I51" s="25">
        <f>B51/$H51</f>
        <v/>
      </c>
      <c r="J51" s="25">
        <f>C51/$H51</f>
        <v/>
      </c>
      <c r="K51" s="25">
        <f>D51/$H51</f>
        <v/>
      </c>
      <c r="L51" s="25">
        <f>E51/$H51</f>
        <v/>
      </c>
      <c r="M51" s="25">
        <f>F51/$H51</f>
        <v/>
      </c>
      <c r="N51" s="25">
        <f>G51/$H51</f>
        <v/>
      </c>
      <c r="O51" s="25">
        <f>SUM(MMULT(I51:N51,'07 Annualised Inputs'!$D$7:$D$12))</f>
        <v/>
      </c>
      <c r="P51" s="25">
        <f>SQRT(SUMPRODUCT(MMULT(I51:N51,'07 Annualised Inputs'!$B$17:$G$22),I51:N51))</f>
        <v/>
      </c>
      <c r="Q51" s="37">
        <f>(O51-'02 Config'!$B$10)/P51</f>
        <v/>
      </c>
    </row>
    <row r="52">
      <c r="A52" s="12" t="n">
        <v>47</v>
      </c>
      <c r="B52" s="36" t="n">
        <v>0.3179910969520494</v>
      </c>
      <c r="C52" s="36" t="n">
        <v>0.5045262370222301</v>
      </c>
      <c r="D52" s="36" t="n">
        <v>0.8750049422346086</v>
      </c>
      <c r="E52" s="36" t="n">
        <v>0.851131626822206</v>
      </c>
      <c r="F52" s="36" t="n">
        <v>0.04347506201279194</v>
      </c>
      <c r="G52" s="36" t="n">
        <v>0.1814984095965241</v>
      </c>
      <c r="H52" s="37">
        <f>SUM(B52:G52)</f>
        <v/>
      </c>
      <c r="I52" s="25">
        <f>B52/$H52</f>
        <v/>
      </c>
      <c r="J52" s="25">
        <f>C52/$H52</f>
        <v/>
      </c>
      <c r="K52" s="25">
        <f>D52/$H52</f>
        <v/>
      </c>
      <c r="L52" s="25">
        <f>E52/$H52</f>
        <v/>
      </c>
      <c r="M52" s="25">
        <f>F52/$H52</f>
        <v/>
      </c>
      <c r="N52" s="25">
        <f>G52/$H52</f>
        <v/>
      </c>
      <c r="O52" s="25">
        <f>SUM(MMULT(I52:N52,'07 Annualised Inputs'!$D$7:$D$12))</f>
        <v/>
      </c>
      <c r="P52" s="25">
        <f>SQRT(SUMPRODUCT(MMULT(I52:N52,'07 Annualised Inputs'!$B$17:$G$22),I52:N52))</f>
        <v/>
      </c>
      <c r="Q52" s="37">
        <f>(O52-'02 Config'!$B$10)/P52</f>
        <v/>
      </c>
    </row>
    <row r="53">
      <c r="A53" s="12" t="n">
        <v>48</v>
      </c>
      <c r="B53" s="36" t="n">
        <v>0.236744871104396</v>
      </c>
      <c r="C53" s="36" t="n">
        <v>0.2493875758322118</v>
      </c>
      <c r="D53" s="36" t="n">
        <v>0.5712326517427727</v>
      </c>
      <c r="E53" s="36" t="n">
        <v>0.4162624257031923</v>
      </c>
      <c r="F53" s="36" t="n">
        <v>0.04925411992759399</v>
      </c>
      <c r="G53" s="36" t="n">
        <v>0.3736141384595716</v>
      </c>
      <c r="H53" s="37">
        <f>SUM(B53:G53)</f>
        <v/>
      </c>
      <c r="I53" s="25">
        <f>B53/$H53</f>
        <v/>
      </c>
      <c r="J53" s="25">
        <f>C53/$H53</f>
        <v/>
      </c>
      <c r="K53" s="25">
        <f>D53/$H53</f>
        <v/>
      </c>
      <c r="L53" s="25">
        <f>E53/$H53</f>
        <v/>
      </c>
      <c r="M53" s="25">
        <f>F53/$H53</f>
        <v/>
      </c>
      <c r="N53" s="25">
        <f>G53/$H53</f>
        <v/>
      </c>
      <c r="O53" s="25">
        <f>SUM(MMULT(I53:N53,'07 Annualised Inputs'!$D$7:$D$12))</f>
        <v/>
      </c>
      <c r="P53" s="25">
        <f>SQRT(SUMPRODUCT(MMULT(I53:N53,'07 Annualised Inputs'!$B$17:$G$22),I53:N53))</f>
        <v/>
      </c>
      <c r="Q53" s="37">
        <f>(O53-'02 Config'!$B$10)/P53</f>
        <v/>
      </c>
    </row>
    <row r="54">
      <c r="A54" s="12" t="n">
        <v>49</v>
      </c>
      <c r="B54" s="36" t="n">
        <v>0.5237529487176372</v>
      </c>
      <c r="C54" s="36" t="n">
        <v>0.101671902903716</v>
      </c>
      <c r="D54" s="36" t="n">
        <v>0.8334585537885597</v>
      </c>
      <c r="E54" s="36" t="n">
        <v>0.05196186646510426</v>
      </c>
      <c r="F54" s="36" t="n">
        <v>0.9248418690180621</v>
      </c>
      <c r="G54" s="36" t="n">
        <v>0.0991131415798755</v>
      </c>
      <c r="H54" s="37">
        <f>SUM(B54:G54)</f>
        <v/>
      </c>
      <c r="I54" s="25">
        <f>B54/$H54</f>
        <v/>
      </c>
      <c r="J54" s="25">
        <f>C54/$H54</f>
        <v/>
      </c>
      <c r="K54" s="25">
        <f>D54/$H54</f>
        <v/>
      </c>
      <c r="L54" s="25">
        <f>E54/$H54</f>
        <v/>
      </c>
      <c r="M54" s="25">
        <f>F54/$H54</f>
        <v/>
      </c>
      <c r="N54" s="25">
        <f>G54/$H54</f>
        <v/>
      </c>
      <c r="O54" s="25">
        <f>SUM(MMULT(I54:N54,'07 Annualised Inputs'!$D$7:$D$12))</f>
        <v/>
      </c>
      <c r="P54" s="25">
        <f>SQRT(SUMPRODUCT(MMULT(I54:N54,'07 Annualised Inputs'!$B$17:$G$22),I54:N54))</f>
        <v/>
      </c>
      <c r="Q54" s="37">
        <f>(O54-'02 Config'!$B$10)/P54</f>
        <v/>
      </c>
    </row>
    <row r="55">
      <c r="A55" s="12" t="n">
        <v>50</v>
      </c>
      <c r="B55" s="36" t="n">
        <v>0.8435749515977528</v>
      </c>
      <c r="C55" s="36" t="n">
        <v>0.9026531439276171</v>
      </c>
      <c r="D55" s="36" t="n">
        <v>0.9795706805865927</v>
      </c>
      <c r="E55" s="36" t="n">
        <v>0.8020258802735936</v>
      </c>
      <c r="F55" s="36" t="n">
        <v>0.7794775407713289</v>
      </c>
      <c r="G55" s="36" t="n">
        <v>0.6424832759955477</v>
      </c>
      <c r="H55" s="37">
        <f>SUM(B55:G55)</f>
        <v/>
      </c>
      <c r="I55" s="25">
        <f>B55/$H55</f>
        <v/>
      </c>
      <c r="J55" s="25">
        <f>C55/$H55</f>
        <v/>
      </c>
      <c r="K55" s="25">
        <f>D55/$H55</f>
        <v/>
      </c>
      <c r="L55" s="25">
        <f>E55/$H55</f>
        <v/>
      </c>
      <c r="M55" s="25">
        <f>F55/$H55</f>
        <v/>
      </c>
      <c r="N55" s="25">
        <f>G55/$H55</f>
        <v/>
      </c>
      <c r="O55" s="25">
        <f>SUM(MMULT(I55:N55,'07 Annualised Inputs'!$D$7:$D$12))</f>
        <v/>
      </c>
      <c r="P55" s="25">
        <f>SQRT(SUMPRODUCT(MMULT(I55:N55,'07 Annualised Inputs'!$B$17:$G$22),I55:N55))</f>
        <v/>
      </c>
      <c r="Q55" s="37">
        <f>(O55-'02 Config'!$B$10)/P55</f>
        <v/>
      </c>
    </row>
    <row r="56">
      <c r="A56" s="12" t="n">
        <v>51</v>
      </c>
      <c r="B56" s="36" t="n">
        <v>0.778996354578129</v>
      </c>
      <c r="C56" s="36" t="n">
        <v>0.1345522084131471</v>
      </c>
      <c r="D56" s="36" t="n">
        <v>0.5360680359476373</v>
      </c>
      <c r="E56" s="36" t="n">
        <v>0.5142228701904145</v>
      </c>
      <c r="F56" s="36" t="n">
        <v>0.8575721441225576</v>
      </c>
      <c r="G56" s="36" t="n">
        <v>0.4627993655935159</v>
      </c>
      <c r="H56" s="37">
        <f>SUM(B56:G56)</f>
        <v/>
      </c>
      <c r="I56" s="25">
        <f>B56/$H56</f>
        <v/>
      </c>
      <c r="J56" s="25">
        <f>C56/$H56</f>
        <v/>
      </c>
      <c r="K56" s="25">
        <f>D56/$H56</f>
        <v/>
      </c>
      <c r="L56" s="25">
        <f>E56/$H56</f>
        <v/>
      </c>
      <c r="M56" s="25">
        <f>F56/$H56</f>
        <v/>
      </c>
      <c r="N56" s="25">
        <f>G56/$H56</f>
        <v/>
      </c>
      <c r="O56" s="25">
        <f>SUM(MMULT(I56:N56,'07 Annualised Inputs'!$D$7:$D$12))</f>
        <v/>
      </c>
      <c r="P56" s="25">
        <f>SQRT(SUMPRODUCT(MMULT(I56:N56,'07 Annualised Inputs'!$B$17:$G$22),I56:N56))</f>
        <v/>
      </c>
      <c r="Q56" s="37">
        <f>(O56-'02 Config'!$B$10)/P56</f>
        <v/>
      </c>
    </row>
    <row r="57">
      <c r="A57" s="12" t="n">
        <v>52</v>
      </c>
      <c r="B57" s="36" t="n">
        <v>0.3850894961003535</v>
      </c>
      <c r="C57" s="36" t="n">
        <v>0.6395632712371101</v>
      </c>
      <c r="D57" s="36" t="n">
        <v>0.2664633175008461</v>
      </c>
      <c r="E57" s="36" t="n">
        <v>0.1397684109539569</v>
      </c>
      <c r="F57" s="36" t="n">
        <v>0.4778772740237458</v>
      </c>
      <c r="G57" s="36" t="n">
        <v>0.416889368594885</v>
      </c>
      <c r="H57" s="37">
        <f>SUM(B57:G57)</f>
        <v/>
      </c>
      <c r="I57" s="25">
        <f>B57/$H57</f>
        <v/>
      </c>
      <c r="J57" s="25">
        <f>C57/$H57</f>
        <v/>
      </c>
      <c r="K57" s="25">
        <f>D57/$H57</f>
        <v/>
      </c>
      <c r="L57" s="25">
        <f>E57/$H57</f>
        <v/>
      </c>
      <c r="M57" s="25">
        <f>F57/$H57</f>
        <v/>
      </c>
      <c r="N57" s="25">
        <f>G57/$H57</f>
        <v/>
      </c>
      <c r="O57" s="25">
        <f>SUM(MMULT(I57:N57,'07 Annualised Inputs'!$D$7:$D$12))</f>
        <v/>
      </c>
      <c r="P57" s="25">
        <f>SQRT(SUMPRODUCT(MMULT(I57:N57,'07 Annualised Inputs'!$B$17:$G$22),I57:N57))</f>
        <v/>
      </c>
      <c r="Q57" s="37">
        <f>(O57-'02 Config'!$B$10)/P57</f>
        <v/>
      </c>
    </row>
    <row r="58">
      <c r="A58" s="12" t="n">
        <v>53</v>
      </c>
      <c r="B58" s="36" t="n">
        <v>0.2325699405288737</v>
      </c>
      <c r="C58" s="36" t="n">
        <v>0.367511810115128</v>
      </c>
      <c r="D58" s="36" t="n">
        <v>0.3663924498262474</v>
      </c>
      <c r="E58" s="36" t="n">
        <v>0.3274955644125455</v>
      </c>
      <c r="F58" s="36" t="n">
        <v>0.379464079726929</v>
      </c>
      <c r="G58" s="36" t="n">
        <v>0.6857433454559454</v>
      </c>
      <c r="H58" s="37">
        <f>SUM(B58:G58)</f>
        <v/>
      </c>
      <c r="I58" s="25">
        <f>B58/$H58</f>
        <v/>
      </c>
      <c r="J58" s="25">
        <f>C58/$H58</f>
        <v/>
      </c>
      <c r="K58" s="25">
        <f>D58/$H58</f>
        <v/>
      </c>
      <c r="L58" s="25">
        <f>E58/$H58</f>
        <v/>
      </c>
      <c r="M58" s="25">
        <f>F58/$H58</f>
        <v/>
      </c>
      <c r="N58" s="25">
        <f>G58/$H58</f>
        <v/>
      </c>
      <c r="O58" s="25">
        <f>SUM(MMULT(I58:N58,'07 Annualised Inputs'!$D$7:$D$12))</f>
        <v/>
      </c>
      <c r="P58" s="25">
        <f>SQRT(SUMPRODUCT(MMULT(I58:N58,'07 Annualised Inputs'!$B$17:$G$22),I58:N58))</f>
        <v/>
      </c>
      <c r="Q58" s="37">
        <f>(O58-'02 Config'!$B$10)/P58</f>
        <v/>
      </c>
    </row>
    <row r="59">
      <c r="A59" s="12" t="n">
        <v>54</v>
      </c>
      <c r="B59" s="36" t="n">
        <v>0.2968764745712853</v>
      </c>
      <c r="C59" s="36" t="n">
        <v>0.9488579267153404</v>
      </c>
      <c r="D59" s="36" t="n">
        <v>0.9163480195381779</v>
      </c>
      <c r="E59" s="36" t="n">
        <v>0.4809104283000786</v>
      </c>
      <c r="F59" s="36" t="n">
        <v>0.3283612050046888</v>
      </c>
      <c r="G59" s="36" t="n">
        <v>0.5354347898300031</v>
      </c>
      <c r="H59" s="37">
        <f>SUM(B59:G59)</f>
        <v/>
      </c>
      <c r="I59" s="25">
        <f>B59/$H59</f>
        <v/>
      </c>
      <c r="J59" s="25">
        <f>C59/$H59</f>
        <v/>
      </c>
      <c r="K59" s="25">
        <f>D59/$H59</f>
        <v/>
      </c>
      <c r="L59" s="25">
        <f>E59/$H59</f>
        <v/>
      </c>
      <c r="M59" s="25">
        <f>F59/$H59</f>
        <v/>
      </c>
      <c r="N59" s="25">
        <f>G59/$H59</f>
        <v/>
      </c>
      <c r="O59" s="25">
        <f>SUM(MMULT(I59:N59,'07 Annualised Inputs'!$D$7:$D$12))</f>
        <v/>
      </c>
      <c r="P59" s="25">
        <f>SQRT(SUMPRODUCT(MMULT(I59:N59,'07 Annualised Inputs'!$B$17:$G$22),I59:N59))</f>
        <v/>
      </c>
      <c r="Q59" s="37">
        <f>(O59-'02 Config'!$B$10)/P59</f>
        <v/>
      </c>
    </row>
    <row r="60">
      <c r="A60" s="12" t="n">
        <v>55</v>
      </c>
      <c r="B60" s="36" t="n">
        <v>0.8485604887736246</v>
      </c>
      <c r="C60" s="36" t="n">
        <v>0.652587340560102</v>
      </c>
      <c r="D60" s="36" t="n">
        <v>0.8043918279470774</v>
      </c>
      <c r="E60" s="36" t="n">
        <v>0.5327222760657402</v>
      </c>
      <c r="F60" s="36" t="n">
        <v>0.6329176292676207</v>
      </c>
      <c r="G60" s="36" t="n">
        <v>0.2881556141824617</v>
      </c>
      <c r="H60" s="37">
        <f>SUM(B60:G60)</f>
        <v/>
      </c>
      <c r="I60" s="25">
        <f>B60/$H60</f>
        <v/>
      </c>
      <c r="J60" s="25">
        <f>C60/$H60</f>
        <v/>
      </c>
      <c r="K60" s="25">
        <f>D60/$H60</f>
        <v/>
      </c>
      <c r="L60" s="25">
        <f>E60/$H60</f>
        <v/>
      </c>
      <c r="M60" s="25">
        <f>F60/$H60</f>
        <v/>
      </c>
      <c r="N60" s="25">
        <f>G60/$H60</f>
        <v/>
      </c>
      <c r="O60" s="25">
        <f>SUM(MMULT(I60:N60,'07 Annualised Inputs'!$D$7:$D$12))</f>
        <v/>
      </c>
      <c r="P60" s="25">
        <f>SQRT(SUMPRODUCT(MMULT(I60:N60,'07 Annualised Inputs'!$B$17:$G$22),I60:N60))</f>
        <v/>
      </c>
      <c r="Q60" s="37">
        <f>(O60-'02 Config'!$B$10)/P60</f>
        <v/>
      </c>
    </row>
    <row r="61">
      <c r="A61" s="12" t="n">
        <v>56</v>
      </c>
      <c r="B61" s="36" t="n">
        <v>0.7348931623102908</v>
      </c>
      <c r="C61" s="36" t="n">
        <v>0.2024045931257183</v>
      </c>
      <c r="D61" s="36" t="n">
        <v>0.6947981288184982</v>
      </c>
      <c r="E61" s="36" t="n">
        <v>0.8607190683258941</v>
      </c>
      <c r="F61" s="36" t="n">
        <v>0.1321028373015439</v>
      </c>
      <c r="G61" s="36" t="n">
        <v>0.6143797405419198</v>
      </c>
      <c r="H61" s="37">
        <f>SUM(B61:G61)</f>
        <v/>
      </c>
      <c r="I61" s="25">
        <f>B61/$H61</f>
        <v/>
      </c>
      <c r="J61" s="25">
        <f>C61/$H61</f>
        <v/>
      </c>
      <c r="K61" s="25">
        <f>D61/$H61</f>
        <v/>
      </c>
      <c r="L61" s="25">
        <f>E61/$H61</f>
        <v/>
      </c>
      <c r="M61" s="25">
        <f>F61/$H61</f>
        <v/>
      </c>
      <c r="N61" s="25">
        <f>G61/$H61</f>
        <v/>
      </c>
      <c r="O61" s="25">
        <f>SUM(MMULT(I61:N61,'07 Annualised Inputs'!$D$7:$D$12))</f>
        <v/>
      </c>
      <c r="P61" s="25">
        <f>SQRT(SUMPRODUCT(MMULT(I61:N61,'07 Annualised Inputs'!$B$17:$G$22),I61:N61))</f>
        <v/>
      </c>
      <c r="Q61" s="37">
        <f>(O61-'02 Config'!$B$10)/P61</f>
        <v/>
      </c>
    </row>
    <row r="62">
      <c r="A62" s="12" t="n">
        <v>57</v>
      </c>
      <c r="B62" s="36" t="n">
        <v>0.09509574822993461</v>
      </c>
      <c r="C62" s="36" t="n">
        <v>0.7257156282714269</v>
      </c>
      <c r="D62" s="36" t="n">
        <v>0.08449321882352023</v>
      </c>
      <c r="E62" s="36" t="n">
        <v>0.935939822700626</v>
      </c>
      <c r="F62" s="36" t="n">
        <v>0.1374079300378022</v>
      </c>
      <c r="G62" s="36" t="n">
        <v>0.9588802459090804</v>
      </c>
      <c r="H62" s="37">
        <f>SUM(B62:G62)</f>
        <v/>
      </c>
      <c r="I62" s="25">
        <f>B62/$H62</f>
        <v/>
      </c>
      <c r="J62" s="25">
        <f>C62/$H62</f>
        <v/>
      </c>
      <c r="K62" s="25">
        <f>D62/$H62</f>
        <v/>
      </c>
      <c r="L62" s="25">
        <f>E62/$H62</f>
        <v/>
      </c>
      <c r="M62" s="25">
        <f>F62/$H62</f>
        <v/>
      </c>
      <c r="N62" s="25">
        <f>G62/$H62</f>
        <v/>
      </c>
      <c r="O62" s="25">
        <f>SUM(MMULT(I62:N62,'07 Annualised Inputs'!$D$7:$D$12))</f>
        <v/>
      </c>
      <c r="P62" s="25">
        <f>SQRT(SUMPRODUCT(MMULT(I62:N62,'07 Annualised Inputs'!$B$17:$G$22),I62:N62))</f>
        <v/>
      </c>
      <c r="Q62" s="37">
        <f>(O62-'02 Config'!$B$10)/P62</f>
        <v/>
      </c>
    </row>
    <row r="63">
      <c r="A63" s="12" t="n">
        <v>58</v>
      </c>
      <c r="B63" s="36" t="n">
        <v>0.8008841760850967</v>
      </c>
      <c r="C63" s="36" t="n">
        <v>0.5936820044663541</v>
      </c>
      <c r="D63" s="36" t="n">
        <v>0.7826241046295469</v>
      </c>
      <c r="E63" s="36" t="n">
        <v>0.7951148389830859</v>
      </c>
      <c r="F63" s="36" t="n">
        <v>0.9460270628173303</v>
      </c>
      <c r="G63" s="36" t="n">
        <v>0.2533833538391872</v>
      </c>
      <c r="H63" s="37">
        <f>SUM(B63:G63)</f>
        <v/>
      </c>
      <c r="I63" s="25">
        <f>B63/$H63</f>
        <v/>
      </c>
      <c r="J63" s="25">
        <f>C63/$H63</f>
        <v/>
      </c>
      <c r="K63" s="25">
        <f>D63/$H63</f>
        <v/>
      </c>
      <c r="L63" s="25">
        <f>E63/$H63</f>
        <v/>
      </c>
      <c r="M63" s="25">
        <f>F63/$H63</f>
        <v/>
      </c>
      <c r="N63" s="25">
        <f>G63/$H63</f>
        <v/>
      </c>
      <c r="O63" s="25">
        <f>SUM(MMULT(I63:N63,'07 Annualised Inputs'!$D$7:$D$12))</f>
        <v/>
      </c>
      <c r="P63" s="25">
        <f>SQRT(SUMPRODUCT(MMULT(I63:N63,'07 Annualised Inputs'!$B$17:$G$22),I63:N63))</f>
        <v/>
      </c>
      <c r="Q63" s="37">
        <f>(O63-'02 Config'!$B$10)/P63</f>
        <v/>
      </c>
    </row>
    <row r="64">
      <c r="A64" s="12" t="n">
        <v>59</v>
      </c>
      <c r="B64" s="36" t="n">
        <v>0.5900758953583092</v>
      </c>
      <c r="C64" s="36" t="n">
        <v>0.09504919756440122</v>
      </c>
      <c r="D64" s="36" t="n">
        <v>0.6161657000241213</v>
      </c>
      <c r="E64" s="36" t="n">
        <v>0.1712913040927888</v>
      </c>
      <c r="F64" s="36" t="n">
        <v>0.5649506114724419</v>
      </c>
      <c r="G64" s="36" t="n">
        <v>0.5724305140338497</v>
      </c>
      <c r="H64" s="37">
        <f>SUM(B64:G64)</f>
        <v/>
      </c>
      <c r="I64" s="25">
        <f>B64/$H64</f>
        <v/>
      </c>
      <c r="J64" s="25">
        <f>C64/$H64</f>
        <v/>
      </c>
      <c r="K64" s="25">
        <f>D64/$H64</f>
        <v/>
      </c>
      <c r="L64" s="25">
        <f>E64/$H64</f>
        <v/>
      </c>
      <c r="M64" s="25">
        <f>F64/$H64</f>
        <v/>
      </c>
      <c r="N64" s="25">
        <f>G64/$H64</f>
        <v/>
      </c>
      <c r="O64" s="25">
        <f>SUM(MMULT(I64:N64,'07 Annualised Inputs'!$D$7:$D$12))</f>
        <v/>
      </c>
      <c r="P64" s="25">
        <f>SQRT(SUMPRODUCT(MMULT(I64:N64,'07 Annualised Inputs'!$B$17:$G$22),I64:N64))</f>
        <v/>
      </c>
      <c r="Q64" s="37">
        <f>(O64-'02 Config'!$B$10)/P64</f>
        <v/>
      </c>
    </row>
    <row r="65">
      <c r="A65" s="12" t="n">
        <v>60</v>
      </c>
      <c r="B65" s="36" t="n">
        <v>0.4659851529812273</v>
      </c>
      <c r="C65" s="36" t="n">
        <v>0.5226317755131228</v>
      </c>
      <c r="D65" s="36" t="n">
        <v>0.7639233900065879</v>
      </c>
      <c r="E65" s="36" t="n">
        <v>0.7992447165120666</v>
      </c>
      <c r="F65" s="36" t="n">
        <v>0.4921532155754291</v>
      </c>
      <c r="G65" s="36" t="n">
        <v>0.5995934415226123</v>
      </c>
      <c r="H65" s="37">
        <f>SUM(B65:G65)</f>
        <v/>
      </c>
      <c r="I65" s="25">
        <f>B65/$H65</f>
        <v/>
      </c>
      <c r="J65" s="25">
        <f>C65/$H65</f>
        <v/>
      </c>
      <c r="K65" s="25">
        <f>D65/$H65</f>
        <v/>
      </c>
      <c r="L65" s="25">
        <f>E65/$H65</f>
        <v/>
      </c>
      <c r="M65" s="25">
        <f>F65/$H65</f>
        <v/>
      </c>
      <c r="N65" s="25">
        <f>G65/$H65</f>
        <v/>
      </c>
      <c r="O65" s="25">
        <f>SUM(MMULT(I65:N65,'07 Annualised Inputs'!$D$7:$D$12))</f>
        <v/>
      </c>
      <c r="P65" s="25">
        <f>SQRT(SUMPRODUCT(MMULT(I65:N65,'07 Annualised Inputs'!$B$17:$G$22),I65:N65))</f>
        <v/>
      </c>
      <c r="Q65" s="37">
        <f>(O65-'02 Config'!$B$10)/P65</f>
        <v/>
      </c>
    </row>
    <row r="66">
      <c r="A66" s="12" t="n">
        <v>61</v>
      </c>
      <c r="B66" s="36" t="n">
        <v>0.9312362356901018</v>
      </c>
      <c r="C66" s="36" t="n">
        <v>0.1197335885011228</v>
      </c>
      <c r="D66" s="36" t="n">
        <v>0.1171035659001105</v>
      </c>
      <c r="E66" s="36" t="n">
        <v>0.08770901191076841</v>
      </c>
      <c r="F66" s="36" t="n">
        <v>0.6578632850405278</v>
      </c>
      <c r="G66" s="36" t="n">
        <v>0.4186083007903795</v>
      </c>
      <c r="H66" s="37">
        <f>SUM(B66:G66)</f>
        <v/>
      </c>
      <c r="I66" s="25">
        <f>B66/$H66</f>
        <v/>
      </c>
      <c r="J66" s="25">
        <f>C66/$H66</f>
        <v/>
      </c>
      <c r="K66" s="25">
        <f>D66/$H66</f>
        <v/>
      </c>
      <c r="L66" s="25">
        <f>E66/$H66</f>
        <v/>
      </c>
      <c r="M66" s="25">
        <f>F66/$H66</f>
        <v/>
      </c>
      <c r="N66" s="25">
        <f>G66/$H66</f>
        <v/>
      </c>
      <c r="O66" s="25">
        <f>SUM(MMULT(I66:N66,'07 Annualised Inputs'!$D$7:$D$12))</f>
        <v/>
      </c>
      <c r="P66" s="25">
        <f>SQRT(SUMPRODUCT(MMULT(I66:N66,'07 Annualised Inputs'!$B$17:$G$22),I66:N66))</f>
        <v/>
      </c>
      <c r="Q66" s="37">
        <f>(O66-'02 Config'!$B$10)/P66</f>
        <v/>
      </c>
    </row>
    <row r="67">
      <c r="A67" s="12" t="n">
        <v>62</v>
      </c>
      <c r="B67" s="36" t="n">
        <v>0.7743214161418432</v>
      </c>
      <c r="C67" s="36" t="n">
        <v>0.6712314133085926</v>
      </c>
      <c r="D67" s="36" t="n">
        <v>0.3336377583282382</v>
      </c>
      <c r="E67" s="36" t="n">
        <v>0.8983665473615358</v>
      </c>
      <c r="F67" s="36" t="n">
        <v>0.7625321470706523</v>
      </c>
      <c r="G67" s="36" t="n">
        <v>0.2705349409101757</v>
      </c>
      <c r="H67" s="37">
        <f>SUM(B67:G67)</f>
        <v/>
      </c>
      <c r="I67" s="25">
        <f>B67/$H67</f>
        <v/>
      </c>
      <c r="J67" s="25">
        <f>C67/$H67</f>
        <v/>
      </c>
      <c r="K67" s="25">
        <f>D67/$H67</f>
        <v/>
      </c>
      <c r="L67" s="25">
        <f>E67/$H67</f>
        <v/>
      </c>
      <c r="M67" s="25">
        <f>F67/$H67</f>
        <v/>
      </c>
      <c r="N67" s="25">
        <f>G67/$H67</f>
        <v/>
      </c>
      <c r="O67" s="25">
        <f>SUM(MMULT(I67:N67,'07 Annualised Inputs'!$D$7:$D$12))</f>
        <v/>
      </c>
      <c r="P67" s="25">
        <f>SQRT(SUMPRODUCT(MMULT(I67:N67,'07 Annualised Inputs'!$B$17:$G$22),I67:N67))</f>
        <v/>
      </c>
      <c r="Q67" s="37">
        <f>(O67-'02 Config'!$B$10)/P67</f>
        <v/>
      </c>
    </row>
    <row r="68">
      <c r="A68" s="12" t="n">
        <v>63</v>
      </c>
      <c r="B68" s="36" t="n">
        <v>0.364192017772054</v>
      </c>
      <c r="C68" s="36" t="n">
        <v>0.3144399802042629</v>
      </c>
      <c r="D68" s="36" t="n">
        <v>0.1576116486249997</v>
      </c>
      <c r="E68" s="36" t="n">
        <v>0.1477833725421916</v>
      </c>
      <c r="F68" s="36" t="n">
        <v>0.936127463375744</v>
      </c>
      <c r="G68" s="36" t="n">
        <v>0.4379040371987533</v>
      </c>
      <c r="H68" s="37">
        <f>SUM(B68:G68)</f>
        <v/>
      </c>
      <c r="I68" s="25">
        <f>B68/$H68</f>
        <v/>
      </c>
      <c r="J68" s="25">
        <f>C68/$H68</f>
        <v/>
      </c>
      <c r="K68" s="25">
        <f>D68/$H68</f>
        <v/>
      </c>
      <c r="L68" s="25">
        <f>E68/$H68</f>
        <v/>
      </c>
      <c r="M68" s="25">
        <f>F68/$H68</f>
        <v/>
      </c>
      <c r="N68" s="25">
        <f>G68/$H68</f>
        <v/>
      </c>
      <c r="O68" s="25">
        <f>SUM(MMULT(I68:N68,'07 Annualised Inputs'!$D$7:$D$12))</f>
        <v/>
      </c>
      <c r="P68" s="25">
        <f>SQRT(SUMPRODUCT(MMULT(I68:N68,'07 Annualised Inputs'!$B$17:$G$22),I68:N68))</f>
        <v/>
      </c>
      <c r="Q68" s="37">
        <f>(O68-'02 Config'!$B$10)/P68</f>
        <v/>
      </c>
    </row>
    <row r="69">
      <c r="A69" s="12" t="n">
        <v>64</v>
      </c>
      <c r="B69" s="36" t="n">
        <v>0.3833198227774098</v>
      </c>
      <c r="C69" s="36" t="n">
        <v>0.7296857086773779</v>
      </c>
      <c r="D69" s="36" t="n">
        <v>0.5529930652528999</v>
      </c>
      <c r="E69" s="36" t="n">
        <v>0.9361399868384622</v>
      </c>
      <c r="F69" s="36" t="n">
        <v>0.7803014939093922</v>
      </c>
      <c r="G69" s="36" t="n">
        <v>0.4793695641245403</v>
      </c>
      <c r="H69" s="37">
        <f>SUM(B69:G69)</f>
        <v/>
      </c>
      <c r="I69" s="25">
        <f>B69/$H69</f>
        <v/>
      </c>
      <c r="J69" s="25">
        <f>C69/$H69</f>
        <v/>
      </c>
      <c r="K69" s="25">
        <f>D69/$H69</f>
        <v/>
      </c>
      <c r="L69" s="25">
        <f>E69/$H69</f>
        <v/>
      </c>
      <c r="M69" s="25">
        <f>F69/$H69</f>
        <v/>
      </c>
      <c r="N69" s="25">
        <f>G69/$H69</f>
        <v/>
      </c>
      <c r="O69" s="25">
        <f>SUM(MMULT(I69:N69,'07 Annualised Inputs'!$D$7:$D$12))</f>
        <v/>
      </c>
      <c r="P69" s="25">
        <f>SQRT(SUMPRODUCT(MMULT(I69:N69,'07 Annualised Inputs'!$B$17:$G$22),I69:N69))</f>
        <v/>
      </c>
      <c r="Q69" s="37">
        <f>(O69-'02 Config'!$B$10)/P69</f>
        <v/>
      </c>
    </row>
    <row r="70">
      <c r="A70" s="12" t="n">
        <v>65</v>
      </c>
      <c r="B70" s="36" t="n">
        <v>0.3763594734808262</v>
      </c>
      <c r="C70" s="36" t="n">
        <v>0.986631544924322</v>
      </c>
      <c r="D70" s="36" t="n">
        <v>0.7177602360036435</v>
      </c>
      <c r="E70" s="36" t="n">
        <v>0.9511946600038411</v>
      </c>
      <c r="F70" s="36" t="n">
        <v>0.1184785772170414</v>
      </c>
      <c r="G70" s="36" t="n">
        <v>0.8505336791907826</v>
      </c>
      <c r="H70" s="37">
        <f>SUM(B70:G70)</f>
        <v/>
      </c>
      <c r="I70" s="25">
        <f>B70/$H70</f>
        <v/>
      </c>
      <c r="J70" s="25">
        <f>C70/$H70</f>
        <v/>
      </c>
      <c r="K70" s="25">
        <f>D70/$H70</f>
        <v/>
      </c>
      <c r="L70" s="25">
        <f>E70/$H70</f>
        <v/>
      </c>
      <c r="M70" s="25">
        <f>F70/$H70</f>
        <v/>
      </c>
      <c r="N70" s="25">
        <f>G70/$H70</f>
        <v/>
      </c>
      <c r="O70" s="25">
        <f>SUM(MMULT(I70:N70,'07 Annualised Inputs'!$D$7:$D$12))</f>
        <v/>
      </c>
      <c r="P70" s="25">
        <f>SQRT(SUMPRODUCT(MMULT(I70:N70,'07 Annualised Inputs'!$B$17:$G$22),I70:N70))</f>
        <v/>
      </c>
      <c r="Q70" s="37">
        <f>(O70-'02 Config'!$B$10)/P70</f>
        <v/>
      </c>
    </row>
    <row r="71">
      <c r="A71" s="12" t="n">
        <v>66</v>
      </c>
      <c r="B71" s="36" t="n">
        <v>0.6370738839912076</v>
      </c>
      <c r="C71" s="36" t="n">
        <v>0.1219216783351126</v>
      </c>
      <c r="D71" s="36" t="n">
        <v>0.5882579999692207</v>
      </c>
      <c r="E71" s="36" t="n">
        <v>0.6860963651054488</v>
      </c>
      <c r="F71" s="36" t="n">
        <v>0.01230268588860284</v>
      </c>
      <c r="G71" s="36" t="n">
        <v>0.4543179618417466</v>
      </c>
      <c r="H71" s="37">
        <f>SUM(B71:G71)</f>
        <v/>
      </c>
      <c r="I71" s="25">
        <f>B71/$H71</f>
        <v/>
      </c>
      <c r="J71" s="25">
        <f>C71/$H71</f>
        <v/>
      </c>
      <c r="K71" s="25">
        <f>D71/$H71</f>
        <v/>
      </c>
      <c r="L71" s="25">
        <f>E71/$H71</f>
        <v/>
      </c>
      <c r="M71" s="25">
        <f>F71/$H71</f>
        <v/>
      </c>
      <c r="N71" s="25">
        <f>G71/$H71</f>
        <v/>
      </c>
      <c r="O71" s="25">
        <f>SUM(MMULT(I71:N71,'07 Annualised Inputs'!$D$7:$D$12))</f>
        <v/>
      </c>
      <c r="P71" s="25">
        <f>SQRT(SUMPRODUCT(MMULT(I71:N71,'07 Annualised Inputs'!$B$17:$G$22),I71:N71))</f>
        <v/>
      </c>
      <c r="Q71" s="37">
        <f>(O71-'02 Config'!$B$10)/P71</f>
        <v/>
      </c>
    </row>
    <row r="72">
      <c r="A72" s="12" t="n">
        <v>67</v>
      </c>
      <c r="B72" s="36" t="n">
        <v>0.8253995111963212</v>
      </c>
      <c r="C72" s="36" t="n">
        <v>0.2953590253440899</v>
      </c>
      <c r="D72" s="36" t="n">
        <v>0.4585480817985511</v>
      </c>
      <c r="E72" s="36" t="n">
        <v>0.4423141270678932</v>
      </c>
      <c r="F72" s="36" t="n">
        <v>0.3019273914424916</v>
      </c>
      <c r="G72" s="36" t="n">
        <v>0.9184418955155542</v>
      </c>
      <c r="H72" s="37">
        <f>SUM(B72:G72)</f>
        <v/>
      </c>
      <c r="I72" s="25">
        <f>B72/$H72</f>
        <v/>
      </c>
      <c r="J72" s="25">
        <f>C72/$H72</f>
        <v/>
      </c>
      <c r="K72" s="25">
        <f>D72/$H72</f>
        <v/>
      </c>
      <c r="L72" s="25">
        <f>E72/$H72</f>
        <v/>
      </c>
      <c r="M72" s="25">
        <f>F72/$H72</f>
        <v/>
      </c>
      <c r="N72" s="25">
        <f>G72/$H72</f>
        <v/>
      </c>
      <c r="O72" s="25">
        <f>SUM(MMULT(I72:N72,'07 Annualised Inputs'!$D$7:$D$12))</f>
        <v/>
      </c>
      <c r="P72" s="25">
        <f>SQRT(SUMPRODUCT(MMULT(I72:N72,'07 Annualised Inputs'!$B$17:$G$22),I72:N72))</f>
        <v/>
      </c>
      <c r="Q72" s="37">
        <f>(O72-'02 Config'!$B$10)/P72</f>
        <v/>
      </c>
    </row>
    <row r="73">
      <c r="A73" s="12" t="n">
        <v>68</v>
      </c>
      <c r="B73" s="36" t="n">
        <v>0.7812940354315159</v>
      </c>
      <c r="C73" s="36" t="n">
        <v>0.1105884109961105</v>
      </c>
      <c r="D73" s="36" t="n">
        <v>0.9970346578375731</v>
      </c>
      <c r="E73" s="36" t="n">
        <v>0.8792000243077452</v>
      </c>
      <c r="F73" s="36" t="n">
        <v>0.283908437864039</v>
      </c>
      <c r="G73" s="36" t="n">
        <v>0.8368965796609382</v>
      </c>
      <c r="H73" s="37">
        <f>SUM(B73:G73)</f>
        <v/>
      </c>
      <c r="I73" s="25">
        <f>B73/$H73</f>
        <v/>
      </c>
      <c r="J73" s="25">
        <f>C73/$H73</f>
        <v/>
      </c>
      <c r="K73" s="25">
        <f>D73/$H73</f>
        <v/>
      </c>
      <c r="L73" s="25">
        <f>E73/$H73</f>
        <v/>
      </c>
      <c r="M73" s="25">
        <f>F73/$H73</f>
        <v/>
      </c>
      <c r="N73" s="25">
        <f>G73/$H73</f>
        <v/>
      </c>
      <c r="O73" s="25">
        <f>SUM(MMULT(I73:N73,'07 Annualised Inputs'!$D$7:$D$12))</f>
        <v/>
      </c>
      <c r="P73" s="25">
        <f>SQRT(SUMPRODUCT(MMULT(I73:N73,'07 Annualised Inputs'!$B$17:$G$22),I73:N73))</f>
        <v/>
      </c>
      <c r="Q73" s="37">
        <f>(O73-'02 Config'!$B$10)/P73</f>
        <v/>
      </c>
    </row>
    <row r="74">
      <c r="A74" s="12" t="n">
        <v>69</v>
      </c>
      <c r="B74" s="36" t="n">
        <v>0.1064195318713829</v>
      </c>
      <c r="C74" s="36" t="n">
        <v>0.9991047304742386</v>
      </c>
      <c r="D74" s="36" t="n">
        <v>0.6656847361065369</v>
      </c>
      <c r="E74" s="36" t="n">
        <v>0.650125015558797</v>
      </c>
      <c r="F74" s="36" t="n">
        <v>0.09044072698413275</v>
      </c>
      <c r="G74" s="36" t="n">
        <v>0.8970333988966253</v>
      </c>
      <c r="H74" s="37">
        <f>SUM(B74:G74)</f>
        <v/>
      </c>
      <c r="I74" s="25">
        <f>B74/$H74</f>
        <v/>
      </c>
      <c r="J74" s="25">
        <f>C74/$H74</f>
        <v/>
      </c>
      <c r="K74" s="25">
        <f>D74/$H74</f>
        <v/>
      </c>
      <c r="L74" s="25">
        <f>E74/$H74</f>
        <v/>
      </c>
      <c r="M74" s="25">
        <f>F74/$H74</f>
        <v/>
      </c>
      <c r="N74" s="25">
        <f>G74/$H74</f>
        <v/>
      </c>
      <c r="O74" s="25">
        <f>SUM(MMULT(I74:N74,'07 Annualised Inputs'!$D$7:$D$12))</f>
        <v/>
      </c>
      <c r="P74" s="25">
        <f>SQRT(SUMPRODUCT(MMULT(I74:N74,'07 Annualised Inputs'!$B$17:$G$22),I74:N74))</f>
        <v/>
      </c>
      <c r="Q74" s="37">
        <f>(O74-'02 Config'!$B$10)/P74</f>
        <v/>
      </c>
    </row>
    <row r="75">
      <c r="A75" s="12" t="n">
        <v>70</v>
      </c>
      <c r="B75" s="36" t="n">
        <v>0.02899950320446942</v>
      </c>
      <c r="C75" s="36" t="n">
        <v>0.240828058041147</v>
      </c>
      <c r="D75" s="36" t="n">
        <v>0.143021875166635</v>
      </c>
      <c r="E75" s="36" t="n">
        <v>0.7767679406922186</v>
      </c>
      <c r="F75" s="36" t="n">
        <v>0.1982042272128979</v>
      </c>
      <c r="G75" s="36" t="n">
        <v>0.9106382271308853</v>
      </c>
      <c r="H75" s="37">
        <f>SUM(B75:G75)</f>
        <v/>
      </c>
      <c r="I75" s="25">
        <f>B75/$H75</f>
        <v/>
      </c>
      <c r="J75" s="25">
        <f>C75/$H75</f>
        <v/>
      </c>
      <c r="K75" s="25">
        <f>D75/$H75</f>
        <v/>
      </c>
      <c r="L75" s="25">
        <f>E75/$H75</f>
        <v/>
      </c>
      <c r="M75" s="25">
        <f>F75/$H75</f>
        <v/>
      </c>
      <c r="N75" s="25">
        <f>G75/$H75</f>
        <v/>
      </c>
      <c r="O75" s="25">
        <f>SUM(MMULT(I75:N75,'07 Annualised Inputs'!$D$7:$D$12))</f>
        <v/>
      </c>
      <c r="P75" s="25">
        <f>SQRT(SUMPRODUCT(MMULT(I75:N75,'07 Annualised Inputs'!$B$17:$G$22),I75:N75))</f>
        <v/>
      </c>
      <c r="Q75" s="37">
        <f>(O75-'02 Config'!$B$10)/P75</f>
        <v/>
      </c>
    </row>
    <row r="76">
      <c r="A76" s="12" t="n">
        <v>71</v>
      </c>
      <c r="B76" s="36" t="n">
        <v>0.6562690393274901</v>
      </c>
      <c r="C76" s="36" t="n">
        <v>0.03616271049469622</v>
      </c>
      <c r="D76" s="36" t="n">
        <v>0.005429834128700461</v>
      </c>
      <c r="E76" s="36" t="n">
        <v>0.05165791701439892</v>
      </c>
      <c r="F76" s="36" t="n">
        <v>0.6059251776477277</v>
      </c>
      <c r="G76" s="36" t="n">
        <v>0.8014818108594153</v>
      </c>
      <c r="H76" s="37">
        <f>SUM(B76:G76)</f>
        <v/>
      </c>
      <c r="I76" s="25">
        <f>B76/$H76</f>
        <v/>
      </c>
      <c r="J76" s="25">
        <f>C76/$H76</f>
        <v/>
      </c>
      <c r="K76" s="25">
        <f>D76/$H76</f>
        <v/>
      </c>
      <c r="L76" s="25">
        <f>E76/$H76</f>
        <v/>
      </c>
      <c r="M76" s="25">
        <f>F76/$H76</f>
        <v/>
      </c>
      <c r="N76" s="25">
        <f>G76/$H76</f>
        <v/>
      </c>
      <c r="O76" s="25">
        <f>SUM(MMULT(I76:N76,'07 Annualised Inputs'!$D$7:$D$12))</f>
        <v/>
      </c>
      <c r="P76" s="25">
        <f>SQRT(SUMPRODUCT(MMULT(I76:N76,'07 Annualised Inputs'!$B$17:$G$22),I76:N76))</f>
        <v/>
      </c>
      <c r="Q76" s="37">
        <f>(O76-'02 Config'!$B$10)/P76</f>
        <v/>
      </c>
    </row>
    <row r="77">
      <c r="A77" s="12" t="n">
        <v>72</v>
      </c>
      <c r="B77" s="36" t="n">
        <v>0.2385528206273885</v>
      </c>
      <c r="C77" s="36" t="n">
        <v>0.8494088429230729</v>
      </c>
      <c r="D77" s="36" t="n">
        <v>0.05723194015326039</v>
      </c>
      <c r="E77" s="36" t="n">
        <v>0.8009638536416762</v>
      </c>
      <c r="F77" s="36" t="n">
        <v>0.9277954301722804</v>
      </c>
      <c r="G77" s="36" t="n">
        <v>0.7721083991043806</v>
      </c>
      <c r="H77" s="37">
        <f>SUM(B77:G77)</f>
        <v/>
      </c>
      <c r="I77" s="25">
        <f>B77/$H77</f>
        <v/>
      </c>
      <c r="J77" s="25">
        <f>C77/$H77</f>
        <v/>
      </c>
      <c r="K77" s="25">
        <f>D77/$H77</f>
        <v/>
      </c>
      <c r="L77" s="25">
        <f>E77/$H77</f>
        <v/>
      </c>
      <c r="M77" s="25">
        <f>F77/$H77</f>
        <v/>
      </c>
      <c r="N77" s="25">
        <f>G77/$H77</f>
        <v/>
      </c>
      <c r="O77" s="25">
        <f>SUM(MMULT(I77:N77,'07 Annualised Inputs'!$D$7:$D$12))</f>
        <v/>
      </c>
      <c r="P77" s="25">
        <f>SQRT(SUMPRODUCT(MMULT(I77:N77,'07 Annualised Inputs'!$B$17:$G$22),I77:N77))</f>
        <v/>
      </c>
      <c r="Q77" s="37">
        <f>(O77-'02 Config'!$B$10)/P77</f>
        <v/>
      </c>
    </row>
    <row r="78">
      <c r="A78" s="12" t="n">
        <v>73</v>
      </c>
      <c r="B78" s="36" t="n">
        <v>0.6981207839786372</v>
      </c>
      <c r="C78" s="36" t="n">
        <v>0.8379802186553831</v>
      </c>
      <c r="D78" s="36" t="n">
        <v>0.04015129954706642</v>
      </c>
      <c r="E78" s="36" t="n">
        <v>0.2017821107190554</v>
      </c>
      <c r="F78" s="36" t="n">
        <v>0.1249236793056431</v>
      </c>
      <c r="G78" s="36" t="n">
        <v>0.5045309901929865</v>
      </c>
      <c r="H78" s="37">
        <f>SUM(B78:G78)</f>
        <v/>
      </c>
      <c r="I78" s="25">
        <f>B78/$H78</f>
        <v/>
      </c>
      <c r="J78" s="25">
        <f>C78/$H78</f>
        <v/>
      </c>
      <c r="K78" s="25">
        <f>D78/$H78</f>
        <v/>
      </c>
      <c r="L78" s="25">
        <f>E78/$H78</f>
        <v/>
      </c>
      <c r="M78" s="25">
        <f>F78/$H78</f>
        <v/>
      </c>
      <c r="N78" s="25">
        <f>G78/$H78</f>
        <v/>
      </c>
      <c r="O78" s="25">
        <f>SUM(MMULT(I78:N78,'07 Annualised Inputs'!$D$7:$D$12))</f>
        <v/>
      </c>
      <c r="P78" s="25">
        <f>SQRT(SUMPRODUCT(MMULT(I78:N78,'07 Annualised Inputs'!$B$17:$G$22),I78:N78))</f>
        <v/>
      </c>
      <c r="Q78" s="37">
        <f>(O78-'02 Config'!$B$10)/P78</f>
        <v/>
      </c>
    </row>
    <row r="79">
      <c r="A79" s="12" t="n">
        <v>74</v>
      </c>
      <c r="B79" s="36" t="n">
        <v>0.7451881283288445</v>
      </c>
      <c r="C79" s="36" t="n">
        <v>0.6300118445763987</v>
      </c>
      <c r="D79" s="36" t="n">
        <v>0.851131099761935</v>
      </c>
      <c r="E79" s="36" t="n">
        <v>0.1552129924410909</v>
      </c>
      <c r="F79" s="36" t="n">
        <v>0.7346210919351616</v>
      </c>
      <c r="G79" s="36" t="n">
        <v>0.1930414908689041</v>
      </c>
      <c r="H79" s="37">
        <f>SUM(B79:G79)</f>
        <v/>
      </c>
      <c r="I79" s="25">
        <f>B79/$H79</f>
        <v/>
      </c>
      <c r="J79" s="25">
        <f>C79/$H79</f>
        <v/>
      </c>
      <c r="K79" s="25">
        <f>D79/$H79</f>
        <v/>
      </c>
      <c r="L79" s="25">
        <f>E79/$H79</f>
        <v/>
      </c>
      <c r="M79" s="25">
        <f>F79/$H79</f>
        <v/>
      </c>
      <c r="N79" s="25">
        <f>G79/$H79</f>
        <v/>
      </c>
      <c r="O79" s="25">
        <f>SUM(MMULT(I79:N79,'07 Annualised Inputs'!$D$7:$D$12))</f>
        <v/>
      </c>
      <c r="P79" s="25">
        <f>SQRT(SUMPRODUCT(MMULT(I79:N79,'07 Annualised Inputs'!$B$17:$G$22),I79:N79))</f>
        <v/>
      </c>
      <c r="Q79" s="37">
        <f>(O79-'02 Config'!$B$10)/P79</f>
        <v/>
      </c>
    </row>
    <row r="80">
      <c r="A80" s="12" t="n">
        <v>75</v>
      </c>
      <c r="B80" s="36" t="n">
        <v>0.2707587513178003</v>
      </c>
      <c r="C80" s="36" t="n">
        <v>0.7099046972813039</v>
      </c>
      <c r="D80" s="36" t="n">
        <v>0.9802047848986818</v>
      </c>
      <c r="E80" s="36" t="n">
        <v>0.6115436059770696</v>
      </c>
      <c r="F80" s="36" t="n">
        <v>0.0545003149912956</v>
      </c>
      <c r="G80" s="36" t="n">
        <v>0.6163089699275328</v>
      </c>
      <c r="H80" s="37">
        <f>SUM(B80:G80)</f>
        <v/>
      </c>
      <c r="I80" s="25">
        <f>B80/$H80</f>
        <v/>
      </c>
      <c r="J80" s="25">
        <f>C80/$H80</f>
        <v/>
      </c>
      <c r="K80" s="25">
        <f>D80/$H80</f>
        <v/>
      </c>
      <c r="L80" s="25">
        <f>E80/$H80</f>
        <v/>
      </c>
      <c r="M80" s="25">
        <f>F80/$H80</f>
        <v/>
      </c>
      <c r="N80" s="25">
        <f>G80/$H80</f>
        <v/>
      </c>
      <c r="O80" s="25">
        <f>SUM(MMULT(I80:N80,'07 Annualised Inputs'!$D$7:$D$12))</f>
        <v/>
      </c>
      <c r="P80" s="25">
        <f>SQRT(SUMPRODUCT(MMULT(I80:N80,'07 Annualised Inputs'!$B$17:$G$22),I80:N80))</f>
        <v/>
      </c>
      <c r="Q80" s="37">
        <f>(O80-'02 Config'!$B$10)/P80</f>
        <v/>
      </c>
    </row>
    <row r="81">
      <c r="A81" s="12" t="n">
        <v>76</v>
      </c>
      <c r="B81" s="36" t="n">
        <v>0.0423505515801671</v>
      </c>
      <c r="C81" s="36" t="n">
        <v>0.8841457113668172</v>
      </c>
      <c r="D81" s="36" t="n">
        <v>0.7095782851006207</v>
      </c>
      <c r="E81" s="36" t="n">
        <v>0.1731278464225032</v>
      </c>
      <c r="F81" s="36" t="n">
        <v>0.09172100582419807</v>
      </c>
      <c r="G81" s="36" t="n">
        <v>0.183533228880319</v>
      </c>
      <c r="H81" s="37">
        <f>SUM(B81:G81)</f>
        <v/>
      </c>
      <c r="I81" s="25">
        <f>B81/$H81</f>
        <v/>
      </c>
      <c r="J81" s="25">
        <f>C81/$H81</f>
        <v/>
      </c>
      <c r="K81" s="25">
        <f>D81/$H81</f>
        <v/>
      </c>
      <c r="L81" s="25">
        <f>E81/$H81</f>
        <v/>
      </c>
      <c r="M81" s="25">
        <f>F81/$H81</f>
        <v/>
      </c>
      <c r="N81" s="25">
        <f>G81/$H81</f>
        <v/>
      </c>
      <c r="O81" s="25">
        <f>SUM(MMULT(I81:N81,'07 Annualised Inputs'!$D$7:$D$12))</f>
        <v/>
      </c>
      <c r="P81" s="25">
        <f>SQRT(SUMPRODUCT(MMULT(I81:N81,'07 Annualised Inputs'!$B$17:$G$22),I81:N81))</f>
        <v/>
      </c>
      <c r="Q81" s="37">
        <f>(O81-'02 Config'!$B$10)/P81</f>
        <v/>
      </c>
    </row>
    <row r="82">
      <c r="A82" s="12" t="n">
        <v>77</v>
      </c>
      <c r="B82" s="36" t="n">
        <v>0.9800271795541925</v>
      </c>
      <c r="C82" s="36" t="n">
        <v>0.4585606424584898</v>
      </c>
      <c r="D82" s="36" t="n">
        <v>0.784080948341408</v>
      </c>
      <c r="E82" s="36" t="n">
        <v>0.6364083421077769</v>
      </c>
      <c r="F82" s="36" t="n">
        <v>0.5724131499586373</v>
      </c>
      <c r="G82" s="36" t="n">
        <v>0.1451302546650497</v>
      </c>
      <c r="H82" s="37">
        <f>SUM(B82:G82)</f>
        <v/>
      </c>
      <c r="I82" s="25">
        <f>B82/$H82</f>
        <v/>
      </c>
      <c r="J82" s="25">
        <f>C82/$H82</f>
        <v/>
      </c>
      <c r="K82" s="25">
        <f>D82/$H82</f>
        <v/>
      </c>
      <c r="L82" s="25">
        <f>E82/$H82</f>
        <v/>
      </c>
      <c r="M82" s="25">
        <f>F82/$H82</f>
        <v/>
      </c>
      <c r="N82" s="25">
        <f>G82/$H82</f>
        <v/>
      </c>
      <c r="O82" s="25">
        <f>SUM(MMULT(I82:N82,'07 Annualised Inputs'!$D$7:$D$12))</f>
        <v/>
      </c>
      <c r="P82" s="25">
        <f>SQRT(SUMPRODUCT(MMULT(I82:N82,'07 Annualised Inputs'!$B$17:$G$22),I82:N82))</f>
        <v/>
      </c>
      <c r="Q82" s="37">
        <f>(O82-'02 Config'!$B$10)/P82</f>
        <v/>
      </c>
    </row>
    <row r="83">
      <c r="A83" s="12" t="n">
        <v>78</v>
      </c>
      <c r="B83" s="36" t="n">
        <v>0.9460244535580951</v>
      </c>
      <c r="C83" s="36" t="n">
        <v>0.3013426325147179</v>
      </c>
      <c r="D83" s="36" t="n">
        <v>0.5780172158075422</v>
      </c>
      <c r="E83" s="36" t="n">
        <v>0.6997759445890661</v>
      </c>
      <c r="F83" s="36" t="n">
        <v>0.6492331552453089</v>
      </c>
      <c r="G83" s="36" t="n">
        <v>0.9405944096955184</v>
      </c>
      <c r="H83" s="37">
        <f>SUM(B83:G83)</f>
        <v/>
      </c>
      <c r="I83" s="25">
        <f>B83/$H83</f>
        <v/>
      </c>
      <c r="J83" s="25">
        <f>C83/$H83</f>
        <v/>
      </c>
      <c r="K83" s="25">
        <f>D83/$H83</f>
        <v/>
      </c>
      <c r="L83" s="25">
        <f>E83/$H83</f>
        <v/>
      </c>
      <c r="M83" s="25">
        <f>F83/$H83</f>
        <v/>
      </c>
      <c r="N83" s="25">
        <f>G83/$H83</f>
        <v/>
      </c>
      <c r="O83" s="25">
        <f>SUM(MMULT(I83:N83,'07 Annualised Inputs'!$D$7:$D$12))</f>
        <v/>
      </c>
      <c r="P83" s="25">
        <f>SQRT(SUMPRODUCT(MMULT(I83:N83,'07 Annualised Inputs'!$B$17:$G$22),I83:N83))</f>
        <v/>
      </c>
      <c r="Q83" s="37">
        <f>(O83-'02 Config'!$B$10)/P83</f>
        <v/>
      </c>
    </row>
    <row r="84">
      <c r="A84" s="12" t="n">
        <v>79</v>
      </c>
      <c r="B84" s="36" t="n">
        <v>0.148438989920058</v>
      </c>
      <c r="C84" s="36" t="n">
        <v>0.5083527384469421</v>
      </c>
      <c r="D84" s="36" t="n">
        <v>0.404034390740766</v>
      </c>
      <c r="E84" s="36" t="n">
        <v>0.4741687294826181</v>
      </c>
      <c r="F84" s="36" t="n">
        <v>0.1192175261977446</v>
      </c>
      <c r="G84" s="36" t="n">
        <v>0.1340946098727653</v>
      </c>
      <c r="H84" s="37">
        <f>SUM(B84:G84)</f>
        <v/>
      </c>
      <c r="I84" s="25">
        <f>B84/$H84</f>
        <v/>
      </c>
      <c r="J84" s="25">
        <f>C84/$H84</f>
        <v/>
      </c>
      <c r="K84" s="25">
        <f>D84/$H84</f>
        <v/>
      </c>
      <c r="L84" s="25">
        <f>E84/$H84</f>
        <v/>
      </c>
      <c r="M84" s="25">
        <f>F84/$H84</f>
        <v/>
      </c>
      <c r="N84" s="25">
        <f>G84/$H84</f>
        <v/>
      </c>
      <c r="O84" s="25">
        <f>SUM(MMULT(I84:N84,'07 Annualised Inputs'!$D$7:$D$12))</f>
        <v/>
      </c>
      <c r="P84" s="25">
        <f>SQRT(SUMPRODUCT(MMULT(I84:N84,'07 Annualised Inputs'!$B$17:$G$22),I84:N84))</f>
        <v/>
      </c>
      <c r="Q84" s="37">
        <f>(O84-'02 Config'!$B$10)/P84</f>
        <v/>
      </c>
    </row>
    <row r="85">
      <c r="A85" s="12" t="n">
        <v>80</v>
      </c>
      <c r="B85" s="36" t="n">
        <v>0.2780755457812574</v>
      </c>
      <c r="C85" s="36" t="n">
        <v>0.3047046037608313</v>
      </c>
      <c r="D85" s="36" t="n">
        <v>0.42790321368135</v>
      </c>
      <c r="E85" s="36" t="n">
        <v>0.6109875470366283</v>
      </c>
      <c r="F85" s="36" t="n">
        <v>0.634629117418263</v>
      </c>
      <c r="G85" s="36" t="n">
        <v>0.4118108965855702</v>
      </c>
      <c r="H85" s="37">
        <f>SUM(B85:G85)</f>
        <v/>
      </c>
      <c r="I85" s="25">
        <f>B85/$H85</f>
        <v/>
      </c>
      <c r="J85" s="25">
        <f>C85/$H85</f>
        <v/>
      </c>
      <c r="K85" s="25">
        <f>D85/$H85</f>
        <v/>
      </c>
      <c r="L85" s="25">
        <f>E85/$H85</f>
        <v/>
      </c>
      <c r="M85" s="25">
        <f>F85/$H85</f>
        <v/>
      </c>
      <c r="N85" s="25">
        <f>G85/$H85</f>
        <v/>
      </c>
      <c r="O85" s="25">
        <f>SUM(MMULT(I85:N85,'07 Annualised Inputs'!$D$7:$D$12))</f>
        <v/>
      </c>
      <c r="P85" s="25">
        <f>SQRT(SUMPRODUCT(MMULT(I85:N85,'07 Annualised Inputs'!$B$17:$G$22),I85:N85))</f>
        <v/>
      </c>
      <c r="Q85" s="37">
        <f>(O85-'02 Config'!$B$10)/P85</f>
        <v/>
      </c>
    </row>
    <row r="86">
      <c r="A86" s="12" t="n">
        <v>81</v>
      </c>
      <c r="B86" s="36" t="n">
        <v>0.4087831094286971</v>
      </c>
      <c r="C86" s="36" t="n">
        <v>0.217628526696962</v>
      </c>
      <c r="D86" s="36" t="n">
        <v>0.5883062484090082</v>
      </c>
      <c r="E86" s="36" t="n">
        <v>0.3170409113172379</v>
      </c>
      <c r="F86" s="36" t="n">
        <v>0.0360598342773637</v>
      </c>
      <c r="G86" s="36" t="n">
        <v>0.4184000441568604</v>
      </c>
      <c r="H86" s="37">
        <f>SUM(B86:G86)</f>
        <v/>
      </c>
      <c r="I86" s="25">
        <f>B86/$H86</f>
        <v/>
      </c>
      <c r="J86" s="25">
        <f>C86/$H86</f>
        <v/>
      </c>
      <c r="K86" s="25">
        <f>D86/$H86</f>
        <v/>
      </c>
      <c r="L86" s="25">
        <f>E86/$H86</f>
        <v/>
      </c>
      <c r="M86" s="25">
        <f>F86/$H86</f>
        <v/>
      </c>
      <c r="N86" s="25">
        <f>G86/$H86</f>
        <v/>
      </c>
      <c r="O86" s="25">
        <f>SUM(MMULT(I86:N86,'07 Annualised Inputs'!$D$7:$D$12))</f>
        <v/>
      </c>
      <c r="P86" s="25">
        <f>SQRT(SUMPRODUCT(MMULT(I86:N86,'07 Annualised Inputs'!$B$17:$G$22),I86:N86))</f>
        <v/>
      </c>
      <c r="Q86" s="37">
        <f>(O86-'02 Config'!$B$10)/P86</f>
        <v/>
      </c>
    </row>
    <row r="87">
      <c r="A87" s="12" t="n">
        <v>82</v>
      </c>
      <c r="B87" s="36" t="n">
        <v>0.4741326750901703</v>
      </c>
      <c r="C87" s="36" t="n">
        <v>0.225592868204211</v>
      </c>
      <c r="D87" s="36" t="n">
        <v>0.5724579331221157</v>
      </c>
      <c r="E87" s="36" t="n">
        <v>0.5657719004319209</v>
      </c>
      <c r="F87" s="36" t="n">
        <v>0.7020021811103714</v>
      </c>
      <c r="G87" s="36" t="n">
        <v>0.64794848220121</v>
      </c>
      <c r="H87" s="37">
        <f>SUM(B87:G87)</f>
        <v/>
      </c>
      <c r="I87" s="25">
        <f>B87/$H87</f>
        <v/>
      </c>
      <c r="J87" s="25">
        <f>C87/$H87</f>
        <v/>
      </c>
      <c r="K87" s="25">
        <f>D87/$H87</f>
        <v/>
      </c>
      <c r="L87" s="25">
        <f>E87/$H87</f>
        <v/>
      </c>
      <c r="M87" s="25">
        <f>F87/$H87</f>
        <v/>
      </c>
      <c r="N87" s="25">
        <f>G87/$H87</f>
        <v/>
      </c>
      <c r="O87" s="25">
        <f>SUM(MMULT(I87:N87,'07 Annualised Inputs'!$D$7:$D$12))</f>
        <v/>
      </c>
      <c r="P87" s="25">
        <f>SQRT(SUMPRODUCT(MMULT(I87:N87,'07 Annualised Inputs'!$B$17:$G$22),I87:N87))</f>
        <v/>
      </c>
      <c r="Q87" s="37">
        <f>(O87-'02 Config'!$B$10)/P87</f>
        <v/>
      </c>
    </row>
    <row r="88">
      <c r="A88" s="12" t="n">
        <v>83</v>
      </c>
      <c r="B88" s="36" t="n">
        <v>0.6524330565210316</v>
      </c>
      <c r="C88" s="36" t="n">
        <v>0.3162141518240431</v>
      </c>
      <c r="D88" s="36" t="n">
        <v>0.7874322219859539</v>
      </c>
      <c r="E88" s="36" t="n">
        <v>0.5491443835996794</v>
      </c>
      <c r="F88" s="36" t="n">
        <v>0.4314181951798901</v>
      </c>
      <c r="G88" s="36" t="n">
        <v>0.6260124809410571</v>
      </c>
      <c r="H88" s="37">
        <f>SUM(B88:G88)</f>
        <v/>
      </c>
      <c r="I88" s="25">
        <f>B88/$H88</f>
        <v/>
      </c>
      <c r="J88" s="25">
        <f>C88/$H88</f>
        <v/>
      </c>
      <c r="K88" s="25">
        <f>D88/$H88</f>
        <v/>
      </c>
      <c r="L88" s="25">
        <f>E88/$H88</f>
        <v/>
      </c>
      <c r="M88" s="25">
        <f>F88/$H88</f>
        <v/>
      </c>
      <c r="N88" s="25">
        <f>G88/$H88</f>
        <v/>
      </c>
      <c r="O88" s="25">
        <f>SUM(MMULT(I88:N88,'07 Annualised Inputs'!$D$7:$D$12))</f>
        <v/>
      </c>
      <c r="P88" s="25">
        <f>SQRT(SUMPRODUCT(MMULT(I88:N88,'07 Annualised Inputs'!$B$17:$G$22),I88:N88))</f>
        <v/>
      </c>
      <c r="Q88" s="37">
        <f>(O88-'02 Config'!$B$10)/P88</f>
        <v/>
      </c>
    </row>
    <row r="89">
      <c r="A89" s="12" t="n">
        <v>84</v>
      </c>
      <c r="B89" s="36" t="n">
        <v>0.3606573344502543</v>
      </c>
      <c r="C89" s="36" t="n">
        <v>0.5127392446067582</v>
      </c>
      <c r="D89" s="36" t="n">
        <v>0.7367056884822203</v>
      </c>
      <c r="E89" s="36" t="n">
        <v>0.8864028867237077</v>
      </c>
      <c r="F89" s="36" t="n">
        <v>0.9210571972951916</v>
      </c>
      <c r="G89" s="36" t="n">
        <v>0.5036329251830992</v>
      </c>
      <c r="H89" s="37">
        <f>SUM(B89:G89)</f>
        <v/>
      </c>
      <c r="I89" s="25">
        <f>B89/$H89</f>
        <v/>
      </c>
      <c r="J89" s="25">
        <f>C89/$H89</f>
        <v/>
      </c>
      <c r="K89" s="25">
        <f>D89/$H89</f>
        <v/>
      </c>
      <c r="L89" s="25">
        <f>E89/$H89</f>
        <v/>
      </c>
      <c r="M89" s="25">
        <f>F89/$H89</f>
        <v/>
      </c>
      <c r="N89" s="25">
        <f>G89/$H89</f>
        <v/>
      </c>
      <c r="O89" s="25">
        <f>SUM(MMULT(I89:N89,'07 Annualised Inputs'!$D$7:$D$12))</f>
        <v/>
      </c>
      <c r="P89" s="25">
        <f>SQRT(SUMPRODUCT(MMULT(I89:N89,'07 Annualised Inputs'!$B$17:$G$22),I89:N89))</f>
        <v/>
      </c>
      <c r="Q89" s="37">
        <f>(O89-'02 Config'!$B$10)/P89</f>
        <v/>
      </c>
    </row>
    <row r="90">
      <c r="A90" s="12" t="n">
        <v>85</v>
      </c>
      <c r="B90" s="36" t="n">
        <v>0.5202751147405691</v>
      </c>
      <c r="C90" s="36" t="n">
        <v>0.7998704107638365</v>
      </c>
      <c r="D90" s="36" t="n">
        <v>0.3144506917442013</v>
      </c>
      <c r="E90" s="36" t="n">
        <v>0.8373823623450686</v>
      </c>
      <c r="F90" s="36" t="n">
        <v>0.4941416465174234</v>
      </c>
      <c r="G90" s="36" t="n">
        <v>0.1158567243352684</v>
      </c>
      <c r="H90" s="37">
        <f>SUM(B90:G90)</f>
        <v/>
      </c>
      <c r="I90" s="25">
        <f>B90/$H90</f>
        <v/>
      </c>
      <c r="J90" s="25">
        <f>C90/$H90</f>
        <v/>
      </c>
      <c r="K90" s="25">
        <f>D90/$H90</f>
        <v/>
      </c>
      <c r="L90" s="25">
        <f>E90/$H90</f>
        <v/>
      </c>
      <c r="M90" s="25">
        <f>F90/$H90</f>
        <v/>
      </c>
      <c r="N90" s="25">
        <f>G90/$H90</f>
        <v/>
      </c>
      <c r="O90" s="25">
        <f>SUM(MMULT(I90:N90,'07 Annualised Inputs'!$D$7:$D$12))</f>
        <v/>
      </c>
      <c r="P90" s="25">
        <f>SQRT(SUMPRODUCT(MMULT(I90:N90,'07 Annualised Inputs'!$B$17:$G$22),I90:N90))</f>
        <v/>
      </c>
      <c r="Q90" s="37">
        <f>(O90-'02 Config'!$B$10)/P90</f>
        <v/>
      </c>
    </row>
    <row r="91">
      <c r="A91" s="12" t="n">
        <v>86</v>
      </c>
      <c r="B91" s="36" t="n">
        <v>0.0720591470729437</v>
      </c>
      <c r="C91" s="36" t="n">
        <v>0.8419932110394631</v>
      </c>
      <c r="D91" s="36" t="n">
        <v>0.0555679169068779</v>
      </c>
      <c r="E91" s="36" t="n">
        <v>0.2806114361336559</v>
      </c>
      <c r="F91" s="36" t="n">
        <v>0.3341300405015458</v>
      </c>
      <c r="G91" s="36" t="n">
        <v>0.1729944451915938</v>
      </c>
      <c r="H91" s="37">
        <f>SUM(B91:G91)</f>
        <v/>
      </c>
      <c r="I91" s="25">
        <f>B91/$H91</f>
        <v/>
      </c>
      <c r="J91" s="25">
        <f>C91/$H91</f>
        <v/>
      </c>
      <c r="K91" s="25">
        <f>D91/$H91</f>
        <v/>
      </c>
      <c r="L91" s="25">
        <f>E91/$H91</f>
        <v/>
      </c>
      <c r="M91" s="25">
        <f>F91/$H91</f>
        <v/>
      </c>
      <c r="N91" s="25">
        <f>G91/$H91</f>
        <v/>
      </c>
      <c r="O91" s="25">
        <f>SUM(MMULT(I91:N91,'07 Annualised Inputs'!$D$7:$D$12))</f>
        <v/>
      </c>
      <c r="P91" s="25">
        <f>SQRT(SUMPRODUCT(MMULT(I91:N91,'07 Annualised Inputs'!$B$17:$G$22),I91:N91))</f>
        <v/>
      </c>
      <c r="Q91" s="37">
        <f>(O91-'02 Config'!$B$10)/P91</f>
        <v/>
      </c>
    </row>
    <row r="92">
      <c r="A92" s="12" t="n">
        <v>87</v>
      </c>
      <c r="B92" s="36" t="n">
        <v>0.3138933698019892</v>
      </c>
      <c r="C92" s="36" t="n">
        <v>0.7426925667250857</v>
      </c>
      <c r="D92" s="36" t="n">
        <v>0.01468284356007077</v>
      </c>
      <c r="E92" s="36" t="n">
        <v>0.8271734245206864</v>
      </c>
      <c r="F92" s="36" t="n">
        <v>0.8565480235745582</v>
      </c>
      <c r="G92" s="36" t="n">
        <v>0.3722615731915482</v>
      </c>
      <c r="H92" s="37">
        <f>SUM(B92:G92)</f>
        <v/>
      </c>
      <c r="I92" s="25">
        <f>B92/$H92</f>
        <v/>
      </c>
      <c r="J92" s="25">
        <f>C92/$H92</f>
        <v/>
      </c>
      <c r="K92" s="25">
        <f>D92/$H92</f>
        <v/>
      </c>
      <c r="L92" s="25">
        <f>E92/$H92</f>
        <v/>
      </c>
      <c r="M92" s="25">
        <f>F92/$H92</f>
        <v/>
      </c>
      <c r="N92" s="25">
        <f>G92/$H92</f>
        <v/>
      </c>
      <c r="O92" s="25">
        <f>SUM(MMULT(I92:N92,'07 Annualised Inputs'!$D$7:$D$12))</f>
        <v/>
      </c>
      <c r="P92" s="25">
        <f>SQRT(SUMPRODUCT(MMULT(I92:N92,'07 Annualised Inputs'!$B$17:$G$22),I92:N92))</f>
        <v/>
      </c>
      <c r="Q92" s="37">
        <f>(O92-'02 Config'!$B$10)/P92</f>
        <v/>
      </c>
    </row>
    <row r="93">
      <c r="A93" s="12" t="n">
        <v>88</v>
      </c>
      <c r="B93" s="36" t="n">
        <v>0.1536128990606348</v>
      </c>
      <c r="C93" s="36" t="n">
        <v>0.6008404079450809</v>
      </c>
      <c r="D93" s="36" t="n">
        <v>0.1196725558648943</v>
      </c>
      <c r="E93" s="36" t="n">
        <v>0.3649193610782525</v>
      </c>
      <c r="F93" s="36" t="n">
        <v>0.9584291809009724</v>
      </c>
      <c r="G93" s="36" t="n">
        <v>0.9954644725836371</v>
      </c>
      <c r="H93" s="37">
        <f>SUM(B93:G93)</f>
        <v/>
      </c>
      <c r="I93" s="25">
        <f>B93/$H93</f>
        <v/>
      </c>
      <c r="J93" s="25">
        <f>C93/$H93</f>
        <v/>
      </c>
      <c r="K93" s="25">
        <f>D93/$H93</f>
        <v/>
      </c>
      <c r="L93" s="25">
        <f>E93/$H93</f>
        <v/>
      </c>
      <c r="M93" s="25">
        <f>F93/$H93</f>
        <v/>
      </c>
      <c r="N93" s="25">
        <f>G93/$H93</f>
        <v/>
      </c>
      <c r="O93" s="25">
        <f>SUM(MMULT(I93:N93,'07 Annualised Inputs'!$D$7:$D$12))</f>
        <v/>
      </c>
      <c r="P93" s="25">
        <f>SQRT(SUMPRODUCT(MMULT(I93:N93,'07 Annualised Inputs'!$B$17:$G$22),I93:N93))</f>
        <v/>
      </c>
      <c r="Q93" s="37">
        <f>(O93-'02 Config'!$B$10)/P93</f>
        <v/>
      </c>
    </row>
    <row r="94">
      <c r="A94" s="12" t="n">
        <v>89</v>
      </c>
      <c r="B94" s="36" t="n">
        <v>0.7721048913545856</v>
      </c>
      <c r="C94" s="36" t="n">
        <v>0.3109615099207662</v>
      </c>
      <c r="D94" s="36" t="n">
        <v>0.6876650491660925</v>
      </c>
      <c r="E94" s="36" t="n">
        <v>0.7054063654840127</v>
      </c>
      <c r="F94" s="36" t="n">
        <v>0.3878416951636497</v>
      </c>
      <c r="G94" s="36" t="n">
        <v>0.6408886345861594</v>
      </c>
      <c r="H94" s="37">
        <f>SUM(B94:G94)</f>
        <v/>
      </c>
      <c r="I94" s="25">
        <f>B94/$H94</f>
        <v/>
      </c>
      <c r="J94" s="25">
        <f>C94/$H94</f>
        <v/>
      </c>
      <c r="K94" s="25">
        <f>D94/$H94</f>
        <v/>
      </c>
      <c r="L94" s="25">
        <f>E94/$H94</f>
        <v/>
      </c>
      <c r="M94" s="25">
        <f>F94/$H94</f>
        <v/>
      </c>
      <c r="N94" s="25">
        <f>G94/$H94</f>
        <v/>
      </c>
      <c r="O94" s="25">
        <f>SUM(MMULT(I94:N94,'07 Annualised Inputs'!$D$7:$D$12))</f>
        <v/>
      </c>
      <c r="P94" s="25">
        <f>SQRT(SUMPRODUCT(MMULT(I94:N94,'07 Annualised Inputs'!$B$17:$G$22),I94:N94))</f>
        <v/>
      </c>
      <c r="Q94" s="37">
        <f>(O94-'02 Config'!$B$10)/P94</f>
        <v/>
      </c>
    </row>
    <row r="95">
      <c r="A95" s="12" t="n">
        <v>90</v>
      </c>
      <c r="B95" s="36" t="n">
        <v>0.01072764497567624</v>
      </c>
      <c r="C95" s="36" t="n">
        <v>0.2090576586022415</v>
      </c>
      <c r="D95" s="36" t="n">
        <v>0.5250883029672612</v>
      </c>
      <c r="E95" s="36" t="n">
        <v>0.1637513042582959</v>
      </c>
      <c r="F95" s="36" t="n">
        <v>0.1659068678765336</v>
      </c>
      <c r="G95" s="36" t="n">
        <v>0.8363042905502379</v>
      </c>
      <c r="H95" s="37">
        <f>SUM(B95:G95)</f>
        <v/>
      </c>
      <c r="I95" s="25">
        <f>B95/$H95</f>
        <v/>
      </c>
      <c r="J95" s="25">
        <f>C95/$H95</f>
        <v/>
      </c>
      <c r="K95" s="25">
        <f>D95/$H95</f>
        <v/>
      </c>
      <c r="L95" s="25">
        <f>E95/$H95</f>
        <v/>
      </c>
      <c r="M95" s="25">
        <f>F95/$H95</f>
        <v/>
      </c>
      <c r="N95" s="25">
        <f>G95/$H95</f>
        <v/>
      </c>
      <c r="O95" s="25">
        <f>SUM(MMULT(I95:N95,'07 Annualised Inputs'!$D$7:$D$12))</f>
        <v/>
      </c>
      <c r="P95" s="25">
        <f>SQRT(SUMPRODUCT(MMULT(I95:N95,'07 Annualised Inputs'!$B$17:$G$22),I95:N95))</f>
        <v/>
      </c>
      <c r="Q95" s="37">
        <f>(O95-'02 Config'!$B$10)/P95</f>
        <v/>
      </c>
    </row>
    <row r="96">
      <c r="A96" s="12" t="n">
        <v>91</v>
      </c>
      <c r="B96" s="36" t="n">
        <v>0.9891330026836055</v>
      </c>
      <c r="C96" s="36" t="n">
        <v>0.5559694280284484</v>
      </c>
      <c r="D96" s="36" t="n">
        <v>0.8390697308817134</v>
      </c>
      <c r="E96" s="36" t="n">
        <v>0.9903216643262726</v>
      </c>
      <c r="F96" s="36" t="n">
        <v>0.1415958885687747</v>
      </c>
      <c r="G96" s="36" t="n">
        <v>0.4482456132543511</v>
      </c>
      <c r="H96" s="37">
        <f>SUM(B96:G96)</f>
        <v/>
      </c>
      <c r="I96" s="25">
        <f>B96/$H96</f>
        <v/>
      </c>
      <c r="J96" s="25">
        <f>C96/$H96</f>
        <v/>
      </c>
      <c r="K96" s="25">
        <f>D96/$H96</f>
        <v/>
      </c>
      <c r="L96" s="25">
        <f>E96/$H96</f>
        <v/>
      </c>
      <c r="M96" s="25">
        <f>F96/$H96</f>
        <v/>
      </c>
      <c r="N96" s="25">
        <f>G96/$H96</f>
        <v/>
      </c>
      <c r="O96" s="25">
        <f>SUM(MMULT(I96:N96,'07 Annualised Inputs'!$D$7:$D$12))</f>
        <v/>
      </c>
      <c r="P96" s="25">
        <f>SQRT(SUMPRODUCT(MMULT(I96:N96,'07 Annualised Inputs'!$B$17:$G$22),I96:N96))</f>
        <v/>
      </c>
      <c r="Q96" s="37">
        <f>(O96-'02 Config'!$B$10)/P96</f>
        <v/>
      </c>
    </row>
    <row r="97">
      <c r="A97" s="12" t="n">
        <v>92</v>
      </c>
      <c r="B97" s="36" t="n">
        <v>0.3925727158419199</v>
      </c>
      <c r="C97" s="36" t="n">
        <v>0.08004928364618502</v>
      </c>
      <c r="D97" s="36" t="n">
        <v>0.7553301727947445</v>
      </c>
      <c r="E97" s="36" t="n">
        <v>0.433779027322593</v>
      </c>
      <c r="F97" s="36" t="n">
        <v>0.4693269341904013</v>
      </c>
      <c r="G97" s="36" t="n">
        <v>0.1506729738132402</v>
      </c>
      <c r="H97" s="37">
        <f>SUM(B97:G97)</f>
        <v/>
      </c>
      <c r="I97" s="25">
        <f>B97/$H97</f>
        <v/>
      </c>
      <c r="J97" s="25">
        <f>C97/$H97</f>
        <v/>
      </c>
      <c r="K97" s="25">
        <f>D97/$H97</f>
        <v/>
      </c>
      <c r="L97" s="25">
        <f>E97/$H97</f>
        <v/>
      </c>
      <c r="M97" s="25">
        <f>F97/$H97</f>
        <v/>
      </c>
      <c r="N97" s="25">
        <f>G97/$H97</f>
        <v/>
      </c>
      <c r="O97" s="25">
        <f>SUM(MMULT(I97:N97,'07 Annualised Inputs'!$D$7:$D$12))</f>
        <v/>
      </c>
      <c r="P97" s="25">
        <f>SQRT(SUMPRODUCT(MMULT(I97:N97,'07 Annualised Inputs'!$B$17:$G$22),I97:N97))</f>
        <v/>
      </c>
      <c r="Q97" s="37">
        <f>(O97-'02 Config'!$B$10)/P97</f>
        <v/>
      </c>
    </row>
    <row r="98">
      <c r="A98" s="12" t="n">
        <v>93</v>
      </c>
      <c r="B98" s="36" t="n">
        <v>0.1809266522308681</v>
      </c>
      <c r="C98" s="36" t="n">
        <v>0.907103622156215</v>
      </c>
      <c r="D98" s="36" t="n">
        <v>0.04464908897427888</v>
      </c>
      <c r="E98" s="36" t="n">
        <v>0.2328522849437062</v>
      </c>
      <c r="F98" s="36" t="n">
        <v>0.2920593303145284</v>
      </c>
      <c r="G98" s="36" t="n">
        <v>0.4901975424015864</v>
      </c>
      <c r="H98" s="37">
        <f>SUM(B98:G98)</f>
        <v/>
      </c>
      <c r="I98" s="25">
        <f>B98/$H98</f>
        <v/>
      </c>
      <c r="J98" s="25">
        <f>C98/$H98</f>
        <v/>
      </c>
      <c r="K98" s="25">
        <f>D98/$H98</f>
        <v/>
      </c>
      <c r="L98" s="25">
        <f>E98/$H98</f>
        <v/>
      </c>
      <c r="M98" s="25">
        <f>F98/$H98</f>
        <v/>
      </c>
      <c r="N98" s="25">
        <f>G98/$H98</f>
        <v/>
      </c>
      <c r="O98" s="25">
        <f>SUM(MMULT(I98:N98,'07 Annualised Inputs'!$D$7:$D$12))</f>
        <v/>
      </c>
      <c r="P98" s="25">
        <f>SQRT(SUMPRODUCT(MMULT(I98:N98,'07 Annualised Inputs'!$B$17:$G$22),I98:N98))</f>
        <v/>
      </c>
      <c r="Q98" s="37">
        <f>(O98-'02 Config'!$B$10)/P98</f>
        <v/>
      </c>
    </row>
    <row r="99">
      <c r="A99" s="12" t="n">
        <v>94</v>
      </c>
      <c r="B99" s="36" t="n">
        <v>0.5864451730147959</v>
      </c>
      <c r="C99" s="36" t="n">
        <v>0.4932899758506666</v>
      </c>
      <c r="D99" s="36" t="n">
        <v>0.08411533455688203</v>
      </c>
      <c r="E99" s="36" t="n">
        <v>0.2436674540557136</v>
      </c>
      <c r="F99" s="36" t="n">
        <v>0.8435883847625412</v>
      </c>
      <c r="G99" s="36" t="n">
        <v>0.6375887004784591</v>
      </c>
      <c r="H99" s="37">
        <f>SUM(B99:G99)</f>
        <v/>
      </c>
      <c r="I99" s="25">
        <f>B99/$H99</f>
        <v/>
      </c>
      <c r="J99" s="25">
        <f>C99/$H99</f>
        <v/>
      </c>
      <c r="K99" s="25">
        <f>D99/$H99</f>
        <v/>
      </c>
      <c r="L99" s="25">
        <f>E99/$H99</f>
        <v/>
      </c>
      <c r="M99" s="25">
        <f>F99/$H99</f>
        <v/>
      </c>
      <c r="N99" s="25">
        <f>G99/$H99</f>
        <v/>
      </c>
      <c r="O99" s="25">
        <f>SUM(MMULT(I99:N99,'07 Annualised Inputs'!$D$7:$D$12))</f>
        <v/>
      </c>
      <c r="P99" s="25">
        <f>SQRT(SUMPRODUCT(MMULT(I99:N99,'07 Annualised Inputs'!$B$17:$G$22),I99:N99))</f>
        <v/>
      </c>
      <c r="Q99" s="37">
        <f>(O99-'02 Config'!$B$10)/P99</f>
        <v/>
      </c>
    </row>
    <row r="100">
      <c r="A100" s="12" t="n">
        <v>95</v>
      </c>
      <c r="B100" s="36" t="n">
        <v>0.6491490501342744</v>
      </c>
      <c r="C100" s="36" t="n">
        <v>0.6702032553513549</v>
      </c>
      <c r="D100" s="36" t="n">
        <v>0.7629030190395291</v>
      </c>
      <c r="E100" s="36" t="n">
        <v>0.05810848172144734</v>
      </c>
      <c r="F100" s="36" t="n">
        <v>0.3666083849326124</v>
      </c>
      <c r="G100" s="36" t="n">
        <v>0.5395274352616787</v>
      </c>
      <c r="H100" s="37">
        <f>SUM(B100:G100)</f>
        <v/>
      </c>
      <c r="I100" s="25">
        <f>B100/$H100</f>
        <v/>
      </c>
      <c r="J100" s="25">
        <f>C100/$H100</f>
        <v/>
      </c>
      <c r="K100" s="25">
        <f>D100/$H100</f>
        <v/>
      </c>
      <c r="L100" s="25">
        <f>E100/$H100</f>
        <v/>
      </c>
      <c r="M100" s="25">
        <f>F100/$H100</f>
        <v/>
      </c>
      <c r="N100" s="25">
        <f>G100/$H100</f>
        <v/>
      </c>
      <c r="O100" s="25">
        <f>SUM(MMULT(I100:N100,'07 Annualised Inputs'!$D$7:$D$12))</f>
        <v/>
      </c>
      <c r="P100" s="25">
        <f>SQRT(SUMPRODUCT(MMULT(I100:N100,'07 Annualised Inputs'!$B$17:$G$22),I100:N100))</f>
        <v/>
      </c>
      <c r="Q100" s="37">
        <f>(O100-'02 Config'!$B$10)/P100</f>
        <v/>
      </c>
    </row>
    <row r="101">
      <c r="A101" s="12" t="n">
        <v>96</v>
      </c>
      <c r="B101" s="36" t="n">
        <v>0.338456483297326</v>
      </c>
      <c r="C101" s="36" t="n">
        <v>0.8444788732871865</v>
      </c>
      <c r="D101" s="36" t="n">
        <v>0.4825725085872939</v>
      </c>
      <c r="E101" s="36" t="n">
        <v>0.7686275894593791</v>
      </c>
      <c r="F101" s="36" t="n">
        <v>0.8520155168811691</v>
      </c>
      <c r="G101" s="36" t="n">
        <v>0.5047914829034981</v>
      </c>
      <c r="H101" s="37">
        <f>SUM(B101:G101)</f>
        <v/>
      </c>
      <c r="I101" s="25">
        <f>B101/$H101</f>
        <v/>
      </c>
      <c r="J101" s="25">
        <f>C101/$H101</f>
        <v/>
      </c>
      <c r="K101" s="25">
        <f>D101/$H101</f>
        <v/>
      </c>
      <c r="L101" s="25">
        <f>E101/$H101</f>
        <v/>
      </c>
      <c r="M101" s="25">
        <f>F101/$H101</f>
        <v/>
      </c>
      <c r="N101" s="25">
        <f>G101/$H101</f>
        <v/>
      </c>
      <c r="O101" s="25">
        <f>SUM(MMULT(I101:N101,'07 Annualised Inputs'!$D$7:$D$12))</f>
        <v/>
      </c>
      <c r="P101" s="25">
        <f>SQRT(SUMPRODUCT(MMULT(I101:N101,'07 Annualised Inputs'!$B$17:$G$22),I101:N101))</f>
        <v/>
      </c>
      <c r="Q101" s="37">
        <f>(O101-'02 Config'!$B$10)/P101</f>
        <v/>
      </c>
    </row>
    <row r="102">
      <c r="A102" s="12" t="n">
        <v>97</v>
      </c>
      <c r="B102" s="36" t="n">
        <v>0.9095522438713499</v>
      </c>
      <c r="C102" s="36" t="n">
        <v>0.5871239405369806</v>
      </c>
      <c r="D102" s="36" t="n">
        <v>0.8502742988337217</v>
      </c>
      <c r="E102" s="36" t="n">
        <v>0.3405907955915243</v>
      </c>
      <c r="F102" s="36" t="n">
        <v>0.4988169585314852</v>
      </c>
      <c r="G102" s="36" t="n">
        <v>0.5314110410045777</v>
      </c>
      <c r="H102" s="37">
        <f>SUM(B102:G102)</f>
        <v/>
      </c>
      <c r="I102" s="25">
        <f>B102/$H102</f>
        <v/>
      </c>
      <c r="J102" s="25">
        <f>C102/$H102</f>
        <v/>
      </c>
      <c r="K102" s="25">
        <f>D102/$H102</f>
        <v/>
      </c>
      <c r="L102" s="25">
        <f>E102/$H102</f>
        <v/>
      </c>
      <c r="M102" s="25">
        <f>F102/$H102</f>
        <v/>
      </c>
      <c r="N102" s="25">
        <f>G102/$H102</f>
        <v/>
      </c>
      <c r="O102" s="25">
        <f>SUM(MMULT(I102:N102,'07 Annualised Inputs'!$D$7:$D$12))</f>
        <v/>
      </c>
      <c r="P102" s="25">
        <f>SQRT(SUMPRODUCT(MMULT(I102:N102,'07 Annualised Inputs'!$B$17:$G$22),I102:N102))</f>
        <v/>
      </c>
      <c r="Q102" s="37">
        <f>(O102-'02 Config'!$B$10)/P102</f>
        <v/>
      </c>
    </row>
    <row r="103">
      <c r="A103" s="12" t="n">
        <v>98</v>
      </c>
      <c r="B103" s="36" t="n">
        <v>0.1049797158960706</v>
      </c>
      <c r="C103" s="36" t="n">
        <v>0.3985525067015406</v>
      </c>
      <c r="D103" s="36" t="n">
        <v>0.9173376725516761</v>
      </c>
      <c r="E103" s="36" t="n">
        <v>0.6308322403647424</v>
      </c>
      <c r="F103" s="36" t="n">
        <v>0.1775065824369675</v>
      </c>
      <c r="G103" s="36" t="n">
        <v>0.338855635609605</v>
      </c>
      <c r="H103" s="37">
        <f>SUM(B103:G103)</f>
        <v/>
      </c>
      <c r="I103" s="25">
        <f>B103/$H103</f>
        <v/>
      </c>
      <c r="J103" s="25">
        <f>C103/$H103</f>
        <v/>
      </c>
      <c r="K103" s="25">
        <f>D103/$H103</f>
        <v/>
      </c>
      <c r="L103" s="25">
        <f>E103/$H103</f>
        <v/>
      </c>
      <c r="M103" s="25">
        <f>F103/$H103</f>
        <v/>
      </c>
      <c r="N103" s="25">
        <f>G103/$H103</f>
        <v/>
      </c>
      <c r="O103" s="25">
        <f>SUM(MMULT(I103:N103,'07 Annualised Inputs'!$D$7:$D$12))</f>
        <v/>
      </c>
      <c r="P103" s="25">
        <f>SQRT(SUMPRODUCT(MMULT(I103:N103,'07 Annualised Inputs'!$B$17:$G$22),I103:N103))</f>
        <v/>
      </c>
      <c r="Q103" s="37">
        <f>(O103-'02 Config'!$B$10)/P103</f>
        <v/>
      </c>
    </row>
    <row r="104">
      <c r="A104" s="12" t="n">
        <v>99</v>
      </c>
      <c r="B104" s="36" t="n">
        <v>0.1916030096626998</v>
      </c>
      <c r="C104" s="36" t="n">
        <v>0.02482313179857254</v>
      </c>
      <c r="D104" s="36" t="n">
        <v>0.9274604585040267</v>
      </c>
      <c r="E104" s="36" t="n">
        <v>0.4482073282568715</v>
      </c>
      <c r="F104" s="36" t="n">
        <v>0.3075350724207861</v>
      </c>
      <c r="G104" s="36" t="n">
        <v>0.5984771915577366</v>
      </c>
      <c r="H104" s="37">
        <f>SUM(B104:G104)</f>
        <v/>
      </c>
      <c r="I104" s="25">
        <f>B104/$H104</f>
        <v/>
      </c>
      <c r="J104" s="25">
        <f>C104/$H104</f>
        <v/>
      </c>
      <c r="K104" s="25">
        <f>D104/$H104</f>
        <v/>
      </c>
      <c r="L104" s="25">
        <f>E104/$H104</f>
        <v/>
      </c>
      <c r="M104" s="25">
        <f>F104/$H104</f>
        <v/>
      </c>
      <c r="N104" s="25">
        <f>G104/$H104</f>
        <v/>
      </c>
      <c r="O104" s="25">
        <f>SUM(MMULT(I104:N104,'07 Annualised Inputs'!$D$7:$D$12))</f>
        <v/>
      </c>
      <c r="P104" s="25">
        <f>SQRT(SUMPRODUCT(MMULT(I104:N104,'07 Annualised Inputs'!$B$17:$G$22),I104:N104))</f>
        <v/>
      </c>
      <c r="Q104" s="37">
        <f>(O104-'02 Config'!$B$10)/P104</f>
        <v/>
      </c>
    </row>
    <row r="105">
      <c r="A105" s="12" t="n">
        <v>100</v>
      </c>
      <c r="B105" s="36" t="n">
        <v>0.007314456293015636</v>
      </c>
      <c r="C105" s="36" t="n">
        <v>0.2780221066008138</v>
      </c>
      <c r="D105" s="36" t="n">
        <v>0.7030334656988926</v>
      </c>
      <c r="E105" s="36" t="n">
        <v>0.633769773069263</v>
      </c>
      <c r="F105" s="36" t="n">
        <v>0.9818059475425355</v>
      </c>
      <c r="G105" s="36" t="n">
        <v>0.620357709658044</v>
      </c>
      <c r="H105" s="37">
        <f>SUM(B105:G105)</f>
        <v/>
      </c>
      <c r="I105" s="25">
        <f>B105/$H105</f>
        <v/>
      </c>
      <c r="J105" s="25">
        <f>C105/$H105</f>
        <v/>
      </c>
      <c r="K105" s="25">
        <f>D105/$H105</f>
        <v/>
      </c>
      <c r="L105" s="25">
        <f>E105/$H105</f>
        <v/>
      </c>
      <c r="M105" s="25">
        <f>F105/$H105</f>
        <v/>
      </c>
      <c r="N105" s="25">
        <f>G105/$H105</f>
        <v/>
      </c>
      <c r="O105" s="25">
        <f>SUM(MMULT(I105:N105,'07 Annualised Inputs'!$D$7:$D$12))</f>
        <v/>
      </c>
      <c r="P105" s="25">
        <f>SQRT(SUMPRODUCT(MMULT(I105:N105,'07 Annualised Inputs'!$B$17:$G$22),I105:N105))</f>
        <v/>
      </c>
      <c r="Q105" s="37">
        <f>(O105-'02 Config'!$B$10)/P105</f>
        <v/>
      </c>
    </row>
    <row r="106">
      <c r="A106" s="12" t="n">
        <v>101</v>
      </c>
      <c r="B106" s="36" t="n">
        <v>0.4775058736277328</v>
      </c>
      <c r="C106" s="36" t="n">
        <v>0.7614325631840076</v>
      </c>
      <c r="D106" s="36" t="n">
        <v>0.9033278719640531</v>
      </c>
      <c r="E106" s="36" t="n">
        <v>0.7206959467183516</v>
      </c>
      <c r="F106" s="36" t="n">
        <v>0.9632112235493796</v>
      </c>
      <c r="G106" s="36" t="n">
        <v>0.7820051707381772</v>
      </c>
      <c r="H106" s="37">
        <f>SUM(B106:G106)</f>
        <v/>
      </c>
      <c r="I106" s="25">
        <f>B106/$H106</f>
        <v/>
      </c>
      <c r="J106" s="25">
        <f>C106/$H106</f>
        <v/>
      </c>
      <c r="K106" s="25">
        <f>D106/$H106</f>
        <v/>
      </c>
      <c r="L106" s="25">
        <f>E106/$H106</f>
        <v/>
      </c>
      <c r="M106" s="25">
        <f>F106/$H106</f>
        <v/>
      </c>
      <c r="N106" s="25">
        <f>G106/$H106</f>
        <v/>
      </c>
      <c r="O106" s="25">
        <f>SUM(MMULT(I106:N106,'07 Annualised Inputs'!$D$7:$D$12))</f>
        <v/>
      </c>
      <c r="P106" s="25">
        <f>SQRT(SUMPRODUCT(MMULT(I106:N106,'07 Annualised Inputs'!$B$17:$G$22),I106:N106))</f>
        <v/>
      </c>
      <c r="Q106" s="37">
        <f>(O106-'02 Config'!$B$10)/P106</f>
        <v/>
      </c>
    </row>
    <row r="107">
      <c r="A107" s="12" t="n">
        <v>102</v>
      </c>
      <c r="B107" s="36" t="n">
        <v>0.8668014382619265</v>
      </c>
      <c r="C107" s="36" t="n">
        <v>0.1141040711836372</v>
      </c>
      <c r="D107" s="36" t="n">
        <v>0.7324135029937877</v>
      </c>
      <c r="E107" s="36" t="n">
        <v>0.4400886995273686</v>
      </c>
      <c r="F107" s="36" t="n">
        <v>0.5531038024112752</v>
      </c>
      <c r="G107" s="36" t="n">
        <v>0.6541024094823568</v>
      </c>
      <c r="H107" s="37">
        <f>SUM(B107:G107)</f>
        <v/>
      </c>
      <c r="I107" s="25">
        <f>B107/$H107</f>
        <v/>
      </c>
      <c r="J107" s="25">
        <f>C107/$H107</f>
        <v/>
      </c>
      <c r="K107" s="25">
        <f>D107/$H107</f>
        <v/>
      </c>
      <c r="L107" s="25">
        <f>E107/$H107</f>
        <v/>
      </c>
      <c r="M107" s="25">
        <f>F107/$H107</f>
        <v/>
      </c>
      <c r="N107" s="25">
        <f>G107/$H107</f>
        <v/>
      </c>
      <c r="O107" s="25">
        <f>SUM(MMULT(I107:N107,'07 Annualised Inputs'!$D$7:$D$12))</f>
        <v/>
      </c>
      <c r="P107" s="25">
        <f>SQRT(SUMPRODUCT(MMULT(I107:N107,'07 Annualised Inputs'!$B$17:$G$22),I107:N107))</f>
        <v/>
      </c>
      <c r="Q107" s="37">
        <f>(O107-'02 Config'!$B$10)/P107</f>
        <v/>
      </c>
    </row>
    <row r="108">
      <c r="A108" s="12" t="n">
        <v>103</v>
      </c>
      <c r="B108" s="36" t="n">
        <v>0.9698151167055694</v>
      </c>
      <c r="C108" s="36" t="n">
        <v>0.9845780814316246</v>
      </c>
      <c r="D108" s="36" t="n">
        <v>0.2882282454879053</v>
      </c>
      <c r="E108" s="36" t="n">
        <v>0.7337534974379162</v>
      </c>
      <c r="F108" s="36" t="n">
        <v>0.7499835379352686</v>
      </c>
      <c r="G108" s="36" t="n">
        <v>0.3464928613130488</v>
      </c>
      <c r="H108" s="37">
        <f>SUM(B108:G108)</f>
        <v/>
      </c>
      <c r="I108" s="25">
        <f>B108/$H108</f>
        <v/>
      </c>
      <c r="J108" s="25">
        <f>C108/$H108</f>
        <v/>
      </c>
      <c r="K108" s="25">
        <f>D108/$H108</f>
        <v/>
      </c>
      <c r="L108" s="25">
        <f>E108/$H108</f>
        <v/>
      </c>
      <c r="M108" s="25">
        <f>F108/$H108</f>
        <v/>
      </c>
      <c r="N108" s="25">
        <f>G108/$H108</f>
        <v/>
      </c>
      <c r="O108" s="25">
        <f>SUM(MMULT(I108:N108,'07 Annualised Inputs'!$D$7:$D$12))</f>
        <v/>
      </c>
      <c r="P108" s="25">
        <f>SQRT(SUMPRODUCT(MMULT(I108:N108,'07 Annualised Inputs'!$B$17:$G$22),I108:N108))</f>
        <v/>
      </c>
      <c r="Q108" s="37">
        <f>(O108-'02 Config'!$B$10)/P108</f>
        <v/>
      </c>
    </row>
    <row r="109">
      <c r="A109" s="12" t="n">
        <v>104</v>
      </c>
      <c r="B109" s="36" t="n">
        <v>0.123869774864221</v>
      </c>
      <c r="C109" s="36" t="n">
        <v>0.04094696028571976</v>
      </c>
      <c r="D109" s="36" t="n">
        <v>0.7773431275291786</v>
      </c>
      <c r="E109" s="36" t="n">
        <v>0.4896997418169059</v>
      </c>
      <c r="F109" s="36" t="n">
        <v>0.9855401694949262</v>
      </c>
      <c r="G109" s="36" t="n">
        <v>0.464973456193653</v>
      </c>
      <c r="H109" s="37">
        <f>SUM(B109:G109)</f>
        <v/>
      </c>
      <c r="I109" s="25">
        <f>B109/$H109</f>
        <v/>
      </c>
      <c r="J109" s="25">
        <f>C109/$H109</f>
        <v/>
      </c>
      <c r="K109" s="25">
        <f>D109/$H109</f>
        <v/>
      </c>
      <c r="L109" s="25">
        <f>E109/$H109</f>
        <v/>
      </c>
      <c r="M109" s="25">
        <f>F109/$H109</f>
        <v/>
      </c>
      <c r="N109" s="25">
        <f>G109/$H109</f>
        <v/>
      </c>
      <c r="O109" s="25">
        <f>SUM(MMULT(I109:N109,'07 Annualised Inputs'!$D$7:$D$12))</f>
        <v/>
      </c>
      <c r="P109" s="25">
        <f>SQRT(SUMPRODUCT(MMULT(I109:N109,'07 Annualised Inputs'!$B$17:$G$22),I109:N109))</f>
        <v/>
      </c>
      <c r="Q109" s="37">
        <f>(O109-'02 Config'!$B$10)/P109</f>
        <v/>
      </c>
    </row>
    <row r="110">
      <c r="A110" s="12" t="n">
        <v>105</v>
      </c>
      <c r="B110" s="36" t="n">
        <v>0.9779169790738402</v>
      </c>
      <c r="C110" s="36" t="n">
        <v>0.4115760021940599</v>
      </c>
      <c r="D110" s="36" t="n">
        <v>0.7936821505599726</v>
      </c>
      <c r="E110" s="36" t="n">
        <v>0.08481927231183206</v>
      </c>
      <c r="F110" s="36" t="n">
        <v>0.5554617101377639</v>
      </c>
      <c r="G110" s="36" t="n">
        <v>0.8020597869857242</v>
      </c>
      <c r="H110" s="37">
        <f>SUM(B110:G110)</f>
        <v/>
      </c>
      <c r="I110" s="25">
        <f>B110/$H110</f>
        <v/>
      </c>
      <c r="J110" s="25">
        <f>C110/$H110</f>
        <v/>
      </c>
      <c r="K110" s="25">
        <f>D110/$H110</f>
        <v/>
      </c>
      <c r="L110" s="25">
        <f>E110/$H110</f>
        <v/>
      </c>
      <c r="M110" s="25">
        <f>F110/$H110</f>
        <v/>
      </c>
      <c r="N110" s="25">
        <f>G110/$H110</f>
        <v/>
      </c>
      <c r="O110" s="25">
        <f>SUM(MMULT(I110:N110,'07 Annualised Inputs'!$D$7:$D$12))</f>
        <v/>
      </c>
      <c r="P110" s="25">
        <f>SQRT(SUMPRODUCT(MMULT(I110:N110,'07 Annualised Inputs'!$B$17:$G$22),I110:N110))</f>
        <v/>
      </c>
      <c r="Q110" s="37">
        <f>(O110-'02 Config'!$B$10)/P110</f>
        <v/>
      </c>
    </row>
    <row r="111">
      <c r="A111" s="12" t="n">
        <v>106</v>
      </c>
      <c r="B111" s="36" t="n">
        <v>0.9247016672198887</v>
      </c>
      <c r="C111" s="36" t="n">
        <v>0.8225830906174316</v>
      </c>
      <c r="D111" s="36" t="n">
        <v>0.03697072720117422</v>
      </c>
      <c r="E111" s="36" t="n">
        <v>0.3727023413067342</v>
      </c>
      <c r="F111" s="36" t="n">
        <v>0.04869847231385127</v>
      </c>
      <c r="G111" s="36" t="n">
        <v>0.109282291114558</v>
      </c>
      <c r="H111" s="37">
        <f>SUM(B111:G111)</f>
        <v/>
      </c>
      <c r="I111" s="25">
        <f>B111/$H111</f>
        <v/>
      </c>
      <c r="J111" s="25">
        <f>C111/$H111</f>
        <v/>
      </c>
      <c r="K111" s="25">
        <f>D111/$H111</f>
        <v/>
      </c>
      <c r="L111" s="25">
        <f>E111/$H111</f>
        <v/>
      </c>
      <c r="M111" s="25">
        <f>F111/$H111</f>
        <v/>
      </c>
      <c r="N111" s="25">
        <f>G111/$H111</f>
        <v/>
      </c>
      <c r="O111" s="25">
        <f>SUM(MMULT(I111:N111,'07 Annualised Inputs'!$D$7:$D$12))</f>
        <v/>
      </c>
      <c r="P111" s="25">
        <f>SQRT(SUMPRODUCT(MMULT(I111:N111,'07 Annualised Inputs'!$B$17:$G$22),I111:N111))</f>
        <v/>
      </c>
      <c r="Q111" s="37">
        <f>(O111-'02 Config'!$B$10)/P111</f>
        <v/>
      </c>
    </row>
    <row r="112">
      <c r="A112" s="12" t="n">
        <v>107</v>
      </c>
      <c r="B112" s="36" t="n">
        <v>0.6753056286674841</v>
      </c>
      <c r="C112" s="36" t="n">
        <v>0.7132581963116982</v>
      </c>
      <c r="D112" s="36" t="n">
        <v>0.7737206827516263</v>
      </c>
      <c r="E112" s="36" t="n">
        <v>0.8654565480556629</v>
      </c>
      <c r="F112" s="36" t="n">
        <v>0.7394314684765099</v>
      </c>
      <c r="G112" s="36" t="n">
        <v>0.8008715921066321</v>
      </c>
      <c r="H112" s="37">
        <f>SUM(B112:G112)</f>
        <v/>
      </c>
      <c r="I112" s="25">
        <f>B112/$H112</f>
        <v/>
      </c>
      <c r="J112" s="25">
        <f>C112/$H112</f>
        <v/>
      </c>
      <c r="K112" s="25">
        <f>D112/$H112</f>
        <v/>
      </c>
      <c r="L112" s="25">
        <f>E112/$H112</f>
        <v/>
      </c>
      <c r="M112" s="25">
        <f>F112/$H112</f>
        <v/>
      </c>
      <c r="N112" s="25">
        <f>G112/$H112</f>
        <v/>
      </c>
      <c r="O112" s="25">
        <f>SUM(MMULT(I112:N112,'07 Annualised Inputs'!$D$7:$D$12))</f>
        <v/>
      </c>
      <c r="P112" s="25">
        <f>SQRT(SUMPRODUCT(MMULT(I112:N112,'07 Annualised Inputs'!$B$17:$G$22),I112:N112))</f>
        <v/>
      </c>
      <c r="Q112" s="37">
        <f>(O112-'02 Config'!$B$10)/P112</f>
        <v/>
      </c>
    </row>
    <row r="113">
      <c r="A113" s="12" t="n">
        <v>108</v>
      </c>
      <c r="B113" s="36" t="n">
        <v>0.04896370982327924</v>
      </c>
      <c r="C113" s="36" t="n">
        <v>0.2345351504412986</v>
      </c>
      <c r="D113" s="36" t="n">
        <v>0.6218977733752458</v>
      </c>
      <c r="E113" s="36" t="n">
        <v>0.8581253046248232</v>
      </c>
      <c r="F113" s="36" t="n">
        <v>0.004500124939659123</v>
      </c>
      <c r="G113" s="36" t="n">
        <v>0.5146293421163498</v>
      </c>
      <c r="H113" s="37">
        <f>SUM(B113:G113)</f>
        <v/>
      </c>
      <c r="I113" s="25">
        <f>B113/$H113</f>
        <v/>
      </c>
      <c r="J113" s="25">
        <f>C113/$H113</f>
        <v/>
      </c>
      <c r="K113" s="25">
        <f>D113/$H113</f>
        <v/>
      </c>
      <c r="L113" s="25">
        <f>E113/$H113</f>
        <v/>
      </c>
      <c r="M113" s="25">
        <f>F113/$H113</f>
        <v/>
      </c>
      <c r="N113" s="25">
        <f>G113/$H113</f>
        <v/>
      </c>
      <c r="O113" s="25">
        <f>SUM(MMULT(I113:N113,'07 Annualised Inputs'!$D$7:$D$12))</f>
        <v/>
      </c>
      <c r="P113" s="25">
        <f>SQRT(SUMPRODUCT(MMULT(I113:N113,'07 Annualised Inputs'!$B$17:$G$22),I113:N113))</f>
        <v/>
      </c>
      <c r="Q113" s="37">
        <f>(O113-'02 Config'!$B$10)/P113</f>
        <v/>
      </c>
    </row>
    <row r="114">
      <c r="A114" s="12" t="n">
        <v>109</v>
      </c>
      <c r="B114" s="36" t="n">
        <v>0.6772873993643972</v>
      </c>
      <c r="C114" s="36" t="n">
        <v>0.02960728912861321</v>
      </c>
      <c r="D114" s="36" t="n">
        <v>0.4013555575533879</v>
      </c>
      <c r="E114" s="36" t="n">
        <v>0.8956348813836968</v>
      </c>
      <c r="F114" s="36" t="n">
        <v>0.6716128088558587</v>
      </c>
      <c r="G114" s="36" t="n">
        <v>0.2376583633605973</v>
      </c>
      <c r="H114" s="37">
        <f>SUM(B114:G114)</f>
        <v/>
      </c>
      <c r="I114" s="25">
        <f>B114/$H114</f>
        <v/>
      </c>
      <c r="J114" s="25">
        <f>C114/$H114</f>
        <v/>
      </c>
      <c r="K114" s="25">
        <f>D114/$H114</f>
        <v/>
      </c>
      <c r="L114" s="25">
        <f>E114/$H114</f>
        <v/>
      </c>
      <c r="M114" s="25">
        <f>F114/$H114</f>
        <v/>
      </c>
      <c r="N114" s="25">
        <f>G114/$H114</f>
        <v/>
      </c>
      <c r="O114" s="25">
        <f>SUM(MMULT(I114:N114,'07 Annualised Inputs'!$D$7:$D$12))</f>
        <v/>
      </c>
      <c r="P114" s="25">
        <f>SQRT(SUMPRODUCT(MMULT(I114:N114,'07 Annualised Inputs'!$B$17:$G$22),I114:N114))</f>
        <v/>
      </c>
      <c r="Q114" s="37">
        <f>(O114-'02 Config'!$B$10)/P114</f>
        <v/>
      </c>
    </row>
    <row r="115">
      <c r="A115" s="12" t="n">
        <v>110</v>
      </c>
      <c r="B115" s="36" t="n">
        <v>0.8527811296319127</v>
      </c>
      <c r="C115" s="36" t="n">
        <v>0.3480314234095143</v>
      </c>
      <c r="D115" s="36" t="n">
        <v>0.8533446711440594</v>
      </c>
      <c r="E115" s="36" t="n">
        <v>0.2989436511189055</v>
      </c>
      <c r="F115" s="36" t="n">
        <v>0.590320250883149</v>
      </c>
      <c r="G115" s="36" t="n">
        <v>0.3969400677478341</v>
      </c>
      <c r="H115" s="37">
        <f>SUM(B115:G115)</f>
        <v/>
      </c>
      <c r="I115" s="25">
        <f>B115/$H115</f>
        <v/>
      </c>
      <c r="J115" s="25">
        <f>C115/$H115</f>
        <v/>
      </c>
      <c r="K115" s="25">
        <f>D115/$H115</f>
        <v/>
      </c>
      <c r="L115" s="25">
        <f>E115/$H115</f>
        <v/>
      </c>
      <c r="M115" s="25">
        <f>F115/$H115</f>
        <v/>
      </c>
      <c r="N115" s="25">
        <f>G115/$H115</f>
        <v/>
      </c>
      <c r="O115" s="25">
        <f>SUM(MMULT(I115:N115,'07 Annualised Inputs'!$D$7:$D$12))</f>
        <v/>
      </c>
      <c r="P115" s="25">
        <f>SQRT(SUMPRODUCT(MMULT(I115:N115,'07 Annualised Inputs'!$B$17:$G$22),I115:N115))</f>
        <v/>
      </c>
      <c r="Q115" s="37">
        <f>(O115-'02 Config'!$B$10)/P115</f>
        <v/>
      </c>
    </row>
    <row r="116">
      <c r="A116" s="12" t="n">
        <v>111</v>
      </c>
      <c r="B116" s="36" t="n">
        <v>0.274825050755067</v>
      </c>
      <c r="C116" s="36" t="n">
        <v>0.8865575621718692</v>
      </c>
      <c r="D116" s="36" t="n">
        <v>0.1875936819394913</v>
      </c>
      <c r="E116" s="36" t="n">
        <v>0.0848115912357631</v>
      </c>
      <c r="F116" s="36" t="n">
        <v>0.3419269385456604</v>
      </c>
      <c r="G116" s="36" t="n">
        <v>0.7176391476415676</v>
      </c>
      <c r="H116" s="37">
        <f>SUM(B116:G116)</f>
        <v/>
      </c>
      <c r="I116" s="25">
        <f>B116/$H116</f>
        <v/>
      </c>
      <c r="J116" s="25">
        <f>C116/$H116</f>
        <v/>
      </c>
      <c r="K116" s="25">
        <f>D116/$H116</f>
        <v/>
      </c>
      <c r="L116" s="25">
        <f>E116/$H116</f>
        <v/>
      </c>
      <c r="M116" s="25">
        <f>F116/$H116</f>
        <v/>
      </c>
      <c r="N116" s="25">
        <f>G116/$H116</f>
        <v/>
      </c>
      <c r="O116" s="25">
        <f>SUM(MMULT(I116:N116,'07 Annualised Inputs'!$D$7:$D$12))</f>
        <v/>
      </c>
      <c r="P116" s="25">
        <f>SQRT(SUMPRODUCT(MMULT(I116:N116,'07 Annualised Inputs'!$B$17:$G$22),I116:N116))</f>
        <v/>
      </c>
      <c r="Q116" s="37">
        <f>(O116-'02 Config'!$B$10)/P116</f>
        <v/>
      </c>
    </row>
    <row r="117">
      <c r="A117" s="12" t="n">
        <v>112</v>
      </c>
      <c r="B117" s="36" t="n">
        <v>0.8074316059762817</v>
      </c>
      <c r="C117" s="36" t="n">
        <v>0.9987433700667648</v>
      </c>
      <c r="D117" s="36" t="n">
        <v>0.2963620570111649</v>
      </c>
      <c r="E117" s="36" t="n">
        <v>0.4079419511312822</v>
      </c>
      <c r="F117" s="36" t="n">
        <v>0.1368212780296263</v>
      </c>
      <c r="G117" s="36" t="n">
        <v>0.5748719296230336</v>
      </c>
      <c r="H117" s="37">
        <f>SUM(B117:G117)</f>
        <v/>
      </c>
      <c r="I117" s="25">
        <f>B117/$H117</f>
        <v/>
      </c>
      <c r="J117" s="25">
        <f>C117/$H117</f>
        <v/>
      </c>
      <c r="K117" s="25">
        <f>D117/$H117</f>
        <v/>
      </c>
      <c r="L117" s="25">
        <f>E117/$H117</f>
        <v/>
      </c>
      <c r="M117" s="25">
        <f>F117/$H117</f>
        <v/>
      </c>
      <c r="N117" s="25">
        <f>G117/$H117</f>
        <v/>
      </c>
      <c r="O117" s="25">
        <f>SUM(MMULT(I117:N117,'07 Annualised Inputs'!$D$7:$D$12))</f>
        <v/>
      </c>
      <c r="P117" s="25">
        <f>SQRT(SUMPRODUCT(MMULT(I117:N117,'07 Annualised Inputs'!$B$17:$G$22),I117:N117))</f>
        <v/>
      </c>
      <c r="Q117" s="37">
        <f>(O117-'02 Config'!$B$10)/P117</f>
        <v/>
      </c>
    </row>
    <row r="118">
      <c r="A118" s="12" t="n">
        <v>113</v>
      </c>
      <c r="B118" s="36" t="n">
        <v>0.9975800372629172</v>
      </c>
      <c r="C118" s="36" t="n">
        <v>0.7008810101206585</v>
      </c>
      <c r="D118" s="36" t="n">
        <v>0.5952128404133717</v>
      </c>
      <c r="E118" s="36" t="n">
        <v>0.392369092921794</v>
      </c>
      <c r="F118" s="36" t="n">
        <v>0.9152987602855548</v>
      </c>
      <c r="G118" s="36" t="n">
        <v>0.4969165961303494</v>
      </c>
      <c r="H118" s="37">
        <f>SUM(B118:G118)</f>
        <v/>
      </c>
      <c r="I118" s="25">
        <f>B118/$H118</f>
        <v/>
      </c>
      <c r="J118" s="25">
        <f>C118/$H118</f>
        <v/>
      </c>
      <c r="K118" s="25">
        <f>D118/$H118</f>
        <v/>
      </c>
      <c r="L118" s="25">
        <f>E118/$H118</f>
        <v/>
      </c>
      <c r="M118" s="25">
        <f>F118/$H118</f>
        <v/>
      </c>
      <c r="N118" s="25">
        <f>G118/$H118</f>
        <v/>
      </c>
      <c r="O118" s="25">
        <f>SUM(MMULT(I118:N118,'07 Annualised Inputs'!$D$7:$D$12))</f>
        <v/>
      </c>
      <c r="P118" s="25">
        <f>SQRT(SUMPRODUCT(MMULT(I118:N118,'07 Annualised Inputs'!$B$17:$G$22),I118:N118))</f>
        <v/>
      </c>
      <c r="Q118" s="37">
        <f>(O118-'02 Config'!$B$10)/P118</f>
        <v/>
      </c>
    </row>
    <row r="119">
      <c r="A119" s="12" t="n">
        <v>114</v>
      </c>
      <c r="B119" s="36" t="n">
        <v>0.1343669133130615</v>
      </c>
      <c r="C119" s="36" t="n">
        <v>0.3653784631991335</v>
      </c>
      <c r="D119" s="36" t="n">
        <v>0.0671666688477669</v>
      </c>
      <c r="E119" s="36" t="n">
        <v>0.2019790376887816</v>
      </c>
      <c r="F119" s="36" t="n">
        <v>0.0176687809999122</v>
      </c>
      <c r="G119" s="36" t="n">
        <v>0.4532799165001634</v>
      </c>
      <c r="H119" s="37">
        <f>SUM(B119:G119)</f>
        <v/>
      </c>
      <c r="I119" s="25">
        <f>B119/$H119</f>
        <v/>
      </c>
      <c r="J119" s="25">
        <f>C119/$H119</f>
        <v/>
      </c>
      <c r="K119" s="25">
        <f>D119/$H119</f>
        <v/>
      </c>
      <c r="L119" s="25">
        <f>E119/$H119</f>
        <v/>
      </c>
      <c r="M119" s="25">
        <f>F119/$H119</f>
        <v/>
      </c>
      <c r="N119" s="25">
        <f>G119/$H119</f>
        <v/>
      </c>
      <c r="O119" s="25">
        <f>SUM(MMULT(I119:N119,'07 Annualised Inputs'!$D$7:$D$12))</f>
        <v/>
      </c>
      <c r="P119" s="25">
        <f>SQRT(SUMPRODUCT(MMULT(I119:N119,'07 Annualised Inputs'!$B$17:$G$22),I119:N119))</f>
        <v/>
      </c>
      <c r="Q119" s="37">
        <f>(O119-'02 Config'!$B$10)/P119</f>
        <v/>
      </c>
    </row>
    <row r="120">
      <c r="A120" s="12" t="n">
        <v>115</v>
      </c>
      <c r="B120" s="36" t="n">
        <v>0.6345402649517972</v>
      </c>
      <c r="C120" s="36" t="n">
        <v>0.3432924623789078</v>
      </c>
      <c r="D120" s="36" t="n">
        <v>0.4203817715052771</v>
      </c>
      <c r="E120" s="36" t="n">
        <v>0.9592092728445759</v>
      </c>
      <c r="F120" s="36" t="n">
        <v>0.7519631215749155</v>
      </c>
      <c r="G120" s="36" t="n">
        <v>0.5408566369449512</v>
      </c>
      <c r="H120" s="37">
        <f>SUM(B120:G120)</f>
        <v/>
      </c>
      <c r="I120" s="25">
        <f>B120/$H120</f>
        <v/>
      </c>
      <c r="J120" s="25">
        <f>C120/$H120</f>
        <v/>
      </c>
      <c r="K120" s="25">
        <f>D120/$H120</f>
        <v/>
      </c>
      <c r="L120" s="25">
        <f>E120/$H120</f>
        <v/>
      </c>
      <c r="M120" s="25">
        <f>F120/$H120</f>
        <v/>
      </c>
      <c r="N120" s="25">
        <f>G120/$H120</f>
        <v/>
      </c>
      <c r="O120" s="25">
        <f>SUM(MMULT(I120:N120,'07 Annualised Inputs'!$D$7:$D$12))</f>
        <v/>
      </c>
      <c r="P120" s="25">
        <f>SQRT(SUMPRODUCT(MMULT(I120:N120,'07 Annualised Inputs'!$B$17:$G$22),I120:N120))</f>
        <v/>
      </c>
      <c r="Q120" s="37">
        <f>(O120-'02 Config'!$B$10)/P120</f>
        <v/>
      </c>
    </row>
    <row r="121">
      <c r="A121" s="12" t="n">
        <v>116</v>
      </c>
      <c r="B121" s="36" t="n">
        <v>0.2845408751118252</v>
      </c>
      <c r="C121" s="36" t="n">
        <v>0.8969967987729952</v>
      </c>
      <c r="D121" s="36" t="n">
        <v>0.2350971168806595</v>
      </c>
      <c r="E121" s="36" t="n">
        <v>0.3253427305166771</v>
      </c>
      <c r="F121" s="36" t="n">
        <v>0.9090648144229485</v>
      </c>
      <c r="G121" s="36" t="n">
        <v>0.5295420552850724</v>
      </c>
      <c r="H121" s="37">
        <f>SUM(B121:G121)</f>
        <v/>
      </c>
      <c r="I121" s="25">
        <f>B121/$H121</f>
        <v/>
      </c>
      <c r="J121" s="25">
        <f>C121/$H121</f>
        <v/>
      </c>
      <c r="K121" s="25">
        <f>D121/$H121</f>
        <v/>
      </c>
      <c r="L121" s="25">
        <f>E121/$H121</f>
        <v/>
      </c>
      <c r="M121" s="25">
        <f>F121/$H121</f>
        <v/>
      </c>
      <c r="N121" s="25">
        <f>G121/$H121</f>
        <v/>
      </c>
      <c r="O121" s="25">
        <f>SUM(MMULT(I121:N121,'07 Annualised Inputs'!$D$7:$D$12))</f>
        <v/>
      </c>
      <c r="P121" s="25">
        <f>SQRT(SUMPRODUCT(MMULT(I121:N121,'07 Annualised Inputs'!$B$17:$G$22),I121:N121))</f>
        <v/>
      </c>
      <c r="Q121" s="37">
        <f>(O121-'02 Config'!$B$10)/P121</f>
        <v/>
      </c>
    </row>
    <row r="122">
      <c r="A122" s="12" t="n">
        <v>117</v>
      </c>
      <c r="B122" s="36" t="n">
        <v>0.7423179494179767</v>
      </c>
      <c r="C122" s="36" t="n">
        <v>0.5907447941637661</v>
      </c>
      <c r="D122" s="36" t="n">
        <v>0.6534392090094951</v>
      </c>
      <c r="E122" s="36" t="n">
        <v>0.2993832915148256</v>
      </c>
      <c r="F122" s="36" t="n">
        <v>0.2413720616266629</v>
      </c>
      <c r="G122" s="36" t="n">
        <v>0.3224923471686653</v>
      </c>
      <c r="H122" s="37">
        <f>SUM(B122:G122)</f>
        <v/>
      </c>
      <c r="I122" s="25">
        <f>B122/$H122</f>
        <v/>
      </c>
      <c r="J122" s="25">
        <f>C122/$H122</f>
        <v/>
      </c>
      <c r="K122" s="25">
        <f>D122/$H122</f>
        <v/>
      </c>
      <c r="L122" s="25">
        <f>E122/$H122</f>
        <v/>
      </c>
      <c r="M122" s="25">
        <f>F122/$H122</f>
        <v/>
      </c>
      <c r="N122" s="25">
        <f>G122/$H122</f>
        <v/>
      </c>
      <c r="O122" s="25">
        <f>SUM(MMULT(I122:N122,'07 Annualised Inputs'!$D$7:$D$12))</f>
        <v/>
      </c>
      <c r="P122" s="25">
        <f>SQRT(SUMPRODUCT(MMULT(I122:N122,'07 Annualised Inputs'!$B$17:$G$22),I122:N122))</f>
        <v/>
      </c>
      <c r="Q122" s="37">
        <f>(O122-'02 Config'!$B$10)/P122</f>
        <v/>
      </c>
    </row>
    <row r="123">
      <c r="A123" s="12" t="n">
        <v>118</v>
      </c>
      <c r="B123" s="36" t="n">
        <v>0.1554415640834225</v>
      </c>
      <c r="C123" s="36" t="n">
        <v>0.8743143652908074</v>
      </c>
      <c r="D123" s="36" t="n">
        <v>0.2832469332501141</v>
      </c>
      <c r="E123" s="36" t="n">
        <v>0.5614893944143846</v>
      </c>
      <c r="F123" s="36" t="n">
        <v>0.7919744251413741</v>
      </c>
      <c r="G123" s="36" t="n">
        <v>0.7838241093757136</v>
      </c>
      <c r="H123" s="37">
        <f>SUM(B123:G123)</f>
        <v/>
      </c>
      <c r="I123" s="25">
        <f>B123/$H123</f>
        <v/>
      </c>
      <c r="J123" s="25">
        <f>C123/$H123</f>
        <v/>
      </c>
      <c r="K123" s="25">
        <f>D123/$H123</f>
        <v/>
      </c>
      <c r="L123" s="25">
        <f>E123/$H123</f>
        <v/>
      </c>
      <c r="M123" s="25">
        <f>F123/$H123</f>
        <v/>
      </c>
      <c r="N123" s="25">
        <f>G123/$H123</f>
        <v/>
      </c>
      <c r="O123" s="25">
        <f>SUM(MMULT(I123:N123,'07 Annualised Inputs'!$D$7:$D$12))</f>
        <v/>
      </c>
      <c r="P123" s="25">
        <f>SQRT(SUMPRODUCT(MMULT(I123:N123,'07 Annualised Inputs'!$B$17:$G$22),I123:N123))</f>
        <v/>
      </c>
      <c r="Q123" s="37">
        <f>(O123-'02 Config'!$B$10)/P123</f>
        <v/>
      </c>
    </row>
    <row r="124">
      <c r="A124" s="12" t="n">
        <v>119</v>
      </c>
      <c r="B124" s="36" t="n">
        <v>0.4383862585841929</v>
      </c>
      <c r="C124" s="36" t="n">
        <v>0.4762573085867257</v>
      </c>
      <c r="D124" s="36" t="n">
        <v>0.9947017489350248</v>
      </c>
      <c r="E124" s="36" t="n">
        <v>0.6745974769790241</v>
      </c>
      <c r="F124" s="36" t="n">
        <v>0.8146384431178827</v>
      </c>
      <c r="G124" s="36" t="n">
        <v>0.9025539692192319</v>
      </c>
      <c r="H124" s="37">
        <f>SUM(B124:G124)</f>
        <v/>
      </c>
      <c r="I124" s="25">
        <f>B124/$H124</f>
        <v/>
      </c>
      <c r="J124" s="25">
        <f>C124/$H124</f>
        <v/>
      </c>
      <c r="K124" s="25">
        <f>D124/$H124</f>
        <v/>
      </c>
      <c r="L124" s="25">
        <f>E124/$H124</f>
        <v/>
      </c>
      <c r="M124" s="25">
        <f>F124/$H124</f>
        <v/>
      </c>
      <c r="N124" s="25">
        <f>G124/$H124</f>
        <v/>
      </c>
      <c r="O124" s="25">
        <f>SUM(MMULT(I124:N124,'07 Annualised Inputs'!$D$7:$D$12))</f>
        <v/>
      </c>
      <c r="P124" s="25">
        <f>SQRT(SUMPRODUCT(MMULT(I124:N124,'07 Annualised Inputs'!$B$17:$G$22),I124:N124))</f>
        <v/>
      </c>
      <c r="Q124" s="37">
        <f>(O124-'02 Config'!$B$10)/P124</f>
        <v/>
      </c>
    </row>
    <row r="125">
      <c r="A125" s="12" t="n">
        <v>120</v>
      </c>
      <c r="B125" s="36" t="n">
        <v>0.7875898362293392</v>
      </c>
      <c r="C125" s="36" t="n">
        <v>0.1851793449535676</v>
      </c>
      <c r="D125" s="36" t="n">
        <v>0.5621707337375722</v>
      </c>
      <c r="E125" s="36" t="n">
        <v>0.1018941573145449</v>
      </c>
      <c r="F125" s="36" t="n">
        <v>0.6529221265639984</v>
      </c>
      <c r="G125" s="36" t="n">
        <v>0.955349428187811</v>
      </c>
      <c r="H125" s="37">
        <f>SUM(B125:G125)</f>
        <v/>
      </c>
      <c r="I125" s="25">
        <f>B125/$H125</f>
        <v/>
      </c>
      <c r="J125" s="25">
        <f>C125/$H125</f>
        <v/>
      </c>
      <c r="K125" s="25">
        <f>D125/$H125</f>
        <v/>
      </c>
      <c r="L125" s="25">
        <f>E125/$H125</f>
        <v/>
      </c>
      <c r="M125" s="25">
        <f>F125/$H125</f>
        <v/>
      </c>
      <c r="N125" s="25">
        <f>G125/$H125</f>
        <v/>
      </c>
      <c r="O125" s="25">
        <f>SUM(MMULT(I125:N125,'07 Annualised Inputs'!$D$7:$D$12))</f>
        <v/>
      </c>
      <c r="P125" s="25">
        <f>SQRT(SUMPRODUCT(MMULT(I125:N125,'07 Annualised Inputs'!$B$17:$G$22),I125:N125))</f>
        <v/>
      </c>
      <c r="Q125" s="37">
        <f>(O125-'02 Config'!$B$10)/P125</f>
        <v/>
      </c>
    </row>
    <row r="126">
      <c r="A126" s="12" t="n">
        <v>121</v>
      </c>
      <c r="B126" s="36" t="n">
        <v>0.5127320643001113</v>
      </c>
      <c r="C126" s="36" t="n">
        <v>0.4329724928677672</v>
      </c>
      <c r="D126" s="36" t="n">
        <v>0.03584275141816318</v>
      </c>
      <c r="E126" s="36" t="n">
        <v>0.9597745223292203</v>
      </c>
      <c r="F126" s="36" t="n">
        <v>0.1030026841301588</v>
      </c>
      <c r="G126" s="36" t="n">
        <v>0.04107909330484694</v>
      </c>
      <c r="H126" s="37">
        <f>SUM(B126:G126)</f>
        <v/>
      </c>
      <c r="I126" s="25">
        <f>B126/$H126</f>
        <v/>
      </c>
      <c r="J126" s="25">
        <f>C126/$H126</f>
        <v/>
      </c>
      <c r="K126" s="25">
        <f>D126/$H126</f>
        <v/>
      </c>
      <c r="L126" s="25">
        <f>E126/$H126</f>
        <v/>
      </c>
      <c r="M126" s="25">
        <f>F126/$H126</f>
        <v/>
      </c>
      <c r="N126" s="25">
        <f>G126/$H126</f>
        <v/>
      </c>
      <c r="O126" s="25">
        <f>SUM(MMULT(I126:N126,'07 Annualised Inputs'!$D$7:$D$12))</f>
        <v/>
      </c>
      <c r="P126" s="25">
        <f>SQRT(SUMPRODUCT(MMULT(I126:N126,'07 Annualised Inputs'!$B$17:$G$22),I126:N126))</f>
        <v/>
      </c>
      <c r="Q126" s="37">
        <f>(O126-'02 Config'!$B$10)/P126</f>
        <v/>
      </c>
    </row>
    <row r="127">
      <c r="A127" s="12" t="n">
        <v>122</v>
      </c>
      <c r="B127" s="36" t="n">
        <v>0.2460666115049385</v>
      </c>
      <c r="C127" s="36" t="n">
        <v>0.06553043391838242</v>
      </c>
      <c r="D127" s="36" t="n">
        <v>0.4551178424117623</v>
      </c>
      <c r="E127" s="36" t="n">
        <v>0.5160878012571124</v>
      </c>
      <c r="F127" s="36" t="n">
        <v>0.3125699490285839</v>
      </c>
      <c r="G127" s="36" t="n">
        <v>0.05096048257488606</v>
      </c>
      <c r="H127" s="37">
        <f>SUM(B127:G127)</f>
        <v/>
      </c>
      <c r="I127" s="25">
        <f>B127/$H127</f>
        <v/>
      </c>
      <c r="J127" s="25">
        <f>C127/$H127</f>
        <v/>
      </c>
      <c r="K127" s="25">
        <f>D127/$H127</f>
        <v/>
      </c>
      <c r="L127" s="25">
        <f>E127/$H127</f>
        <v/>
      </c>
      <c r="M127" s="25">
        <f>F127/$H127</f>
        <v/>
      </c>
      <c r="N127" s="25">
        <f>G127/$H127</f>
        <v/>
      </c>
      <c r="O127" s="25">
        <f>SUM(MMULT(I127:N127,'07 Annualised Inputs'!$D$7:$D$12))</f>
        <v/>
      </c>
      <c r="P127" s="25">
        <f>SQRT(SUMPRODUCT(MMULT(I127:N127,'07 Annualised Inputs'!$B$17:$G$22),I127:N127))</f>
        <v/>
      </c>
      <c r="Q127" s="37">
        <f>(O127-'02 Config'!$B$10)/P127</f>
        <v/>
      </c>
    </row>
    <row r="128">
      <c r="A128" s="12" t="n">
        <v>123</v>
      </c>
      <c r="B128" s="36" t="n">
        <v>0.1116003682492267</v>
      </c>
      <c r="C128" s="36" t="n">
        <v>0.3845043779899281</v>
      </c>
      <c r="D128" s="36" t="n">
        <v>0.06052845082653613</v>
      </c>
      <c r="E128" s="36" t="n">
        <v>0.6981897256099134</v>
      </c>
      <c r="F128" s="36" t="n">
        <v>0.207020541524812</v>
      </c>
      <c r="G128" s="36" t="n">
        <v>0.3020715687836385</v>
      </c>
      <c r="H128" s="37">
        <f>SUM(B128:G128)</f>
        <v/>
      </c>
      <c r="I128" s="25">
        <f>B128/$H128</f>
        <v/>
      </c>
      <c r="J128" s="25">
        <f>C128/$H128</f>
        <v/>
      </c>
      <c r="K128" s="25">
        <f>D128/$H128</f>
        <v/>
      </c>
      <c r="L128" s="25">
        <f>E128/$H128</f>
        <v/>
      </c>
      <c r="M128" s="25">
        <f>F128/$H128</f>
        <v/>
      </c>
      <c r="N128" s="25">
        <f>G128/$H128</f>
        <v/>
      </c>
      <c r="O128" s="25">
        <f>SUM(MMULT(I128:N128,'07 Annualised Inputs'!$D$7:$D$12))</f>
        <v/>
      </c>
      <c r="P128" s="25">
        <f>SQRT(SUMPRODUCT(MMULT(I128:N128,'07 Annualised Inputs'!$B$17:$G$22),I128:N128))</f>
        <v/>
      </c>
      <c r="Q128" s="37">
        <f>(O128-'02 Config'!$B$10)/P128</f>
        <v/>
      </c>
    </row>
    <row r="129">
      <c r="A129" s="12" t="n">
        <v>124</v>
      </c>
      <c r="B129" s="36" t="n">
        <v>0.3941257771780975</v>
      </c>
      <c r="C129" s="36" t="n">
        <v>0.4166096330691479</v>
      </c>
      <c r="D129" s="36" t="n">
        <v>0.001660707674800532</v>
      </c>
      <c r="E129" s="36" t="n">
        <v>0.1120703709986975</v>
      </c>
      <c r="F129" s="36" t="n">
        <v>0.8627645637408781</v>
      </c>
      <c r="G129" s="36" t="n">
        <v>0.001233062511908134</v>
      </c>
      <c r="H129" s="37">
        <f>SUM(B129:G129)</f>
        <v/>
      </c>
      <c r="I129" s="25">
        <f>B129/$H129</f>
        <v/>
      </c>
      <c r="J129" s="25">
        <f>C129/$H129</f>
        <v/>
      </c>
      <c r="K129" s="25">
        <f>D129/$H129</f>
        <v/>
      </c>
      <c r="L129" s="25">
        <f>E129/$H129</f>
        <v/>
      </c>
      <c r="M129" s="25">
        <f>F129/$H129</f>
        <v/>
      </c>
      <c r="N129" s="25">
        <f>G129/$H129</f>
        <v/>
      </c>
      <c r="O129" s="25">
        <f>SUM(MMULT(I129:N129,'07 Annualised Inputs'!$D$7:$D$12))</f>
        <v/>
      </c>
      <c r="P129" s="25">
        <f>SQRT(SUMPRODUCT(MMULT(I129:N129,'07 Annualised Inputs'!$B$17:$G$22),I129:N129))</f>
        <v/>
      </c>
      <c r="Q129" s="37">
        <f>(O129-'02 Config'!$B$10)/P129</f>
        <v/>
      </c>
    </row>
    <row r="130">
      <c r="A130" s="12" t="n">
        <v>125</v>
      </c>
      <c r="B130" s="36" t="n">
        <v>0.5081673558128751</v>
      </c>
      <c r="C130" s="36" t="n">
        <v>0.4895020065072081</v>
      </c>
      <c r="D130" s="36" t="n">
        <v>0.3330941610106378</v>
      </c>
      <c r="E130" s="36" t="n">
        <v>0.4313270201464496</v>
      </c>
      <c r="F130" s="36" t="n">
        <v>0.7805811375265843</v>
      </c>
      <c r="G130" s="36" t="n">
        <v>0.8412037062149564</v>
      </c>
      <c r="H130" s="37">
        <f>SUM(B130:G130)</f>
        <v/>
      </c>
      <c r="I130" s="25">
        <f>B130/$H130</f>
        <v/>
      </c>
      <c r="J130" s="25">
        <f>C130/$H130</f>
        <v/>
      </c>
      <c r="K130" s="25">
        <f>D130/$H130</f>
        <v/>
      </c>
      <c r="L130" s="25">
        <f>E130/$H130</f>
        <v/>
      </c>
      <c r="M130" s="25">
        <f>F130/$H130</f>
        <v/>
      </c>
      <c r="N130" s="25">
        <f>G130/$H130</f>
        <v/>
      </c>
      <c r="O130" s="25">
        <f>SUM(MMULT(I130:N130,'07 Annualised Inputs'!$D$7:$D$12))</f>
        <v/>
      </c>
      <c r="P130" s="25">
        <f>SQRT(SUMPRODUCT(MMULT(I130:N130,'07 Annualised Inputs'!$B$17:$G$22),I130:N130))</f>
        <v/>
      </c>
      <c r="Q130" s="37">
        <f>(O130-'02 Config'!$B$10)/P130</f>
        <v/>
      </c>
    </row>
    <row r="131">
      <c r="A131" s="12" t="n">
        <v>126</v>
      </c>
      <c r="B131" s="36" t="n">
        <v>0.26034854341525</v>
      </c>
      <c r="C131" s="36" t="n">
        <v>0.3224904409677298</v>
      </c>
      <c r="D131" s="36" t="n">
        <v>0.2424828530283327</v>
      </c>
      <c r="E131" s="36" t="n">
        <v>0.4798634005510651</v>
      </c>
      <c r="F131" s="36" t="n">
        <v>0.6832583576588129</v>
      </c>
      <c r="G131" s="36" t="n">
        <v>0.2282528754634205</v>
      </c>
      <c r="H131" s="37">
        <f>SUM(B131:G131)</f>
        <v/>
      </c>
      <c r="I131" s="25">
        <f>B131/$H131</f>
        <v/>
      </c>
      <c r="J131" s="25">
        <f>C131/$H131</f>
        <v/>
      </c>
      <c r="K131" s="25">
        <f>D131/$H131</f>
        <v/>
      </c>
      <c r="L131" s="25">
        <f>E131/$H131</f>
        <v/>
      </c>
      <c r="M131" s="25">
        <f>F131/$H131</f>
        <v/>
      </c>
      <c r="N131" s="25">
        <f>G131/$H131</f>
        <v/>
      </c>
      <c r="O131" s="25">
        <f>SUM(MMULT(I131:N131,'07 Annualised Inputs'!$D$7:$D$12))</f>
        <v/>
      </c>
      <c r="P131" s="25">
        <f>SQRT(SUMPRODUCT(MMULT(I131:N131,'07 Annualised Inputs'!$B$17:$G$22),I131:N131))</f>
        <v/>
      </c>
      <c r="Q131" s="37">
        <f>(O131-'02 Config'!$B$10)/P131</f>
        <v/>
      </c>
    </row>
    <row r="132">
      <c r="A132" s="12" t="n">
        <v>127</v>
      </c>
      <c r="B132" s="36" t="n">
        <v>0.3307357420548667</v>
      </c>
      <c r="C132" s="36" t="n">
        <v>0.9303846175891505</v>
      </c>
      <c r="D132" s="36" t="n">
        <v>0.04856928984695807</v>
      </c>
      <c r="E132" s="36" t="n">
        <v>0.4607696052395662</v>
      </c>
      <c r="F132" s="36" t="n">
        <v>0.7115580415967778</v>
      </c>
      <c r="G132" s="36" t="n">
        <v>0.1504540115574741</v>
      </c>
      <c r="H132" s="37">
        <f>SUM(B132:G132)</f>
        <v/>
      </c>
      <c r="I132" s="25">
        <f>B132/$H132</f>
        <v/>
      </c>
      <c r="J132" s="25">
        <f>C132/$H132</f>
        <v/>
      </c>
      <c r="K132" s="25">
        <f>D132/$H132</f>
        <v/>
      </c>
      <c r="L132" s="25">
        <f>E132/$H132</f>
        <v/>
      </c>
      <c r="M132" s="25">
        <f>F132/$H132</f>
        <v/>
      </c>
      <c r="N132" s="25">
        <f>G132/$H132</f>
        <v/>
      </c>
      <c r="O132" s="25">
        <f>SUM(MMULT(I132:N132,'07 Annualised Inputs'!$D$7:$D$12))</f>
        <v/>
      </c>
      <c r="P132" s="25">
        <f>SQRT(SUMPRODUCT(MMULT(I132:N132,'07 Annualised Inputs'!$B$17:$G$22),I132:N132))</f>
        <v/>
      </c>
      <c r="Q132" s="37">
        <f>(O132-'02 Config'!$B$10)/P132</f>
        <v/>
      </c>
    </row>
    <row r="133">
      <c r="A133" s="12" t="n">
        <v>128</v>
      </c>
      <c r="B133" s="36" t="n">
        <v>0.04737402000548185</v>
      </c>
      <c r="C133" s="36" t="n">
        <v>0.1382053716385307</v>
      </c>
      <c r="D133" s="36" t="n">
        <v>0.9188231935306829</v>
      </c>
      <c r="E133" s="36" t="n">
        <v>0.009259781821123414</v>
      </c>
      <c r="F133" s="36" t="n">
        <v>0.1883219748113518</v>
      </c>
      <c r="G133" s="36" t="n">
        <v>0.03128351290164455</v>
      </c>
      <c r="H133" s="37">
        <f>SUM(B133:G133)</f>
        <v/>
      </c>
      <c r="I133" s="25">
        <f>B133/$H133</f>
        <v/>
      </c>
      <c r="J133" s="25">
        <f>C133/$H133</f>
        <v/>
      </c>
      <c r="K133" s="25">
        <f>D133/$H133</f>
        <v/>
      </c>
      <c r="L133" s="25">
        <f>E133/$H133</f>
        <v/>
      </c>
      <c r="M133" s="25">
        <f>F133/$H133</f>
        <v/>
      </c>
      <c r="N133" s="25">
        <f>G133/$H133</f>
        <v/>
      </c>
      <c r="O133" s="25">
        <f>SUM(MMULT(I133:N133,'07 Annualised Inputs'!$D$7:$D$12))</f>
        <v/>
      </c>
      <c r="P133" s="25">
        <f>SQRT(SUMPRODUCT(MMULT(I133:N133,'07 Annualised Inputs'!$B$17:$G$22),I133:N133))</f>
        <v/>
      </c>
      <c r="Q133" s="37">
        <f>(O133-'02 Config'!$B$10)/P133</f>
        <v/>
      </c>
    </row>
    <row r="134">
      <c r="A134" s="12" t="n">
        <v>129</v>
      </c>
      <c r="B134" s="36" t="n">
        <v>0.1106294675622033</v>
      </c>
      <c r="C134" s="36" t="n">
        <v>0.6201492866282963</v>
      </c>
      <c r="D134" s="36" t="n">
        <v>0.2416389087390858</v>
      </c>
      <c r="E134" s="36" t="n">
        <v>0.5692120504306768</v>
      </c>
      <c r="F134" s="36" t="n">
        <v>0.5901953827661262</v>
      </c>
      <c r="G134" s="36" t="n">
        <v>0.849435333089779</v>
      </c>
      <c r="H134" s="37">
        <f>SUM(B134:G134)</f>
        <v/>
      </c>
      <c r="I134" s="25">
        <f>B134/$H134</f>
        <v/>
      </c>
      <c r="J134" s="25">
        <f>C134/$H134</f>
        <v/>
      </c>
      <c r="K134" s="25">
        <f>D134/$H134</f>
        <v/>
      </c>
      <c r="L134" s="25">
        <f>E134/$H134</f>
        <v/>
      </c>
      <c r="M134" s="25">
        <f>F134/$H134</f>
        <v/>
      </c>
      <c r="N134" s="25">
        <f>G134/$H134</f>
        <v/>
      </c>
      <c r="O134" s="25">
        <f>SUM(MMULT(I134:N134,'07 Annualised Inputs'!$D$7:$D$12))</f>
        <v/>
      </c>
      <c r="P134" s="25">
        <f>SQRT(SUMPRODUCT(MMULT(I134:N134,'07 Annualised Inputs'!$B$17:$G$22),I134:N134))</f>
        <v/>
      </c>
      <c r="Q134" s="37">
        <f>(O134-'02 Config'!$B$10)/P134</f>
        <v/>
      </c>
    </row>
    <row r="135">
      <c r="A135" s="12" t="n">
        <v>130</v>
      </c>
      <c r="B135" s="36" t="n">
        <v>0.004741392911873921</v>
      </c>
      <c r="C135" s="36" t="n">
        <v>0.8533694593423667</v>
      </c>
      <c r="D135" s="36" t="n">
        <v>0.619119086426974</v>
      </c>
      <c r="E135" s="36" t="n">
        <v>0.1627434861049576</v>
      </c>
      <c r="F135" s="36" t="n">
        <v>0.772937388135284</v>
      </c>
      <c r="G135" s="36" t="n">
        <v>0.8554915417905857</v>
      </c>
      <c r="H135" s="37">
        <f>SUM(B135:G135)</f>
        <v/>
      </c>
      <c r="I135" s="25">
        <f>B135/$H135</f>
        <v/>
      </c>
      <c r="J135" s="25">
        <f>C135/$H135</f>
        <v/>
      </c>
      <c r="K135" s="25">
        <f>D135/$H135</f>
        <v/>
      </c>
      <c r="L135" s="25">
        <f>E135/$H135</f>
        <v/>
      </c>
      <c r="M135" s="25">
        <f>F135/$H135</f>
        <v/>
      </c>
      <c r="N135" s="25">
        <f>G135/$H135</f>
        <v/>
      </c>
      <c r="O135" s="25">
        <f>SUM(MMULT(I135:N135,'07 Annualised Inputs'!$D$7:$D$12))</f>
        <v/>
      </c>
      <c r="P135" s="25">
        <f>SQRT(SUMPRODUCT(MMULT(I135:N135,'07 Annualised Inputs'!$B$17:$G$22),I135:N135))</f>
        <v/>
      </c>
      <c r="Q135" s="37">
        <f>(O135-'02 Config'!$B$10)/P135</f>
        <v/>
      </c>
    </row>
    <row r="136">
      <c r="A136" s="12" t="n">
        <v>131</v>
      </c>
      <c r="B136" s="36" t="n">
        <v>0.2542634837541573</v>
      </c>
      <c r="C136" s="36" t="n">
        <v>0.9187936809026809</v>
      </c>
      <c r="D136" s="36" t="n">
        <v>0.4544574302986578</v>
      </c>
      <c r="E136" s="36" t="n">
        <v>0.6034244543333215</v>
      </c>
      <c r="F136" s="36" t="n">
        <v>0.9846495336176436</v>
      </c>
      <c r="G136" s="36" t="n">
        <v>0.3615360786391993</v>
      </c>
      <c r="H136" s="37">
        <f>SUM(B136:G136)</f>
        <v/>
      </c>
      <c r="I136" s="25">
        <f>B136/$H136</f>
        <v/>
      </c>
      <c r="J136" s="25">
        <f>C136/$H136</f>
        <v/>
      </c>
      <c r="K136" s="25">
        <f>D136/$H136</f>
        <v/>
      </c>
      <c r="L136" s="25">
        <f>E136/$H136</f>
        <v/>
      </c>
      <c r="M136" s="25">
        <f>F136/$H136</f>
        <v/>
      </c>
      <c r="N136" s="25">
        <f>G136/$H136</f>
        <v/>
      </c>
      <c r="O136" s="25">
        <f>SUM(MMULT(I136:N136,'07 Annualised Inputs'!$D$7:$D$12))</f>
        <v/>
      </c>
      <c r="P136" s="25">
        <f>SQRT(SUMPRODUCT(MMULT(I136:N136,'07 Annualised Inputs'!$B$17:$G$22),I136:N136))</f>
        <v/>
      </c>
      <c r="Q136" s="37">
        <f>(O136-'02 Config'!$B$10)/P136</f>
        <v/>
      </c>
    </row>
    <row r="137">
      <c r="A137" s="12" t="n">
        <v>132</v>
      </c>
      <c r="B137" s="36" t="n">
        <v>0.8131593458201128</v>
      </c>
      <c r="C137" s="36" t="n">
        <v>0.3183991178284596</v>
      </c>
      <c r="D137" s="36" t="n">
        <v>0.799213522241491</v>
      </c>
      <c r="E137" s="36" t="n">
        <v>0.6007339188626425</v>
      </c>
      <c r="F137" s="36" t="n">
        <v>0.2163556952254014</v>
      </c>
      <c r="G137" s="36" t="n">
        <v>0.4140260937892364</v>
      </c>
      <c r="H137" s="37">
        <f>SUM(B137:G137)</f>
        <v/>
      </c>
      <c r="I137" s="25">
        <f>B137/$H137</f>
        <v/>
      </c>
      <c r="J137" s="25">
        <f>C137/$H137</f>
        <v/>
      </c>
      <c r="K137" s="25">
        <f>D137/$H137</f>
        <v/>
      </c>
      <c r="L137" s="25">
        <f>E137/$H137</f>
        <v/>
      </c>
      <c r="M137" s="25">
        <f>F137/$H137</f>
        <v/>
      </c>
      <c r="N137" s="25">
        <f>G137/$H137</f>
        <v/>
      </c>
      <c r="O137" s="25">
        <f>SUM(MMULT(I137:N137,'07 Annualised Inputs'!$D$7:$D$12))</f>
        <v/>
      </c>
      <c r="P137" s="25">
        <f>SQRT(SUMPRODUCT(MMULT(I137:N137,'07 Annualised Inputs'!$B$17:$G$22),I137:N137))</f>
        <v/>
      </c>
      <c r="Q137" s="37">
        <f>(O137-'02 Config'!$B$10)/P137</f>
        <v/>
      </c>
    </row>
    <row r="138">
      <c r="A138" s="12" t="n">
        <v>133</v>
      </c>
      <c r="B138" s="36" t="n">
        <v>0.3176356343635617</v>
      </c>
      <c r="C138" s="36" t="n">
        <v>0.07810839308036388</v>
      </c>
      <c r="D138" s="36" t="n">
        <v>0.02983477009969748</v>
      </c>
      <c r="E138" s="36" t="n">
        <v>0.3464786554071809</v>
      </c>
      <c r="F138" s="36" t="n">
        <v>0.01903414781748658</v>
      </c>
      <c r="G138" s="36" t="n">
        <v>0.165487757581775</v>
      </c>
      <c r="H138" s="37">
        <f>SUM(B138:G138)</f>
        <v/>
      </c>
      <c r="I138" s="25">
        <f>B138/$H138</f>
        <v/>
      </c>
      <c r="J138" s="25">
        <f>C138/$H138</f>
        <v/>
      </c>
      <c r="K138" s="25">
        <f>D138/$H138</f>
        <v/>
      </c>
      <c r="L138" s="25">
        <f>E138/$H138</f>
        <v/>
      </c>
      <c r="M138" s="25">
        <f>F138/$H138</f>
        <v/>
      </c>
      <c r="N138" s="25">
        <f>G138/$H138</f>
        <v/>
      </c>
      <c r="O138" s="25">
        <f>SUM(MMULT(I138:N138,'07 Annualised Inputs'!$D$7:$D$12))</f>
        <v/>
      </c>
      <c r="P138" s="25">
        <f>SQRT(SUMPRODUCT(MMULT(I138:N138,'07 Annualised Inputs'!$B$17:$G$22),I138:N138))</f>
        <v/>
      </c>
      <c r="Q138" s="37">
        <f>(O138-'02 Config'!$B$10)/P138</f>
        <v/>
      </c>
    </row>
    <row r="139">
      <c r="A139" s="12" t="n">
        <v>134</v>
      </c>
      <c r="B139" s="36" t="n">
        <v>0.7251833208508688</v>
      </c>
      <c r="C139" s="36" t="n">
        <v>0.7080912356835879</v>
      </c>
      <c r="D139" s="36" t="n">
        <v>0.7385803864573827</v>
      </c>
      <c r="E139" s="36" t="n">
        <v>0.3171531711299788</v>
      </c>
      <c r="F139" s="36" t="n">
        <v>0.8900194571176955</v>
      </c>
      <c r="G139" s="36" t="n">
        <v>0.5938305480284476</v>
      </c>
      <c r="H139" s="37">
        <f>SUM(B139:G139)</f>
        <v/>
      </c>
      <c r="I139" s="25">
        <f>B139/$H139</f>
        <v/>
      </c>
      <c r="J139" s="25">
        <f>C139/$H139</f>
        <v/>
      </c>
      <c r="K139" s="25">
        <f>D139/$H139</f>
        <v/>
      </c>
      <c r="L139" s="25">
        <f>E139/$H139</f>
        <v/>
      </c>
      <c r="M139" s="25">
        <f>F139/$H139</f>
        <v/>
      </c>
      <c r="N139" s="25">
        <f>G139/$H139</f>
        <v/>
      </c>
      <c r="O139" s="25">
        <f>SUM(MMULT(I139:N139,'07 Annualised Inputs'!$D$7:$D$12))</f>
        <v/>
      </c>
      <c r="P139" s="25">
        <f>SQRT(SUMPRODUCT(MMULT(I139:N139,'07 Annualised Inputs'!$B$17:$G$22),I139:N139))</f>
        <v/>
      </c>
      <c r="Q139" s="37">
        <f>(O139-'02 Config'!$B$10)/P139</f>
        <v/>
      </c>
    </row>
    <row r="140">
      <c r="A140" s="12" t="n">
        <v>135</v>
      </c>
      <c r="B140" s="36" t="n">
        <v>0.1260263417466265</v>
      </c>
      <c r="C140" s="36" t="n">
        <v>0.1437186614555341</v>
      </c>
      <c r="D140" s="36" t="n">
        <v>0.6930954269297015</v>
      </c>
      <c r="E140" s="36" t="n">
        <v>0.1729439364420781</v>
      </c>
      <c r="F140" s="36" t="n">
        <v>0.5072927015820433</v>
      </c>
      <c r="G140" s="36" t="n">
        <v>0.9917744759287107</v>
      </c>
      <c r="H140" s="37">
        <f>SUM(B140:G140)</f>
        <v/>
      </c>
      <c r="I140" s="25">
        <f>B140/$H140</f>
        <v/>
      </c>
      <c r="J140" s="25">
        <f>C140/$H140</f>
        <v/>
      </c>
      <c r="K140" s="25">
        <f>D140/$H140</f>
        <v/>
      </c>
      <c r="L140" s="25">
        <f>E140/$H140</f>
        <v/>
      </c>
      <c r="M140" s="25">
        <f>F140/$H140</f>
        <v/>
      </c>
      <c r="N140" s="25">
        <f>G140/$H140</f>
        <v/>
      </c>
      <c r="O140" s="25">
        <f>SUM(MMULT(I140:N140,'07 Annualised Inputs'!$D$7:$D$12))</f>
        <v/>
      </c>
      <c r="P140" s="25">
        <f>SQRT(SUMPRODUCT(MMULT(I140:N140,'07 Annualised Inputs'!$B$17:$G$22),I140:N140))</f>
        <v/>
      </c>
      <c r="Q140" s="37">
        <f>(O140-'02 Config'!$B$10)/P140</f>
        <v/>
      </c>
    </row>
    <row r="141">
      <c r="A141" s="12" t="n">
        <v>136</v>
      </c>
      <c r="B141" s="36" t="n">
        <v>0.004007604733339498</v>
      </c>
      <c r="C141" s="36" t="n">
        <v>0.01657980189755692</v>
      </c>
      <c r="D141" s="36" t="n">
        <v>0.9930845819305065</v>
      </c>
      <c r="E141" s="36" t="n">
        <v>0.5846388341341655</v>
      </c>
      <c r="F141" s="36" t="n">
        <v>0.1269099755185131</v>
      </c>
      <c r="G141" s="36" t="n">
        <v>0.8973021997540936</v>
      </c>
      <c r="H141" s="37">
        <f>SUM(B141:G141)</f>
        <v/>
      </c>
      <c r="I141" s="25">
        <f>B141/$H141</f>
        <v/>
      </c>
      <c r="J141" s="25">
        <f>C141/$H141</f>
        <v/>
      </c>
      <c r="K141" s="25">
        <f>D141/$H141</f>
        <v/>
      </c>
      <c r="L141" s="25">
        <f>E141/$H141</f>
        <v/>
      </c>
      <c r="M141" s="25">
        <f>F141/$H141</f>
        <v/>
      </c>
      <c r="N141" s="25">
        <f>G141/$H141</f>
        <v/>
      </c>
      <c r="O141" s="25">
        <f>SUM(MMULT(I141:N141,'07 Annualised Inputs'!$D$7:$D$12))</f>
        <v/>
      </c>
      <c r="P141" s="25">
        <f>SQRT(SUMPRODUCT(MMULT(I141:N141,'07 Annualised Inputs'!$B$17:$G$22),I141:N141))</f>
        <v/>
      </c>
      <c r="Q141" s="37">
        <f>(O141-'02 Config'!$B$10)/P141</f>
        <v/>
      </c>
    </row>
    <row r="142">
      <c r="A142" s="12" t="n">
        <v>137</v>
      </c>
      <c r="B142" s="36" t="n">
        <v>0.8803803001276922</v>
      </c>
      <c r="C142" s="36" t="n">
        <v>0.5362004131113752</v>
      </c>
      <c r="D142" s="36" t="n">
        <v>0.6217920298607565</v>
      </c>
      <c r="E142" s="36" t="n">
        <v>0.2731871915008763</v>
      </c>
      <c r="F142" s="36" t="n">
        <v>0.05051969637200515</v>
      </c>
      <c r="G142" s="36" t="n">
        <v>0.5945676088908644</v>
      </c>
      <c r="H142" s="37">
        <f>SUM(B142:G142)</f>
        <v/>
      </c>
      <c r="I142" s="25">
        <f>B142/$H142</f>
        <v/>
      </c>
      <c r="J142" s="25">
        <f>C142/$H142</f>
        <v/>
      </c>
      <c r="K142" s="25">
        <f>D142/$H142</f>
        <v/>
      </c>
      <c r="L142" s="25">
        <f>E142/$H142</f>
        <v/>
      </c>
      <c r="M142" s="25">
        <f>F142/$H142</f>
        <v/>
      </c>
      <c r="N142" s="25">
        <f>G142/$H142</f>
        <v/>
      </c>
      <c r="O142" s="25">
        <f>SUM(MMULT(I142:N142,'07 Annualised Inputs'!$D$7:$D$12))</f>
        <v/>
      </c>
      <c r="P142" s="25">
        <f>SQRT(SUMPRODUCT(MMULT(I142:N142,'07 Annualised Inputs'!$B$17:$G$22),I142:N142))</f>
        <v/>
      </c>
      <c r="Q142" s="37">
        <f>(O142-'02 Config'!$B$10)/P142</f>
        <v/>
      </c>
    </row>
    <row r="143">
      <c r="A143" s="12" t="n">
        <v>138</v>
      </c>
      <c r="B143" s="36" t="n">
        <v>0.294755193202763</v>
      </c>
      <c r="C143" s="36" t="n">
        <v>0.6636210466603519</v>
      </c>
      <c r="D143" s="36" t="n">
        <v>0.8362451768426012</v>
      </c>
      <c r="E143" s="36" t="n">
        <v>0.01816054391436406</v>
      </c>
      <c r="F143" s="36" t="n">
        <v>0.5957137746857274</v>
      </c>
      <c r="G143" s="36" t="n">
        <v>0.2312805396868522</v>
      </c>
      <c r="H143" s="37">
        <f>SUM(B143:G143)</f>
        <v/>
      </c>
      <c r="I143" s="25">
        <f>B143/$H143</f>
        <v/>
      </c>
      <c r="J143" s="25">
        <f>C143/$H143</f>
        <v/>
      </c>
      <c r="K143" s="25">
        <f>D143/$H143</f>
        <v/>
      </c>
      <c r="L143" s="25">
        <f>E143/$H143</f>
        <v/>
      </c>
      <c r="M143" s="25">
        <f>F143/$H143</f>
        <v/>
      </c>
      <c r="N143" s="25">
        <f>G143/$H143</f>
        <v/>
      </c>
      <c r="O143" s="25">
        <f>SUM(MMULT(I143:N143,'07 Annualised Inputs'!$D$7:$D$12))</f>
        <v/>
      </c>
      <c r="P143" s="25">
        <f>SQRT(SUMPRODUCT(MMULT(I143:N143,'07 Annualised Inputs'!$B$17:$G$22),I143:N143))</f>
        <v/>
      </c>
      <c r="Q143" s="37">
        <f>(O143-'02 Config'!$B$10)/P143</f>
        <v/>
      </c>
    </row>
    <row r="144">
      <c r="A144" s="12" t="n">
        <v>139</v>
      </c>
      <c r="B144" s="36" t="n">
        <v>0.8738884979038014</v>
      </c>
      <c r="C144" s="36" t="n">
        <v>0.2536645065618285</v>
      </c>
      <c r="D144" s="36" t="n">
        <v>0.6107701332354183</v>
      </c>
      <c r="E144" s="36" t="n">
        <v>0.5535408400896115</v>
      </c>
      <c r="F144" s="36" t="n">
        <v>0.3961665000592489</v>
      </c>
      <c r="G144" s="36" t="n">
        <v>0.6776207635997941</v>
      </c>
      <c r="H144" s="37">
        <f>SUM(B144:G144)</f>
        <v/>
      </c>
      <c r="I144" s="25">
        <f>B144/$H144</f>
        <v/>
      </c>
      <c r="J144" s="25">
        <f>C144/$H144</f>
        <v/>
      </c>
      <c r="K144" s="25">
        <f>D144/$H144</f>
        <v/>
      </c>
      <c r="L144" s="25">
        <f>E144/$H144</f>
        <v/>
      </c>
      <c r="M144" s="25">
        <f>F144/$H144</f>
        <v/>
      </c>
      <c r="N144" s="25">
        <f>G144/$H144</f>
        <v/>
      </c>
      <c r="O144" s="25">
        <f>SUM(MMULT(I144:N144,'07 Annualised Inputs'!$D$7:$D$12))</f>
        <v/>
      </c>
      <c r="P144" s="25">
        <f>SQRT(SUMPRODUCT(MMULT(I144:N144,'07 Annualised Inputs'!$B$17:$G$22),I144:N144))</f>
        <v/>
      </c>
      <c r="Q144" s="37">
        <f>(O144-'02 Config'!$B$10)/P144</f>
        <v/>
      </c>
    </row>
    <row r="145">
      <c r="A145" s="12" t="n">
        <v>140</v>
      </c>
      <c r="B145" s="36" t="n">
        <v>0.7257696347154339</v>
      </c>
      <c r="C145" s="36" t="n">
        <v>0.5669377953193868</v>
      </c>
      <c r="D145" s="36" t="n">
        <v>0.7584222371847541</v>
      </c>
      <c r="E145" s="36" t="n">
        <v>0.9834170759929376</v>
      </c>
      <c r="F145" s="36" t="n">
        <v>0.4192723879008051</v>
      </c>
      <c r="G145" s="36" t="n">
        <v>0.5145830518855309</v>
      </c>
      <c r="H145" s="37">
        <f>SUM(B145:G145)</f>
        <v/>
      </c>
      <c r="I145" s="25">
        <f>B145/$H145</f>
        <v/>
      </c>
      <c r="J145" s="25">
        <f>C145/$H145</f>
        <v/>
      </c>
      <c r="K145" s="25">
        <f>D145/$H145</f>
        <v/>
      </c>
      <c r="L145" s="25">
        <f>E145/$H145</f>
        <v/>
      </c>
      <c r="M145" s="25">
        <f>F145/$H145</f>
        <v/>
      </c>
      <c r="N145" s="25">
        <f>G145/$H145</f>
        <v/>
      </c>
      <c r="O145" s="25">
        <f>SUM(MMULT(I145:N145,'07 Annualised Inputs'!$D$7:$D$12))</f>
        <v/>
      </c>
      <c r="P145" s="25">
        <f>SQRT(SUMPRODUCT(MMULT(I145:N145,'07 Annualised Inputs'!$B$17:$G$22),I145:N145))</f>
        <v/>
      </c>
      <c r="Q145" s="37">
        <f>(O145-'02 Config'!$B$10)/P145</f>
        <v/>
      </c>
    </row>
    <row r="146">
      <c r="A146" s="12" t="n">
        <v>141</v>
      </c>
      <c r="B146" s="36" t="n">
        <v>0.01246987794121324</v>
      </c>
      <c r="C146" s="36" t="n">
        <v>0.7960285563103784</v>
      </c>
      <c r="D146" s="36" t="n">
        <v>0.5202300670459938</v>
      </c>
      <c r="E146" s="36" t="n">
        <v>0.4079614303605652</v>
      </c>
      <c r="F146" s="36" t="n">
        <v>0.0940719630893958</v>
      </c>
      <c r="G146" s="36" t="n">
        <v>0.8896564216753973</v>
      </c>
      <c r="H146" s="37">
        <f>SUM(B146:G146)</f>
        <v/>
      </c>
      <c r="I146" s="25">
        <f>B146/$H146</f>
        <v/>
      </c>
      <c r="J146" s="25">
        <f>C146/$H146</f>
        <v/>
      </c>
      <c r="K146" s="25">
        <f>D146/$H146</f>
        <v/>
      </c>
      <c r="L146" s="25">
        <f>E146/$H146</f>
        <v/>
      </c>
      <c r="M146" s="25">
        <f>F146/$H146</f>
        <v/>
      </c>
      <c r="N146" s="25">
        <f>G146/$H146</f>
        <v/>
      </c>
      <c r="O146" s="25">
        <f>SUM(MMULT(I146:N146,'07 Annualised Inputs'!$D$7:$D$12))</f>
        <v/>
      </c>
      <c r="P146" s="25">
        <f>SQRT(SUMPRODUCT(MMULT(I146:N146,'07 Annualised Inputs'!$B$17:$G$22),I146:N146))</f>
        <v/>
      </c>
      <c r="Q146" s="37">
        <f>(O146-'02 Config'!$B$10)/P146</f>
        <v/>
      </c>
    </row>
    <row r="147">
      <c r="A147" s="12" t="n">
        <v>142</v>
      </c>
      <c r="B147" s="36" t="n">
        <v>0.3950072400405564</v>
      </c>
      <c r="C147" s="36" t="n">
        <v>0.6825815982092204</v>
      </c>
      <c r="D147" s="36" t="n">
        <v>0.1493741563681508</v>
      </c>
      <c r="E147" s="36" t="n">
        <v>0.9615496295410325</v>
      </c>
      <c r="F147" s="36" t="n">
        <v>0.1784417618218309</v>
      </c>
      <c r="G147" s="36" t="n">
        <v>0.1995419928994904</v>
      </c>
      <c r="H147" s="37">
        <f>SUM(B147:G147)</f>
        <v/>
      </c>
      <c r="I147" s="25">
        <f>B147/$H147</f>
        <v/>
      </c>
      <c r="J147" s="25">
        <f>C147/$H147</f>
        <v/>
      </c>
      <c r="K147" s="25">
        <f>D147/$H147</f>
        <v/>
      </c>
      <c r="L147" s="25">
        <f>E147/$H147</f>
        <v/>
      </c>
      <c r="M147" s="25">
        <f>F147/$H147</f>
        <v/>
      </c>
      <c r="N147" s="25">
        <f>G147/$H147</f>
        <v/>
      </c>
      <c r="O147" s="25">
        <f>SUM(MMULT(I147:N147,'07 Annualised Inputs'!$D$7:$D$12))</f>
        <v/>
      </c>
      <c r="P147" s="25">
        <f>SQRT(SUMPRODUCT(MMULT(I147:N147,'07 Annualised Inputs'!$B$17:$G$22),I147:N147))</f>
        <v/>
      </c>
      <c r="Q147" s="37">
        <f>(O147-'02 Config'!$B$10)/P147</f>
        <v/>
      </c>
    </row>
    <row r="148">
      <c r="A148" s="12" t="n">
        <v>143</v>
      </c>
      <c r="B148" s="36" t="n">
        <v>0.8589828605577138</v>
      </c>
      <c r="C148" s="36" t="n">
        <v>0.9125827441419312</v>
      </c>
      <c r="D148" s="36" t="n">
        <v>0.2121474075233014</v>
      </c>
      <c r="E148" s="36" t="n">
        <v>0.4698008881748279</v>
      </c>
      <c r="F148" s="36" t="n">
        <v>0.7334949045628298</v>
      </c>
      <c r="G148" s="36" t="n">
        <v>0.8783657338108016</v>
      </c>
      <c r="H148" s="37">
        <f>SUM(B148:G148)</f>
        <v/>
      </c>
      <c r="I148" s="25">
        <f>B148/$H148</f>
        <v/>
      </c>
      <c r="J148" s="25">
        <f>C148/$H148</f>
        <v/>
      </c>
      <c r="K148" s="25">
        <f>D148/$H148</f>
        <v/>
      </c>
      <c r="L148" s="25">
        <f>E148/$H148</f>
        <v/>
      </c>
      <c r="M148" s="25">
        <f>F148/$H148</f>
        <v/>
      </c>
      <c r="N148" s="25">
        <f>G148/$H148</f>
        <v/>
      </c>
      <c r="O148" s="25">
        <f>SUM(MMULT(I148:N148,'07 Annualised Inputs'!$D$7:$D$12))</f>
        <v/>
      </c>
      <c r="P148" s="25">
        <f>SQRT(SUMPRODUCT(MMULT(I148:N148,'07 Annualised Inputs'!$B$17:$G$22),I148:N148))</f>
        <v/>
      </c>
      <c r="Q148" s="37">
        <f>(O148-'02 Config'!$B$10)/P148</f>
        <v/>
      </c>
    </row>
    <row r="149">
      <c r="A149" s="12" t="n">
        <v>144</v>
      </c>
      <c r="B149" s="36" t="n">
        <v>0.3790526950373052</v>
      </c>
      <c r="C149" s="36" t="n">
        <v>0.5170194868494292</v>
      </c>
      <c r="D149" s="36" t="n">
        <v>0.7417164105197349</v>
      </c>
      <c r="E149" s="36" t="n">
        <v>0.7311359766527954</v>
      </c>
      <c r="F149" s="36" t="n">
        <v>0.7829601300260849</v>
      </c>
      <c r="G149" s="36" t="n">
        <v>0.5699338186415264</v>
      </c>
      <c r="H149" s="37">
        <f>SUM(B149:G149)</f>
        <v/>
      </c>
      <c r="I149" s="25">
        <f>B149/$H149</f>
        <v/>
      </c>
      <c r="J149" s="25">
        <f>C149/$H149</f>
        <v/>
      </c>
      <c r="K149" s="25">
        <f>D149/$H149</f>
        <v/>
      </c>
      <c r="L149" s="25">
        <f>E149/$H149</f>
        <v/>
      </c>
      <c r="M149" s="25">
        <f>F149/$H149</f>
        <v/>
      </c>
      <c r="N149" s="25">
        <f>G149/$H149</f>
        <v/>
      </c>
      <c r="O149" s="25">
        <f>SUM(MMULT(I149:N149,'07 Annualised Inputs'!$D$7:$D$12))</f>
        <v/>
      </c>
      <c r="P149" s="25">
        <f>SQRT(SUMPRODUCT(MMULT(I149:N149,'07 Annualised Inputs'!$B$17:$G$22),I149:N149))</f>
        <v/>
      </c>
      <c r="Q149" s="37">
        <f>(O149-'02 Config'!$B$10)/P149</f>
        <v/>
      </c>
    </row>
    <row r="150">
      <c r="A150" s="12" t="n">
        <v>145</v>
      </c>
      <c r="B150" s="36" t="n">
        <v>0.1046150968047752</v>
      </c>
      <c r="C150" s="36" t="n">
        <v>0.90397329087804</v>
      </c>
      <c r="D150" s="36" t="n">
        <v>0.8655725393210282</v>
      </c>
      <c r="E150" s="36" t="n">
        <v>0.798097435818333</v>
      </c>
      <c r="F150" s="36" t="n">
        <v>0.09986247716072949</v>
      </c>
      <c r="G150" s="36" t="n">
        <v>0.2043973670814292</v>
      </c>
      <c r="H150" s="37">
        <f>SUM(B150:G150)</f>
        <v/>
      </c>
      <c r="I150" s="25">
        <f>B150/$H150</f>
        <v/>
      </c>
      <c r="J150" s="25">
        <f>C150/$H150</f>
        <v/>
      </c>
      <c r="K150" s="25">
        <f>D150/$H150</f>
        <v/>
      </c>
      <c r="L150" s="25">
        <f>E150/$H150</f>
        <v/>
      </c>
      <c r="M150" s="25">
        <f>F150/$H150</f>
        <v/>
      </c>
      <c r="N150" s="25">
        <f>G150/$H150</f>
        <v/>
      </c>
      <c r="O150" s="25">
        <f>SUM(MMULT(I150:N150,'07 Annualised Inputs'!$D$7:$D$12))</f>
        <v/>
      </c>
      <c r="P150" s="25">
        <f>SQRT(SUMPRODUCT(MMULT(I150:N150,'07 Annualised Inputs'!$B$17:$G$22),I150:N150))</f>
        <v/>
      </c>
      <c r="Q150" s="37">
        <f>(O150-'02 Config'!$B$10)/P150</f>
        <v/>
      </c>
    </row>
    <row r="151">
      <c r="A151" s="12" t="n">
        <v>146</v>
      </c>
      <c r="B151" s="36" t="n">
        <v>0.7436003651076519</v>
      </c>
      <c r="C151" s="36" t="n">
        <v>0.02314009458194644</v>
      </c>
      <c r="D151" s="36" t="n">
        <v>0.9792246337072796</v>
      </c>
      <c r="E151" s="36" t="n">
        <v>0.3771446803556807</v>
      </c>
      <c r="F151" s="36" t="n">
        <v>0.7193125336908236</v>
      </c>
      <c r="G151" s="36" t="n">
        <v>0.8875710884880433</v>
      </c>
      <c r="H151" s="37">
        <f>SUM(B151:G151)</f>
        <v/>
      </c>
      <c r="I151" s="25">
        <f>B151/$H151</f>
        <v/>
      </c>
      <c r="J151" s="25">
        <f>C151/$H151</f>
        <v/>
      </c>
      <c r="K151" s="25">
        <f>D151/$H151</f>
        <v/>
      </c>
      <c r="L151" s="25">
        <f>E151/$H151</f>
        <v/>
      </c>
      <c r="M151" s="25">
        <f>F151/$H151</f>
        <v/>
      </c>
      <c r="N151" s="25">
        <f>G151/$H151</f>
        <v/>
      </c>
      <c r="O151" s="25">
        <f>SUM(MMULT(I151:N151,'07 Annualised Inputs'!$D$7:$D$12))</f>
        <v/>
      </c>
      <c r="P151" s="25">
        <f>SQRT(SUMPRODUCT(MMULT(I151:N151,'07 Annualised Inputs'!$B$17:$G$22),I151:N151))</f>
        <v/>
      </c>
      <c r="Q151" s="37">
        <f>(O151-'02 Config'!$B$10)/P151</f>
        <v/>
      </c>
    </row>
    <row r="152">
      <c r="A152" s="12" t="n">
        <v>147</v>
      </c>
      <c r="B152" s="36" t="n">
        <v>0.3946298881500823</v>
      </c>
      <c r="C152" s="36" t="n">
        <v>0.319132488599666</v>
      </c>
      <c r="D152" s="36" t="n">
        <v>0.6087411288982467</v>
      </c>
      <c r="E152" s="36" t="n">
        <v>0.5809893737480507</v>
      </c>
      <c r="F152" s="36" t="n">
        <v>0.4091399776247971</v>
      </c>
      <c r="G152" s="36" t="n">
        <v>0.6017747558677085</v>
      </c>
      <c r="H152" s="37">
        <f>SUM(B152:G152)</f>
        <v/>
      </c>
      <c r="I152" s="25">
        <f>B152/$H152</f>
        <v/>
      </c>
      <c r="J152" s="25">
        <f>C152/$H152</f>
        <v/>
      </c>
      <c r="K152" s="25">
        <f>D152/$H152</f>
        <v/>
      </c>
      <c r="L152" s="25">
        <f>E152/$H152</f>
        <v/>
      </c>
      <c r="M152" s="25">
        <f>F152/$H152</f>
        <v/>
      </c>
      <c r="N152" s="25">
        <f>G152/$H152</f>
        <v/>
      </c>
      <c r="O152" s="25">
        <f>SUM(MMULT(I152:N152,'07 Annualised Inputs'!$D$7:$D$12))</f>
        <v/>
      </c>
      <c r="P152" s="25">
        <f>SQRT(SUMPRODUCT(MMULT(I152:N152,'07 Annualised Inputs'!$B$17:$G$22),I152:N152))</f>
        <v/>
      </c>
      <c r="Q152" s="37">
        <f>(O152-'02 Config'!$B$10)/P152</f>
        <v/>
      </c>
    </row>
    <row r="153">
      <c r="A153" s="12" t="n">
        <v>148</v>
      </c>
      <c r="B153" s="36" t="n">
        <v>0.9353813695664948</v>
      </c>
      <c r="C153" s="36" t="n">
        <v>0.4676402566265965</v>
      </c>
      <c r="D153" s="36" t="n">
        <v>0.1967421807506313</v>
      </c>
      <c r="E153" s="36" t="n">
        <v>0.3772059828830039</v>
      </c>
      <c r="F153" s="36" t="n">
        <v>0.3941069825931186</v>
      </c>
      <c r="G153" s="36" t="n">
        <v>0.1311086930262199</v>
      </c>
      <c r="H153" s="37">
        <f>SUM(B153:G153)</f>
        <v/>
      </c>
      <c r="I153" s="25">
        <f>B153/$H153</f>
        <v/>
      </c>
      <c r="J153" s="25">
        <f>C153/$H153</f>
        <v/>
      </c>
      <c r="K153" s="25">
        <f>D153/$H153</f>
        <v/>
      </c>
      <c r="L153" s="25">
        <f>E153/$H153</f>
        <v/>
      </c>
      <c r="M153" s="25">
        <f>F153/$H153</f>
        <v/>
      </c>
      <c r="N153" s="25">
        <f>G153/$H153</f>
        <v/>
      </c>
      <c r="O153" s="25">
        <f>SUM(MMULT(I153:N153,'07 Annualised Inputs'!$D$7:$D$12))</f>
        <v/>
      </c>
      <c r="P153" s="25">
        <f>SQRT(SUMPRODUCT(MMULT(I153:N153,'07 Annualised Inputs'!$B$17:$G$22),I153:N153))</f>
        <v/>
      </c>
      <c r="Q153" s="37">
        <f>(O153-'02 Config'!$B$10)/P153</f>
        <v/>
      </c>
    </row>
    <row r="154">
      <c r="A154" s="12" t="n">
        <v>149</v>
      </c>
      <c r="B154" s="36" t="n">
        <v>0.1628715005545549</v>
      </c>
      <c r="C154" s="36" t="n">
        <v>0.6845620733936773</v>
      </c>
      <c r="D154" s="36" t="n">
        <v>0.3394777542089027</v>
      </c>
      <c r="E154" s="36" t="n">
        <v>0.9548983918558076</v>
      </c>
      <c r="F154" s="36" t="n">
        <v>0.2435967453586074</v>
      </c>
      <c r="G154" s="36" t="n">
        <v>0.09892450510482231</v>
      </c>
      <c r="H154" s="37">
        <f>SUM(B154:G154)</f>
        <v/>
      </c>
      <c r="I154" s="25">
        <f>B154/$H154</f>
        <v/>
      </c>
      <c r="J154" s="25">
        <f>C154/$H154</f>
        <v/>
      </c>
      <c r="K154" s="25">
        <f>D154/$H154</f>
        <v/>
      </c>
      <c r="L154" s="25">
        <f>E154/$H154</f>
        <v/>
      </c>
      <c r="M154" s="25">
        <f>F154/$H154</f>
        <v/>
      </c>
      <c r="N154" s="25">
        <f>G154/$H154</f>
        <v/>
      </c>
      <c r="O154" s="25">
        <f>SUM(MMULT(I154:N154,'07 Annualised Inputs'!$D$7:$D$12))</f>
        <v/>
      </c>
      <c r="P154" s="25">
        <f>SQRT(SUMPRODUCT(MMULT(I154:N154,'07 Annualised Inputs'!$B$17:$G$22),I154:N154))</f>
        <v/>
      </c>
      <c r="Q154" s="37">
        <f>(O154-'02 Config'!$B$10)/P154</f>
        <v/>
      </c>
    </row>
    <row r="155">
      <c r="A155" s="12" t="n">
        <v>150</v>
      </c>
      <c r="B155" s="36" t="n">
        <v>0.7535045630002579</v>
      </c>
      <c r="C155" s="36" t="n">
        <v>0.88103605191787</v>
      </c>
      <c r="D155" s="36" t="n">
        <v>0.2781133568714879</v>
      </c>
      <c r="E155" s="36" t="n">
        <v>0.202088101645478</v>
      </c>
      <c r="F155" s="36" t="n">
        <v>0.1857661348710872</v>
      </c>
      <c r="G155" s="36" t="n">
        <v>0.5220123013665123</v>
      </c>
      <c r="H155" s="37">
        <f>SUM(B155:G155)</f>
        <v/>
      </c>
      <c r="I155" s="25">
        <f>B155/$H155</f>
        <v/>
      </c>
      <c r="J155" s="25">
        <f>C155/$H155</f>
        <v/>
      </c>
      <c r="K155" s="25">
        <f>D155/$H155</f>
        <v/>
      </c>
      <c r="L155" s="25">
        <f>E155/$H155</f>
        <v/>
      </c>
      <c r="M155" s="25">
        <f>F155/$H155</f>
        <v/>
      </c>
      <c r="N155" s="25">
        <f>G155/$H155</f>
        <v/>
      </c>
      <c r="O155" s="25">
        <f>SUM(MMULT(I155:N155,'07 Annualised Inputs'!$D$7:$D$12))</f>
        <v/>
      </c>
      <c r="P155" s="25">
        <f>SQRT(SUMPRODUCT(MMULT(I155:N155,'07 Annualised Inputs'!$B$17:$G$22),I155:N155))</f>
        <v/>
      </c>
      <c r="Q155" s="37">
        <f>(O155-'02 Config'!$B$10)/P155</f>
        <v/>
      </c>
    </row>
    <row r="156">
      <c r="A156" s="12" t="n">
        <v>151</v>
      </c>
      <c r="B156" s="36" t="n">
        <v>0.468416641246771</v>
      </c>
      <c r="C156" s="36" t="n">
        <v>0.2594398398545342</v>
      </c>
      <c r="D156" s="36" t="n">
        <v>0.04517311698942639</v>
      </c>
      <c r="E156" s="36" t="n">
        <v>0.4814913403262807</v>
      </c>
      <c r="F156" s="36" t="n">
        <v>0.9593323476356084</v>
      </c>
      <c r="G156" s="36" t="n">
        <v>0.6525192007526632</v>
      </c>
      <c r="H156" s="37">
        <f>SUM(B156:G156)</f>
        <v/>
      </c>
      <c r="I156" s="25">
        <f>B156/$H156</f>
        <v/>
      </c>
      <c r="J156" s="25">
        <f>C156/$H156</f>
        <v/>
      </c>
      <c r="K156" s="25">
        <f>D156/$H156</f>
        <v/>
      </c>
      <c r="L156" s="25">
        <f>E156/$H156</f>
        <v/>
      </c>
      <c r="M156" s="25">
        <f>F156/$H156</f>
        <v/>
      </c>
      <c r="N156" s="25">
        <f>G156/$H156</f>
        <v/>
      </c>
      <c r="O156" s="25">
        <f>SUM(MMULT(I156:N156,'07 Annualised Inputs'!$D$7:$D$12))</f>
        <v/>
      </c>
      <c r="P156" s="25">
        <f>SQRT(SUMPRODUCT(MMULT(I156:N156,'07 Annualised Inputs'!$B$17:$G$22),I156:N156))</f>
        <v/>
      </c>
      <c r="Q156" s="37">
        <f>(O156-'02 Config'!$B$10)/P156</f>
        <v/>
      </c>
    </row>
    <row r="157">
      <c r="A157" s="12" t="n">
        <v>152</v>
      </c>
      <c r="B157" s="36" t="n">
        <v>0.4955065566286184</v>
      </c>
      <c r="C157" s="36" t="n">
        <v>0.1106920740296161</v>
      </c>
      <c r="D157" s="36" t="n">
        <v>0.2524362905495873</v>
      </c>
      <c r="E157" s="36" t="n">
        <v>0.2947739495745427</v>
      </c>
      <c r="F157" s="36" t="n">
        <v>0.7648035526072343</v>
      </c>
      <c r="G157" s="36" t="n">
        <v>0.8767107972646193</v>
      </c>
      <c r="H157" s="37">
        <f>SUM(B157:G157)</f>
        <v/>
      </c>
      <c r="I157" s="25">
        <f>B157/$H157</f>
        <v/>
      </c>
      <c r="J157" s="25">
        <f>C157/$H157</f>
        <v/>
      </c>
      <c r="K157" s="25">
        <f>D157/$H157</f>
        <v/>
      </c>
      <c r="L157" s="25">
        <f>E157/$H157</f>
        <v/>
      </c>
      <c r="M157" s="25">
        <f>F157/$H157</f>
        <v/>
      </c>
      <c r="N157" s="25">
        <f>G157/$H157</f>
        <v/>
      </c>
      <c r="O157" s="25">
        <f>SUM(MMULT(I157:N157,'07 Annualised Inputs'!$D$7:$D$12))</f>
        <v/>
      </c>
      <c r="P157" s="25">
        <f>SQRT(SUMPRODUCT(MMULT(I157:N157,'07 Annualised Inputs'!$B$17:$G$22),I157:N157))</f>
        <v/>
      </c>
      <c r="Q157" s="37">
        <f>(O157-'02 Config'!$B$10)/P157</f>
        <v/>
      </c>
    </row>
    <row r="158">
      <c r="A158" s="12" t="n">
        <v>153</v>
      </c>
      <c r="B158" s="36" t="n">
        <v>0.9016418535664384</v>
      </c>
      <c r="C158" s="36" t="n">
        <v>0.9845686082507541</v>
      </c>
      <c r="D158" s="36" t="n">
        <v>0.9823666831045325</v>
      </c>
      <c r="E158" s="36" t="n">
        <v>0.9529991327679814</v>
      </c>
      <c r="F158" s="36" t="n">
        <v>0.07182214050288438</v>
      </c>
      <c r="G158" s="36" t="n">
        <v>0.1377935359278052</v>
      </c>
      <c r="H158" s="37">
        <f>SUM(B158:G158)</f>
        <v/>
      </c>
      <c r="I158" s="25">
        <f>B158/$H158</f>
        <v/>
      </c>
      <c r="J158" s="25">
        <f>C158/$H158</f>
        <v/>
      </c>
      <c r="K158" s="25">
        <f>D158/$H158</f>
        <v/>
      </c>
      <c r="L158" s="25">
        <f>E158/$H158</f>
        <v/>
      </c>
      <c r="M158" s="25">
        <f>F158/$H158</f>
        <v/>
      </c>
      <c r="N158" s="25">
        <f>G158/$H158</f>
        <v/>
      </c>
      <c r="O158" s="25">
        <f>SUM(MMULT(I158:N158,'07 Annualised Inputs'!$D$7:$D$12))</f>
        <v/>
      </c>
      <c r="P158" s="25">
        <f>SQRT(SUMPRODUCT(MMULT(I158:N158,'07 Annualised Inputs'!$B$17:$G$22),I158:N158))</f>
        <v/>
      </c>
      <c r="Q158" s="37">
        <f>(O158-'02 Config'!$B$10)/P158</f>
        <v/>
      </c>
    </row>
    <row r="159">
      <c r="A159" s="12" t="n">
        <v>154</v>
      </c>
      <c r="B159" s="36" t="n">
        <v>0.3044665264760329</v>
      </c>
      <c r="C159" s="36" t="n">
        <v>0.5528982540644615</v>
      </c>
      <c r="D159" s="36" t="n">
        <v>0.0969778887054793</v>
      </c>
      <c r="E159" s="36" t="n">
        <v>0.8457969578021425</v>
      </c>
      <c r="F159" s="36" t="n">
        <v>0.6167561790773091</v>
      </c>
      <c r="G159" s="36" t="n">
        <v>0.542364402302205</v>
      </c>
      <c r="H159" s="37">
        <f>SUM(B159:G159)</f>
        <v/>
      </c>
      <c r="I159" s="25">
        <f>B159/$H159</f>
        <v/>
      </c>
      <c r="J159" s="25">
        <f>C159/$H159</f>
        <v/>
      </c>
      <c r="K159" s="25">
        <f>D159/$H159</f>
        <v/>
      </c>
      <c r="L159" s="25">
        <f>E159/$H159</f>
        <v/>
      </c>
      <c r="M159" s="25">
        <f>F159/$H159</f>
        <v/>
      </c>
      <c r="N159" s="25">
        <f>G159/$H159</f>
        <v/>
      </c>
      <c r="O159" s="25">
        <f>SUM(MMULT(I159:N159,'07 Annualised Inputs'!$D$7:$D$12))</f>
        <v/>
      </c>
      <c r="P159" s="25">
        <f>SQRT(SUMPRODUCT(MMULT(I159:N159,'07 Annualised Inputs'!$B$17:$G$22),I159:N159))</f>
        <v/>
      </c>
      <c r="Q159" s="37">
        <f>(O159-'02 Config'!$B$10)/P159</f>
        <v/>
      </c>
    </row>
    <row r="160">
      <c r="A160" s="12" t="n">
        <v>155</v>
      </c>
      <c r="B160" s="36" t="n">
        <v>0.1653113233672912</v>
      </c>
      <c r="C160" s="36" t="n">
        <v>0.2532554744001974</v>
      </c>
      <c r="D160" s="36" t="n">
        <v>0.1603120249822581</v>
      </c>
      <c r="E160" s="36" t="n">
        <v>0.8519331577947986</v>
      </c>
      <c r="F160" s="36" t="n">
        <v>0.5842278600612182</v>
      </c>
      <c r="G160" s="36" t="n">
        <v>0.7351294275196334</v>
      </c>
      <c r="H160" s="37">
        <f>SUM(B160:G160)</f>
        <v/>
      </c>
      <c r="I160" s="25">
        <f>B160/$H160</f>
        <v/>
      </c>
      <c r="J160" s="25">
        <f>C160/$H160</f>
        <v/>
      </c>
      <c r="K160" s="25">
        <f>D160/$H160</f>
        <v/>
      </c>
      <c r="L160" s="25">
        <f>E160/$H160</f>
        <v/>
      </c>
      <c r="M160" s="25">
        <f>F160/$H160</f>
        <v/>
      </c>
      <c r="N160" s="25">
        <f>G160/$H160</f>
        <v/>
      </c>
      <c r="O160" s="25">
        <f>SUM(MMULT(I160:N160,'07 Annualised Inputs'!$D$7:$D$12))</f>
        <v/>
      </c>
      <c r="P160" s="25">
        <f>SQRT(SUMPRODUCT(MMULT(I160:N160,'07 Annualised Inputs'!$B$17:$G$22),I160:N160))</f>
        <v/>
      </c>
      <c r="Q160" s="37">
        <f>(O160-'02 Config'!$B$10)/P160</f>
        <v/>
      </c>
    </row>
    <row r="161">
      <c r="A161" s="12" t="n">
        <v>156</v>
      </c>
      <c r="B161" s="36" t="n">
        <v>0.2960328629100257</v>
      </c>
      <c r="C161" s="36" t="n">
        <v>0.3712526370882772</v>
      </c>
      <c r="D161" s="36" t="n">
        <v>0.4048549644265338</v>
      </c>
      <c r="E161" s="36" t="n">
        <v>0.7600149717440349</v>
      </c>
      <c r="F161" s="36" t="n">
        <v>0.7723529876745681</v>
      </c>
      <c r="G161" s="36" t="n">
        <v>0.2068135275140317</v>
      </c>
      <c r="H161" s="37">
        <f>SUM(B161:G161)</f>
        <v/>
      </c>
      <c r="I161" s="25">
        <f>B161/$H161</f>
        <v/>
      </c>
      <c r="J161" s="25">
        <f>C161/$H161</f>
        <v/>
      </c>
      <c r="K161" s="25">
        <f>D161/$H161</f>
        <v/>
      </c>
      <c r="L161" s="25">
        <f>E161/$H161</f>
        <v/>
      </c>
      <c r="M161" s="25">
        <f>F161/$H161</f>
        <v/>
      </c>
      <c r="N161" s="25">
        <f>G161/$H161</f>
        <v/>
      </c>
      <c r="O161" s="25">
        <f>SUM(MMULT(I161:N161,'07 Annualised Inputs'!$D$7:$D$12))</f>
        <v/>
      </c>
      <c r="P161" s="25">
        <f>SQRT(SUMPRODUCT(MMULT(I161:N161,'07 Annualised Inputs'!$B$17:$G$22),I161:N161))</f>
        <v/>
      </c>
      <c r="Q161" s="37">
        <f>(O161-'02 Config'!$B$10)/P161</f>
        <v/>
      </c>
    </row>
    <row r="162">
      <c r="A162" s="12" t="n">
        <v>157</v>
      </c>
      <c r="B162" s="36" t="n">
        <v>0.941538856738099</v>
      </c>
      <c r="C162" s="36" t="n">
        <v>0.1206553374436864</v>
      </c>
      <c r="D162" s="36" t="n">
        <v>0.8961220824236303</v>
      </c>
      <c r="E162" s="36" t="n">
        <v>0.1003956456498093</v>
      </c>
      <c r="F162" s="36" t="n">
        <v>0.2645398111513111</v>
      </c>
      <c r="G162" s="36" t="n">
        <v>0.846478536067957</v>
      </c>
      <c r="H162" s="37">
        <f>SUM(B162:G162)</f>
        <v/>
      </c>
      <c r="I162" s="25">
        <f>B162/$H162</f>
        <v/>
      </c>
      <c r="J162" s="25">
        <f>C162/$H162</f>
        <v/>
      </c>
      <c r="K162" s="25">
        <f>D162/$H162</f>
        <v/>
      </c>
      <c r="L162" s="25">
        <f>E162/$H162</f>
        <v/>
      </c>
      <c r="M162" s="25">
        <f>F162/$H162</f>
        <v/>
      </c>
      <c r="N162" s="25">
        <f>G162/$H162</f>
        <v/>
      </c>
      <c r="O162" s="25">
        <f>SUM(MMULT(I162:N162,'07 Annualised Inputs'!$D$7:$D$12))</f>
        <v/>
      </c>
      <c r="P162" s="25">
        <f>SQRT(SUMPRODUCT(MMULT(I162:N162,'07 Annualised Inputs'!$B$17:$G$22),I162:N162))</f>
        <v/>
      </c>
      <c r="Q162" s="37">
        <f>(O162-'02 Config'!$B$10)/P162</f>
        <v/>
      </c>
    </row>
    <row r="163">
      <c r="A163" s="12" t="n">
        <v>158</v>
      </c>
      <c r="B163" s="36" t="n">
        <v>0.1794920723460874</v>
      </c>
      <c r="C163" s="36" t="n">
        <v>0.4135679313099698</v>
      </c>
      <c r="D163" s="36" t="n">
        <v>0.4498592999441262</v>
      </c>
      <c r="E163" s="36" t="n">
        <v>0.2452589730232096</v>
      </c>
      <c r="F163" s="36" t="n">
        <v>0.7102452013359866</v>
      </c>
      <c r="G163" s="36" t="n">
        <v>0.8513346494022038</v>
      </c>
      <c r="H163" s="37">
        <f>SUM(B163:G163)</f>
        <v/>
      </c>
      <c r="I163" s="25">
        <f>B163/$H163</f>
        <v/>
      </c>
      <c r="J163" s="25">
        <f>C163/$H163</f>
        <v/>
      </c>
      <c r="K163" s="25">
        <f>D163/$H163</f>
        <v/>
      </c>
      <c r="L163" s="25">
        <f>E163/$H163</f>
        <v/>
      </c>
      <c r="M163" s="25">
        <f>F163/$H163</f>
        <v/>
      </c>
      <c r="N163" s="25">
        <f>G163/$H163</f>
        <v/>
      </c>
      <c r="O163" s="25">
        <f>SUM(MMULT(I163:N163,'07 Annualised Inputs'!$D$7:$D$12))</f>
        <v/>
      </c>
      <c r="P163" s="25">
        <f>SQRT(SUMPRODUCT(MMULT(I163:N163,'07 Annualised Inputs'!$B$17:$G$22),I163:N163))</f>
        <v/>
      </c>
      <c r="Q163" s="37">
        <f>(O163-'02 Config'!$B$10)/P163</f>
        <v/>
      </c>
    </row>
    <row r="164">
      <c r="A164" s="12" t="n">
        <v>159</v>
      </c>
      <c r="B164" s="36" t="n">
        <v>0.8745751398555718</v>
      </c>
      <c r="C164" s="36" t="n">
        <v>0.3393221457365609</v>
      </c>
      <c r="D164" s="36" t="n">
        <v>0.5308503942878144</v>
      </c>
      <c r="E164" s="36" t="n">
        <v>0.2484064038656515</v>
      </c>
      <c r="F164" s="36" t="n">
        <v>0.2447965015501454</v>
      </c>
      <c r="G164" s="36" t="n">
        <v>0.1612540628519241</v>
      </c>
      <c r="H164" s="37">
        <f>SUM(B164:G164)</f>
        <v/>
      </c>
      <c r="I164" s="25">
        <f>B164/$H164</f>
        <v/>
      </c>
      <c r="J164" s="25">
        <f>C164/$H164</f>
        <v/>
      </c>
      <c r="K164" s="25">
        <f>D164/$H164</f>
        <v/>
      </c>
      <c r="L164" s="25">
        <f>E164/$H164</f>
        <v/>
      </c>
      <c r="M164" s="25">
        <f>F164/$H164</f>
        <v/>
      </c>
      <c r="N164" s="25">
        <f>G164/$H164</f>
        <v/>
      </c>
      <c r="O164" s="25">
        <f>SUM(MMULT(I164:N164,'07 Annualised Inputs'!$D$7:$D$12))</f>
        <v/>
      </c>
      <c r="P164" s="25">
        <f>SQRT(SUMPRODUCT(MMULT(I164:N164,'07 Annualised Inputs'!$B$17:$G$22),I164:N164))</f>
        <v/>
      </c>
      <c r="Q164" s="37">
        <f>(O164-'02 Config'!$B$10)/P164</f>
        <v/>
      </c>
    </row>
    <row r="165">
      <c r="A165" s="12" t="n">
        <v>160</v>
      </c>
      <c r="B165" s="36" t="n">
        <v>0.9400190108075147</v>
      </c>
      <c r="C165" s="36" t="n">
        <v>0.8879888286055799</v>
      </c>
      <c r="D165" s="36" t="n">
        <v>0.7773587133276922</v>
      </c>
      <c r="E165" s="36" t="n">
        <v>0.517661521287729</v>
      </c>
      <c r="F165" s="36" t="n">
        <v>0.4906079155118719</v>
      </c>
      <c r="G165" s="36" t="n">
        <v>0.529745666182498</v>
      </c>
      <c r="H165" s="37">
        <f>SUM(B165:G165)</f>
        <v/>
      </c>
      <c r="I165" s="25">
        <f>B165/$H165</f>
        <v/>
      </c>
      <c r="J165" s="25">
        <f>C165/$H165</f>
        <v/>
      </c>
      <c r="K165" s="25">
        <f>D165/$H165</f>
        <v/>
      </c>
      <c r="L165" s="25">
        <f>E165/$H165</f>
        <v/>
      </c>
      <c r="M165" s="25">
        <f>F165/$H165</f>
        <v/>
      </c>
      <c r="N165" s="25">
        <f>G165/$H165</f>
        <v/>
      </c>
      <c r="O165" s="25">
        <f>SUM(MMULT(I165:N165,'07 Annualised Inputs'!$D$7:$D$12))</f>
        <v/>
      </c>
      <c r="P165" s="25">
        <f>SQRT(SUMPRODUCT(MMULT(I165:N165,'07 Annualised Inputs'!$B$17:$G$22),I165:N165))</f>
        <v/>
      </c>
      <c r="Q165" s="37">
        <f>(O165-'02 Config'!$B$10)/P165</f>
        <v/>
      </c>
    </row>
    <row r="166">
      <c r="A166" s="12" t="n">
        <v>161</v>
      </c>
      <c r="B166" s="36" t="n">
        <v>0.5365680135770893</v>
      </c>
      <c r="C166" s="36" t="n">
        <v>0.4345630846976903</v>
      </c>
      <c r="D166" s="36" t="n">
        <v>0.1317548328920675</v>
      </c>
      <c r="E166" s="36" t="n">
        <v>0.125663852868536</v>
      </c>
      <c r="F166" s="36" t="n">
        <v>0.9522497158456833</v>
      </c>
      <c r="G166" s="36" t="n">
        <v>0.4820307595863506</v>
      </c>
      <c r="H166" s="37">
        <f>SUM(B166:G166)</f>
        <v/>
      </c>
      <c r="I166" s="25">
        <f>B166/$H166</f>
        <v/>
      </c>
      <c r="J166" s="25">
        <f>C166/$H166</f>
        <v/>
      </c>
      <c r="K166" s="25">
        <f>D166/$H166</f>
        <v/>
      </c>
      <c r="L166" s="25">
        <f>E166/$H166</f>
        <v/>
      </c>
      <c r="M166" s="25">
        <f>F166/$H166</f>
        <v/>
      </c>
      <c r="N166" s="25">
        <f>G166/$H166</f>
        <v/>
      </c>
      <c r="O166" s="25">
        <f>SUM(MMULT(I166:N166,'07 Annualised Inputs'!$D$7:$D$12))</f>
        <v/>
      </c>
      <c r="P166" s="25">
        <f>SQRT(SUMPRODUCT(MMULT(I166:N166,'07 Annualised Inputs'!$B$17:$G$22),I166:N166))</f>
        <v/>
      </c>
      <c r="Q166" s="37">
        <f>(O166-'02 Config'!$B$10)/P166</f>
        <v/>
      </c>
    </row>
    <row r="167">
      <c r="A167" s="12" t="n">
        <v>162</v>
      </c>
      <c r="B167" s="36" t="n">
        <v>0.953205524905189</v>
      </c>
      <c r="C167" s="36" t="n">
        <v>0.16357687771011</v>
      </c>
      <c r="D167" s="36" t="n">
        <v>0.5544165520399336</v>
      </c>
      <c r="E167" s="36" t="n">
        <v>0.2077172533515392</v>
      </c>
      <c r="F167" s="36" t="n">
        <v>0.2531846061266015</v>
      </c>
      <c r="G167" s="36" t="n">
        <v>0.03005457876117879</v>
      </c>
      <c r="H167" s="37">
        <f>SUM(B167:G167)</f>
        <v/>
      </c>
      <c r="I167" s="25">
        <f>B167/$H167</f>
        <v/>
      </c>
      <c r="J167" s="25">
        <f>C167/$H167</f>
        <v/>
      </c>
      <c r="K167" s="25">
        <f>D167/$H167</f>
        <v/>
      </c>
      <c r="L167" s="25">
        <f>E167/$H167</f>
        <v/>
      </c>
      <c r="M167" s="25">
        <f>F167/$H167</f>
        <v/>
      </c>
      <c r="N167" s="25">
        <f>G167/$H167</f>
        <v/>
      </c>
      <c r="O167" s="25">
        <f>SUM(MMULT(I167:N167,'07 Annualised Inputs'!$D$7:$D$12))</f>
        <v/>
      </c>
      <c r="P167" s="25">
        <f>SQRT(SUMPRODUCT(MMULT(I167:N167,'07 Annualised Inputs'!$B$17:$G$22),I167:N167))</f>
        <v/>
      </c>
      <c r="Q167" s="37">
        <f>(O167-'02 Config'!$B$10)/P167</f>
        <v/>
      </c>
    </row>
    <row r="168">
      <c r="A168" s="12" t="n">
        <v>163</v>
      </c>
      <c r="B168" s="36" t="n">
        <v>0.1189533107402113</v>
      </c>
      <c r="C168" s="36" t="n">
        <v>0.9168484076291957</v>
      </c>
      <c r="D168" s="36" t="n">
        <v>0.3215329914823317</v>
      </c>
      <c r="E168" s="36" t="n">
        <v>0.6081292119145916</v>
      </c>
      <c r="F168" s="36" t="n">
        <v>0.465014131989273</v>
      </c>
      <c r="G168" s="36" t="n">
        <v>0.4004512452452783</v>
      </c>
      <c r="H168" s="37">
        <f>SUM(B168:G168)</f>
        <v/>
      </c>
      <c r="I168" s="25">
        <f>B168/$H168</f>
        <v/>
      </c>
      <c r="J168" s="25">
        <f>C168/$H168</f>
        <v/>
      </c>
      <c r="K168" s="25">
        <f>D168/$H168</f>
        <v/>
      </c>
      <c r="L168" s="25">
        <f>E168/$H168</f>
        <v/>
      </c>
      <c r="M168" s="25">
        <f>F168/$H168</f>
        <v/>
      </c>
      <c r="N168" s="25">
        <f>G168/$H168</f>
        <v/>
      </c>
      <c r="O168" s="25">
        <f>SUM(MMULT(I168:N168,'07 Annualised Inputs'!$D$7:$D$12))</f>
        <v/>
      </c>
      <c r="P168" s="25">
        <f>SQRT(SUMPRODUCT(MMULT(I168:N168,'07 Annualised Inputs'!$B$17:$G$22),I168:N168))</f>
        <v/>
      </c>
      <c r="Q168" s="37">
        <f>(O168-'02 Config'!$B$10)/P168</f>
        <v/>
      </c>
    </row>
    <row r="169">
      <c r="A169" s="12" t="n">
        <v>164</v>
      </c>
      <c r="B169" s="36" t="n">
        <v>0.5318860913460681</v>
      </c>
      <c r="C169" s="36" t="n">
        <v>0.1872389446153415</v>
      </c>
      <c r="D169" s="36" t="n">
        <v>0.9886038985195765</v>
      </c>
      <c r="E169" s="36" t="n">
        <v>0.818307868703863</v>
      </c>
      <c r="F169" s="36" t="n">
        <v>0.7416146327315153</v>
      </c>
      <c r="G169" s="36" t="n">
        <v>0.4687592970139525</v>
      </c>
      <c r="H169" s="37">
        <f>SUM(B169:G169)</f>
        <v/>
      </c>
      <c r="I169" s="25">
        <f>B169/$H169</f>
        <v/>
      </c>
      <c r="J169" s="25">
        <f>C169/$H169</f>
        <v/>
      </c>
      <c r="K169" s="25">
        <f>D169/$H169</f>
        <v/>
      </c>
      <c r="L169" s="25">
        <f>E169/$H169</f>
        <v/>
      </c>
      <c r="M169" s="25">
        <f>F169/$H169</f>
        <v/>
      </c>
      <c r="N169" s="25">
        <f>G169/$H169</f>
        <v/>
      </c>
      <c r="O169" s="25">
        <f>SUM(MMULT(I169:N169,'07 Annualised Inputs'!$D$7:$D$12))</f>
        <v/>
      </c>
      <c r="P169" s="25">
        <f>SQRT(SUMPRODUCT(MMULT(I169:N169,'07 Annualised Inputs'!$B$17:$G$22),I169:N169))</f>
        <v/>
      </c>
      <c r="Q169" s="37">
        <f>(O169-'02 Config'!$B$10)/P169</f>
        <v/>
      </c>
    </row>
    <row r="170">
      <c r="A170" s="12" t="n">
        <v>165</v>
      </c>
      <c r="B170" s="36" t="n">
        <v>0.152877122126336</v>
      </c>
      <c r="C170" s="36" t="n">
        <v>0.9206658582735678</v>
      </c>
      <c r="D170" s="36" t="n">
        <v>0.3413870673817276</v>
      </c>
      <c r="E170" s="36" t="n">
        <v>0.05010668969693377</v>
      </c>
      <c r="F170" s="36" t="n">
        <v>0.3424036768106287</v>
      </c>
      <c r="G170" s="36" t="n">
        <v>0.7944570304958843</v>
      </c>
      <c r="H170" s="37">
        <f>SUM(B170:G170)</f>
        <v/>
      </c>
      <c r="I170" s="25">
        <f>B170/$H170</f>
        <v/>
      </c>
      <c r="J170" s="25">
        <f>C170/$H170</f>
        <v/>
      </c>
      <c r="K170" s="25">
        <f>D170/$H170</f>
        <v/>
      </c>
      <c r="L170" s="25">
        <f>E170/$H170</f>
        <v/>
      </c>
      <c r="M170" s="25">
        <f>F170/$H170</f>
        <v/>
      </c>
      <c r="N170" s="25">
        <f>G170/$H170</f>
        <v/>
      </c>
      <c r="O170" s="25">
        <f>SUM(MMULT(I170:N170,'07 Annualised Inputs'!$D$7:$D$12))</f>
        <v/>
      </c>
      <c r="P170" s="25">
        <f>SQRT(SUMPRODUCT(MMULT(I170:N170,'07 Annualised Inputs'!$B$17:$G$22),I170:N170))</f>
        <v/>
      </c>
      <c r="Q170" s="37">
        <f>(O170-'02 Config'!$B$10)/P170</f>
        <v/>
      </c>
    </row>
    <row r="171">
      <c r="A171" s="12" t="n">
        <v>166</v>
      </c>
      <c r="B171" s="36" t="n">
        <v>0.6227087449882082</v>
      </c>
      <c r="C171" s="36" t="n">
        <v>0.7508385847448596</v>
      </c>
      <c r="D171" s="36" t="n">
        <v>0.7936353838623774</v>
      </c>
      <c r="E171" s="36" t="n">
        <v>0.2119546110805426</v>
      </c>
      <c r="F171" s="36" t="n">
        <v>0.9237833160931802</v>
      </c>
      <c r="G171" s="36" t="n">
        <v>0.4379896029203726</v>
      </c>
      <c r="H171" s="37">
        <f>SUM(B171:G171)</f>
        <v/>
      </c>
      <c r="I171" s="25">
        <f>B171/$H171</f>
        <v/>
      </c>
      <c r="J171" s="25">
        <f>C171/$H171</f>
        <v/>
      </c>
      <c r="K171" s="25">
        <f>D171/$H171</f>
        <v/>
      </c>
      <c r="L171" s="25">
        <f>E171/$H171</f>
        <v/>
      </c>
      <c r="M171" s="25">
        <f>F171/$H171</f>
        <v/>
      </c>
      <c r="N171" s="25">
        <f>G171/$H171</f>
        <v/>
      </c>
      <c r="O171" s="25">
        <f>SUM(MMULT(I171:N171,'07 Annualised Inputs'!$D$7:$D$12))</f>
        <v/>
      </c>
      <c r="P171" s="25">
        <f>SQRT(SUMPRODUCT(MMULT(I171:N171,'07 Annualised Inputs'!$B$17:$G$22),I171:N171))</f>
        <v/>
      </c>
      <c r="Q171" s="37">
        <f>(O171-'02 Config'!$B$10)/P171</f>
        <v/>
      </c>
    </row>
    <row r="172">
      <c r="A172" s="12" t="n">
        <v>167</v>
      </c>
      <c r="B172" s="36" t="n">
        <v>0.6390136492641646</v>
      </c>
      <c r="C172" s="36" t="n">
        <v>0.002308772586742003</v>
      </c>
      <c r="D172" s="36" t="n">
        <v>0.993368498411178</v>
      </c>
      <c r="E172" s="36" t="n">
        <v>0.2808963859641551</v>
      </c>
      <c r="F172" s="36" t="n">
        <v>0.06206310654015523</v>
      </c>
      <c r="G172" s="36" t="n">
        <v>0.458262041536514</v>
      </c>
      <c r="H172" s="37">
        <f>SUM(B172:G172)</f>
        <v/>
      </c>
      <c r="I172" s="25">
        <f>B172/$H172</f>
        <v/>
      </c>
      <c r="J172" s="25">
        <f>C172/$H172</f>
        <v/>
      </c>
      <c r="K172" s="25">
        <f>D172/$H172</f>
        <v/>
      </c>
      <c r="L172" s="25">
        <f>E172/$H172</f>
        <v/>
      </c>
      <c r="M172" s="25">
        <f>F172/$H172</f>
        <v/>
      </c>
      <c r="N172" s="25">
        <f>G172/$H172</f>
        <v/>
      </c>
      <c r="O172" s="25">
        <f>SUM(MMULT(I172:N172,'07 Annualised Inputs'!$D$7:$D$12))</f>
        <v/>
      </c>
      <c r="P172" s="25">
        <f>SQRT(SUMPRODUCT(MMULT(I172:N172,'07 Annualised Inputs'!$B$17:$G$22),I172:N172))</f>
        <v/>
      </c>
      <c r="Q172" s="37">
        <f>(O172-'02 Config'!$B$10)/P172</f>
        <v/>
      </c>
    </row>
    <row r="173">
      <c r="A173" s="12" t="n">
        <v>168</v>
      </c>
      <c r="B173" s="36" t="n">
        <v>0.1290300571820417</v>
      </c>
      <c r="C173" s="36" t="n">
        <v>0.1523267101575757</v>
      </c>
      <c r="D173" s="36" t="n">
        <v>0.6322828130302102</v>
      </c>
      <c r="E173" s="36" t="n">
        <v>0.3929273915702333</v>
      </c>
      <c r="F173" s="36" t="n">
        <v>0.9218524501549951</v>
      </c>
      <c r="G173" s="36" t="n">
        <v>0.3191564946080701</v>
      </c>
      <c r="H173" s="37">
        <f>SUM(B173:G173)</f>
        <v/>
      </c>
      <c r="I173" s="25">
        <f>B173/$H173</f>
        <v/>
      </c>
      <c r="J173" s="25">
        <f>C173/$H173</f>
        <v/>
      </c>
      <c r="K173" s="25">
        <f>D173/$H173</f>
        <v/>
      </c>
      <c r="L173" s="25">
        <f>E173/$H173</f>
        <v/>
      </c>
      <c r="M173" s="25">
        <f>F173/$H173</f>
        <v/>
      </c>
      <c r="N173" s="25">
        <f>G173/$H173</f>
        <v/>
      </c>
      <c r="O173" s="25">
        <f>SUM(MMULT(I173:N173,'07 Annualised Inputs'!$D$7:$D$12))</f>
        <v/>
      </c>
      <c r="P173" s="25">
        <f>SQRT(SUMPRODUCT(MMULT(I173:N173,'07 Annualised Inputs'!$B$17:$G$22),I173:N173))</f>
        <v/>
      </c>
      <c r="Q173" s="37">
        <f>(O173-'02 Config'!$B$10)/P173</f>
        <v/>
      </c>
    </row>
    <row r="174">
      <c r="A174" s="12" t="n">
        <v>169</v>
      </c>
      <c r="B174" s="36" t="n">
        <v>0.7261801283839011</v>
      </c>
      <c r="C174" s="36" t="n">
        <v>0.4610994301549076</v>
      </c>
      <c r="D174" s="36" t="n">
        <v>0.6599513011292788</v>
      </c>
      <c r="E174" s="36" t="n">
        <v>0.5996953567159904</v>
      </c>
      <c r="F174" s="36" t="n">
        <v>0.4727839727589982</v>
      </c>
      <c r="G174" s="36" t="n">
        <v>0.9500610946244371</v>
      </c>
      <c r="H174" s="37">
        <f>SUM(B174:G174)</f>
        <v/>
      </c>
      <c r="I174" s="25">
        <f>B174/$H174</f>
        <v/>
      </c>
      <c r="J174" s="25">
        <f>C174/$H174</f>
        <v/>
      </c>
      <c r="K174" s="25">
        <f>D174/$H174</f>
        <v/>
      </c>
      <c r="L174" s="25">
        <f>E174/$H174</f>
        <v/>
      </c>
      <c r="M174" s="25">
        <f>F174/$H174</f>
        <v/>
      </c>
      <c r="N174" s="25">
        <f>G174/$H174</f>
        <v/>
      </c>
      <c r="O174" s="25">
        <f>SUM(MMULT(I174:N174,'07 Annualised Inputs'!$D$7:$D$12))</f>
        <v/>
      </c>
      <c r="P174" s="25">
        <f>SQRT(SUMPRODUCT(MMULT(I174:N174,'07 Annualised Inputs'!$B$17:$G$22),I174:N174))</f>
        <v/>
      </c>
      <c r="Q174" s="37">
        <f>(O174-'02 Config'!$B$10)/P174</f>
        <v/>
      </c>
    </row>
    <row r="175">
      <c r="A175" s="12" t="n">
        <v>170</v>
      </c>
      <c r="B175" s="36" t="n">
        <v>0.3427136427549559</v>
      </c>
      <c r="C175" s="36" t="n">
        <v>0.1772355012492726</v>
      </c>
      <c r="D175" s="36" t="n">
        <v>0.6780940608798283</v>
      </c>
      <c r="E175" s="36" t="n">
        <v>0.8460075613079088</v>
      </c>
      <c r="F175" s="36" t="n">
        <v>0.04025373993992376</v>
      </c>
      <c r="G175" s="36" t="n">
        <v>0.4496326884226806</v>
      </c>
      <c r="H175" s="37">
        <f>SUM(B175:G175)</f>
        <v/>
      </c>
      <c r="I175" s="25">
        <f>B175/$H175</f>
        <v/>
      </c>
      <c r="J175" s="25">
        <f>C175/$H175</f>
        <v/>
      </c>
      <c r="K175" s="25">
        <f>D175/$H175</f>
        <v/>
      </c>
      <c r="L175" s="25">
        <f>E175/$H175</f>
        <v/>
      </c>
      <c r="M175" s="25">
        <f>F175/$H175</f>
        <v/>
      </c>
      <c r="N175" s="25">
        <f>G175/$H175</f>
        <v/>
      </c>
      <c r="O175" s="25">
        <f>SUM(MMULT(I175:N175,'07 Annualised Inputs'!$D$7:$D$12))</f>
        <v/>
      </c>
      <c r="P175" s="25">
        <f>SQRT(SUMPRODUCT(MMULT(I175:N175,'07 Annualised Inputs'!$B$17:$G$22),I175:N175))</f>
        <v/>
      </c>
      <c r="Q175" s="37">
        <f>(O175-'02 Config'!$B$10)/P175</f>
        <v/>
      </c>
    </row>
    <row r="176">
      <c r="A176" s="12" t="n">
        <v>171</v>
      </c>
      <c r="B176" s="36" t="n">
        <v>0.8924876896873263</v>
      </c>
      <c r="C176" s="36" t="n">
        <v>0.7496186189228675</v>
      </c>
      <c r="D176" s="36" t="n">
        <v>0.9918077164976282</v>
      </c>
      <c r="E176" s="36" t="n">
        <v>0.5314138115972438</v>
      </c>
      <c r="F176" s="36" t="n">
        <v>0.6599957188011513</v>
      </c>
      <c r="G176" s="36" t="n">
        <v>0.3024802811379281</v>
      </c>
      <c r="H176" s="37">
        <f>SUM(B176:G176)</f>
        <v/>
      </c>
      <c r="I176" s="25">
        <f>B176/$H176</f>
        <v/>
      </c>
      <c r="J176" s="25">
        <f>C176/$H176</f>
        <v/>
      </c>
      <c r="K176" s="25">
        <f>D176/$H176</f>
        <v/>
      </c>
      <c r="L176" s="25">
        <f>E176/$H176</f>
        <v/>
      </c>
      <c r="M176" s="25">
        <f>F176/$H176</f>
        <v/>
      </c>
      <c r="N176" s="25">
        <f>G176/$H176</f>
        <v/>
      </c>
      <c r="O176" s="25">
        <f>SUM(MMULT(I176:N176,'07 Annualised Inputs'!$D$7:$D$12))</f>
        <v/>
      </c>
      <c r="P176" s="25">
        <f>SQRT(SUMPRODUCT(MMULT(I176:N176,'07 Annualised Inputs'!$B$17:$G$22),I176:N176))</f>
        <v/>
      </c>
      <c r="Q176" s="37">
        <f>(O176-'02 Config'!$B$10)/P176</f>
        <v/>
      </c>
    </row>
    <row r="177">
      <c r="A177" s="12" t="n">
        <v>172</v>
      </c>
      <c r="B177" s="36" t="n">
        <v>0.9475355996659923</v>
      </c>
      <c r="C177" s="36" t="n">
        <v>0.3663354885565363</v>
      </c>
      <c r="D177" s="36" t="n">
        <v>0.7385107126866286</v>
      </c>
      <c r="E177" s="36" t="n">
        <v>0.4031402041190819</v>
      </c>
      <c r="F177" s="36" t="n">
        <v>0.5618189300629993</v>
      </c>
      <c r="G177" s="36" t="n">
        <v>0.7197825350215462</v>
      </c>
      <c r="H177" s="37">
        <f>SUM(B177:G177)</f>
        <v/>
      </c>
      <c r="I177" s="25">
        <f>B177/$H177</f>
        <v/>
      </c>
      <c r="J177" s="25">
        <f>C177/$H177</f>
        <v/>
      </c>
      <c r="K177" s="25">
        <f>D177/$H177</f>
        <v/>
      </c>
      <c r="L177" s="25">
        <f>E177/$H177</f>
        <v/>
      </c>
      <c r="M177" s="25">
        <f>F177/$H177</f>
        <v/>
      </c>
      <c r="N177" s="25">
        <f>G177/$H177</f>
        <v/>
      </c>
      <c r="O177" s="25">
        <f>SUM(MMULT(I177:N177,'07 Annualised Inputs'!$D$7:$D$12))</f>
        <v/>
      </c>
      <c r="P177" s="25">
        <f>SQRT(SUMPRODUCT(MMULT(I177:N177,'07 Annualised Inputs'!$B$17:$G$22),I177:N177))</f>
        <v/>
      </c>
      <c r="Q177" s="37">
        <f>(O177-'02 Config'!$B$10)/P177</f>
        <v/>
      </c>
    </row>
    <row r="178">
      <c r="A178" s="12" t="n">
        <v>173</v>
      </c>
      <c r="B178" s="36" t="n">
        <v>0.5089341517513543</v>
      </c>
      <c r="C178" s="36" t="n">
        <v>0.9070863269095085</v>
      </c>
      <c r="D178" s="36" t="n">
        <v>0.4193009879278102</v>
      </c>
      <c r="E178" s="36" t="n">
        <v>0.6470717981433252</v>
      </c>
      <c r="F178" s="36" t="n">
        <v>0.3423624333000541</v>
      </c>
      <c r="G178" s="36" t="n">
        <v>0.408156668231013</v>
      </c>
      <c r="H178" s="37">
        <f>SUM(B178:G178)</f>
        <v/>
      </c>
      <c r="I178" s="25">
        <f>B178/$H178</f>
        <v/>
      </c>
      <c r="J178" s="25">
        <f>C178/$H178</f>
        <v/>
      </c>
      <c r="K178" s="25">
        <f>D178/$H178</f>
        <v/>
      </c>
      <c r="L178" s="25">
        <f>E178/$H178</f>
        <v/>
      </c>
      <c r="M178" s="25">
        <f>F178/$H178</f>
        <v/>
      </c>
      <c r="N178" s="25">
        <f>G178/$H178</f>
        <v/>
      </c>
      <c r="O178" s="25">
        <f>SUM(MMULT(I178:N178,'07 Annualised Inputs'!$D$7:$D$12))</f>
        <v/>
      </c>
      <c r="P178" s="25">
        <f>SQRT(SUMPRODUCT(MMULT(I178:N178,'07 Annualised Inputs'!$B$17:$G$22),I178:N178))</f>
        <v/>
      </c>
      <c r="Q178" s="37">
        <f>(O178-'02 Config'!$B$10)/P178</f>
        <v/>
      </c>
    </row>
    <row r="179">
      <c r="A179" s="12" t="n">
        <v>174</v>
      </c>
      <c r="B179" s="36" t="n">
        <v>0.4400501082335524</v>
      </c>
      <c r="C179" s="36" t="n">
        <v>0.1258070183122852</v>
      </c>
      <c r="D179" s="36" t="n">
        <v>0.09172367905900669</v>
      </c>
      <c r="E179" s="36" t="n">
        <v>0.6674899231467579</v>
      </c>
      <c r="F179" s="36" t="n">
        <v>0.6555177383430523</v>
      </c>
      <c r="G179" s="36" t="n">
        <v>0.6629097142100953</v>
      </c>
      <c r="H179" s="37">
        <f>SUM(B179:G179)</f>
        <v/>
      </c>
      <c r="I179" s="25">
        <f>B179/$H179</f>
        <v/>
      </c>
      <c r="J179" s="25">
        <f>C179/$H179</f>
        <v/>
      </c>
      <c r="K179" s="25">
        <f>D179/$H179</f>
        <v/>
      </c>
      <c r="L179" s="25">
        <f>E179/$H179</f>
        <v/>
      </c>
      <c r="M179" s="25">
        <f>F179/$H179</f>
        <v/>
      </c>
      <c r="N179" s="25">
        <f>G179/$H179</f>
        <v/>
      </c>
      <c r="O179" s="25">
        <f>SUM(MMULT(I179:N179,'07 Annualised Inputs'!$D$7:$D$12))</f>
        <v/>
      </c>
      <c r="P179" s="25">
        <f>SQRT(SUMPRODUCT(MMULT(I179:N179,'07 Annualised Inputs'!$B$17:$G$22),I179:N179))</f>
        <v/>
      </c>
      <c r="Q179" s="37">
        <f>(O179-'02 Config'!$B$10)/P179</f>
        <v/>
      </c>
    </row>
    <row r="180">
      <c r="A180" s="12" t="n">
        <v>175</v>
      </c>
      <c r="B180" s="36" t="n">
        <v>0.01976644534269167</v>
      </c>
      <c r="C180" s="36" t="n">
        <v>0.3265468426717799</v>
      </c>
      <c r="D180" s="36" t="n">
        <v>0.1978098472591969</v>
      </c>
      <c r="E180" s="36" t="n">
        <v>0.7781514225440124</v>
      </c>
      <c r="F180" s="36" t="n">
        <v>0.8606304013961301</v>
      </c>
      <c r="G180" s="36" t="n">
        <v>0.2466803772261473</v>
      </c>
      <c r="H180" s="37">
        <f>SUM(B180:G180)</f>
        <v/>
      </c>
      <c r="I180" s="25">
        <f>B180/$H180</f>
        <v/>
      </c>
      <c r="J180" s="25">
        <f>C180/$H180</f>
        <v/>
      </c>
      <c r="K180" s="25">
        <f>D180/$H180</f>
        <v/>
      </c>
      <c r="L180" s="25">
        <f>E180/$H180</f>
        <v/>
      </c>
      <c r="M180" s="25">
        <f>F180/$H180</f>
        <v/>
      </c>
      <c r="N180" s="25">
        <f>G180/$H180</f>
        <v/>
      </c>
      <c r="O180" s="25">
        <f>SUM(MMULT(I180:N180,'07 Annualised Inputs'!$D$7:$D$12))</f>
        <v/>
      </c>
      <c r="P180" s="25">
        <f>SQRT(SUMPRODUCT(MMULT(I180:N180,'07 Annualised Inputs'!$B$17:$G$22),I180:N180))</f>
        <v/>
      </c>
      <c r="Q180" s="37">
        <f>(O180-'02 Config'!$B$10)/P180</f>
        <v/>
      </c>
    </row>
    <row r="181">
      <c r="A181" s="12" t="n">
        <v>176</v>
      </c>
      <c r="B181" s="36" t="n">
        <v>0.6678491588479863</v>
      </c>
      <c r="C181" s="36" t="n">
        <v>0.1293628034582744</v>
      </c>
      <c r="D181" s="36" t="n">
        <v>0.2751525256017133</v>
      </c>
      <c r="E181" s="36" t="n">
        <v>0.1386544962334195</v>
      </c>
      <c r="F181" s="36" t="n">
        <v>0.2835207665992292</v>
      </c>
      <c r="G181" s="36" t="n">
        <v>0.6747365473492779</v>
      </c>
      <c r="H181" s="37">
        <f>SUM(B181:G181)</f>
        <v/>
      </c>
      <c r="I181" s="25">
        <f>B181/$H181</f>
        <v/>
      </c>
      <c r="J181" s="25">
        <f>C181/$H181</f>
        <v/>
      </c>
      <c r="K181" s="25">
        <f>D181/$H181</f>
        <v/>
      </c>
      <c r="L181" s="25">
        <f>E181/$H181</f>
        <v/>
      </c>
      <c r="M181" s="25">
        <f>F181/$H181</f>
        <v/>
      </c>
      <c r="N181" s="25">
        <f>G181/$H181</f>
        <v/>
      </c>
      <c r="O181" s="25">
        <f>SUM(MMULT(I181:N181,'07 Annualised Inputs'!$D$7:$D$12))</f>
        <v/>
      </c>
      <c r="P181" s="25">
        <f>SQRT(SUMPRODUCT(MMULT(I181:N181,'07 Annualised Inputs'!$B$17:$G$22),I181:N181))</f>
        <v/>
      </c>
      <c r="Q181" s="37">
        <f>(O181-'02 Config'!$B$10)/P181</f>
        <v/>
      </c>
    </row>
    <row r="182">
      <c r="A182" s="12" t="n">
        <v>177</v>
      </c>
      <c r="B182" s="36" t="n">
        <v>0.9103269101852525</v>
      </c>
      <c r="C182" s="36" t="n">
        <v>0.202522407924186</v>
      </c>
      <c r="D182" s="36" t="n">
        <v>0.5420790349507192</v>
      </c>
      <c r="E182" s="36" t="n">
        <v>0.7013911012434323</v>
      </c>
      <c r="F182" s="36" t="n">
        <v>0.9529224684855657</v>
      </c>
      <c r="G182" s="36" t="n">
        <v>0.6100604828871738</v>
      </c>
      <c r="H182" s="37">
        <f>SUM(B182:G182)</f>
        <v/>
      </c>
      <c r="I182" s="25">
        <f>B182/$H182</f>
        <v/>
      </c>
      <c r="J182" s="25">
        <f>C182/$H182</f>
        <v/>
      </c>
      <c r="K182" s="25">
        <f>D182/$H182</f>
        <v/>
      </c>
      <c r="L182" s="25">
        <f>E182/$H182</f>
        <v/>
      </c>
      <c r="M182" s="25">
        <f>F182/$H182</f>
        <v/>
      </c>
      <c r="N182" s="25">
        <f>G182/$H182</f>
        <v/>
      </c>
      <c r="O182" s="25">
        <f>SUM(MMULT(I182:N182,'07 Annualised Inputs'!$D$7:$D$12))</f>
        <v/>
      </c>
      <c r="P182" s="25">
        <f>SQRT(SUMPRODUCT(MMULT(I182:N182,'07 Annualised Inputs'!$B$17:$G$22),I182:N182))</f>
        <v/>
      </c>
      <c r="Q182" s="37">
        <f>(O182-'02 Config'!$B$10)/P182</f>
        <v/>
      </c>
    </row>
    <row r="183">
      <c r="A183" s="12" t="n">
        <v>178</v>
      </c>
      <c r="B183" s="36" t="n">
        <v>0.2551069310273807</v>
      </c>
      <c r="C183" s="36" t="n">
        <v>0.6254781569139363</v>
      </c>
      <c r="D183" s="36" t="n">
        <v>0.3204911616780162</v>
      </c>
      <c r="E183" s="36" t="n">
        <v>0.9761283906917078</v>
      </c>
      <c r="F183" s="36" t="n">
        <v>0.3996761351636369</v>
      </c>
      <c r="G183" s="36" t="n">
        <v>0.6854277207610142</v>
      </c>
      <c r="H183" s="37">
        <f>SUM(B183:G183)</f>
        <v/>
      </c>
      <c r="I183" s="25">
        <f>B183/$H183</f>
        <v/>
      </c>
      <c r="J183" s="25">
        <f>C183/$H183</f>
        <v/>
      </c>
      <c r="K183" s="25">
        <f>D183/$H183</f>
        <v/>
      </c>
      <c r="L183" s="25">
        <f>E183/$H183</f>
        <v/>
      </c>
      <c r="M183" s="25">
        <f>F183/$H183</f>
        <v/>
      </c>
      <c r="N183" s="25">
        <f>G183/$H183</f>
        <v/>
      </c>
      <c r="O183" s="25">
        <f>SUM(MMULT(I183:N183,'07 Annualised Inputs'!$D$7:$D$12))</f>
        <v/>
      </c>
      <c r="P183" s="25">
        <f>SQRT(SUMPRODUCT(MMULT(I183:N183,'07 Annualised Inputs'!$B$17:$G$22),I183:N183))</f>
        <v/>
      </c>
      <c r="Q183" s="37">
        <f>(O183-'02 Config'!$B$10)/P183</f>
        <v/>
      </c>
    </row>
    <row r="184">
      <c r="A184" s="12" t="n">
        <v>179</v>
      </c>
      <c r="B184" s="36" t="n">
        <v>0.02322758234675848</v>
      </c>
      <c r="C184" s="36" t="n">
        <v>0.4000614461347554</v>
      </c>
      <c r="D184" s="36" t="n">
        <v>0.8751076133225116</v>
      </c>
      <c r="E184" s="36" t="n">
        <v>0.6102274444332458</v>
      </c>
      <c r="F184" s="36" t="n">
        <v>0.4439428863959763</v>
      </c>
      <c r="G184" s="36" t="n">
        <v>0.9359374994357259</v>
      </c>
      <c r="H184" s="37">
        <f>SUM(B184:G184)</f>
        <v/>
      </c>
      <c r="I184" s="25">
        <f>B184/$H184</f>
        <v/>
      </c>
      <c r="J184" s="25">
        <f>C184/$H184</f>
        <v/>
      </c>
      <c r="K184" s="25">
        <f>D184/$H184</f>
        <v/>
      </c>
      <c r="L184" s="25">
        <f>E184/$H184</f>
        <v/>
      </c>
      <c r="M184" s="25">
        <f>F184/$H184</f>
        <v/>
      </c>
      <c r="N184" s="25">
        <f>G184/$H184</f>
        <v/>
      </c>
      <c r="O184" s="25">
        <f>SUM(MMULT(I184:N184,'07 Annualised Inputs'!$D$7:$D$12))</f>
        <v/>
      </c>
      <c r="P184" s="25">
        <f>SQRT(SUMPRODUCT(MMULT(I184:N184,'07 Annualised Inputs'!$B$17:$G$22),I184:N184))</f>
        <v/>
      </c>
      <c r="Q184" s="37">
        <f>(O184-'02 Config'!$B$10)/P184</f>
        <v/>
      </c>
    </row>
    <row r="185">
      <c r="A185" s="12" t="n">
        <v>180</v>
      </c>
      <c r="B185" s="36" t="n">
        <v>0.8539843761472291</v>
      </c>
      <c r="C185" s="36" t="n">
        <v>0.3222156738229383</v>
      </c>
      <c r="D185" s="36" t="n">
        <v>0.5445484020413396</v>
      </c>
      <c r="E185" s="36" t="n">
        <v>0.4898242560924627</v>
      </c>
      <c r="F185" s="36" t="n">
        <v>0.6322025001148623</v>
      </c>
      <c r="G185" s="36" t="n">
        <v>0.3341112669587556</v>
      </c>
      <c r="H185" s="37">
        <f>SUM(B185:G185)</f>
        <v/>
      </c>
      <c r="I185" s="25">
        <f>B185/$H185</f>
        <v/>
      </c>
      <c r="J185" s="25">
        <f>C185/$H185</f>
        <v/>
      </c>
      <c r="K185" s="25">
        <f>D185/$H185</f>
        <v/>
      </c>
      <c r="L185" s="25">
        <f>E185/$H185</f>
        <v/>
      </c>
      <c r="M185" s="25">
        <f>F185/$H185</f>
        <v/>
      </c>
      <c r="N185" s="25">
        <f>G185/$H185</f>
        <v/>
      </c>
      <c r="O185" s="25">
        <f>SUM(MMULT(I185:N185,'07 Annualised Inputs'!$D$7:$D$12))</f>
        <v/>
      </c>
      <c r="P185" s="25">
        <f>SQRT(SUMPRODUCT(MMULT(I185:N185,'07 Annualised Inputs'!$B$17:$G$22),I185:N185))</f>
        <v/>
      </c>
      <c r="Q185" s="37">
        <f>(O185-'02 Config'!$B$10)/P185</f>
        <v/>
      </c>
    </row>
    <row r="186">
      <c r="A186" s="12" t="n">
        <v>181</v>
      </c>
      <c r="B186" s="36" t="n">
        <v>0.2442050007658882</v>
      </c>
      <c r="C186" s="36" t="n">
        <v>0.9126718352555361</v>
      </c>
      <c r="D186" s="36" t="n">
        <v>0.9238744994985063</v>
      </c>
      <c r="E186" s="36" t="n">
        <v>0.843322885761979</v>
      </c>
      <c r="F186" s="36" t="n">
        <v>0.9782044307645613</v>
      </c>
      <c r="G186" s="36" t="n">
        <v>0.7449915257796885</v>
      </c>
      <c r="H186" s="37">
        <f>SUM(B186:G186)</f>
        <v/>
      </c>
      <c r="I186" s="25">
        <f>B186/$H186</f>
        <v/>
      </c>
      <c r="J186" s="25">
        <f>C186/$H186</f>
        <v/>
      </c>
      <c r="K186" s="25">
        <f>D186/$H186</f>
        <v/>
      </c>
      <c r="L186" s="25">
        <f>E186/$H186</f>
        <v/>
      </c>
      <c r="M186" s="25">
        <f>F186/$H186</f>
        <v/>
      </c>
      <c r="N186" s="25">
        <f>G186/$H186</f>
        <v/>
      </c>
      <c r="O186" s="25">
        <f>SUM(MMULT(I186:N186,'07 Annualised Inputs'!$D$7:$D$12))</f>
        <v/>
      </c>
      <c r="P186" s="25">
        <f>SQRT(SUMPRODUCT(MMULT(I186:N186,'07 Annualised Inputs'!$B$17:$G$22),I186:N186))</f>
        <v/>
      </c>
      <c r="Q186" s="37">
        <f>(O186-'02 Config'!$B$10)/P186</f>
        <v/>
      </c>
    </row>
    <row r="187">
      <c r="A187" s="12" t="n">
        <v>182</v>
      </c>
      <c r="B187" s="36" t="n">
        <v>0.7646672285619996</v>
      </c>
      <c r="C187" s="36" t="n">
        <v>0.7625900919626407</v>
      </c>
      <c r="D187" s="36" t="n">
        <v>0.4806076309423065</v>
      </c>
      <c r="E187" s="36" t="n">
        <v>0.4564521945142717</v>
      </c>
      <c r="F187" s="36" t="n">
        <v>0.2402262761490032</v>
      </c>
      <c r="G187" s="36" t="n">
        <v>0.6448191943592905</v>
      </c>
      <c r="H187" s="37">
        <f>SUM(B187:G187)</f>
        <v/>
      </c>
      <c r="I187" s="25">
        <f>B187/$H187</f>
        <v/>
      </c>
      <c r="J187" s="25">
        <f>C187/$H187</f>
        <v/>
      </c>
      <c r="K187" s="25">
        <f>D187/$H187</f>
        <v/>
      </c>
      <c r="L187" s="25">
        <f>E187/$H187</f>
        <v/>
      </c>
      <c r="M187" s="25">
        <f>F187/$H187</f>
        <v/>
      </c>
      <c r="N187" s="25">
        <f>G187/$H187</f>
        <v/>
      </c>
      <c r="O187" s="25">
        <f>SUM(MMULT(I187:N187,'07 Annualised Inputs'!$D$7:$D$12))</f>
        <v/>
      </c>
      <c r="P187" s="25">
        <f>SQRT(SUMPRODUCT(MMULT(I187:N187,'07 Annualised Inputs'!$B$17:$G$22),I187:N187))</f>
        <v/>
      </c>
      <c r="Q187" s="37">
        <f>(O187-'02 Config'!$B$10)/P187</f>
        <v/>
      </c>
    </row>
    <row r="188">
      <c r="A188" s="12" t="n">
        <v>183</v>
      </c>
      <c r="B188" s="36" t="n">
        <v>0.2893201361023345</v>
      </c>
      <c r="C188" s="36" t="n">
        <v>0.2578084097023544</v>
      </c>
      <c r="D188" s="36" t="n">
        <v>0.5859613740960548</v>
      </c>
      <c r="E188" s="36" t="n">
        <v>0.4099823882250432</v>
      </c>
      <c r="F188" s="36" t="n">
        <v>0.2188566087946322</v>
      </c>
      <c r="G188" s="36" t="n">
        <v>0.8160560167528311</v>
      </c>
      <c r="H188" s="37">
        <f>SUM(B188:G188)</f>
        <v/>
      </c>
      <c r="I188" s="25">
        <f>B188/$H188</f>
        <v/>
      </c>
      <c r="J188" s="25">
        <f>C188/$H188</f>
        <v/>
      </c>
      <c r="K188" s="25">
        <f>D188/$H188</f>
        <v/>
      </c>
      <c r="L188" s="25">
        <f>E188/$H188</f>
        <v/>
      </c>
      <c r="M188" s="25">
        <f>F188/$H188</f>
        <v/>
      </c>
      <c r="N188" s="25">
        <f>G188/$H188</f>
        <v/>
      </c>
      <c r="O188" s="25">
        <f>SUM(MMULT(I188:N188,'07 Annualised Inputs'!$D$7:$D$12))</f>
        <v/>
      </c>
      <c r="P188" s="25">
        <f>SQRT(SUMPRODUCT(MMULT(I188:N188,'07 Annualised Inputs'!$B$17:$G$22),I188:N188))</f>
        <v/>
      </c>
      <c r="Q188" s="37">
        <f>(O188-'02 Config'!$B$10)/P188</f>
        <v/>
      </c>
    </row>
    <row r="189">
      <c r="A189" s="12" t="n">
        <v>184</v>
      </c>
      <c r="B189" s="36" t="n">
        <v>0.860569919294376</v>
      </c>
      <c r="C189" s="36" t="n">
        <v>0.167699519677781</v>
      </c>
      <c r="D189" s="36" t="n">
        <v>0.007507032799999869</v>
      </c>
      <c r="E189" s="36" t="n">
        <v>0.3361299685293737</v>
      </c>
      <c r="F189" s="36" t="n">
        <v>0.7975108356807525</v>
      </c>
      <c r="G189" s="36" t="n">
        <v>0.8391738662343244</v>
      </c>
      <c r="H189" s="37">
        <f>SUM(B189:G189)</f>
        <v/>
      </c>
      <c r="I189" s="25">
        <f>B189/$H189</f>
        <v/>
      </c>
      <c r="J189" s="25">
        <f>C189/$H189</f>
        <v/>
      </c>
      <c r="K189" s="25">
        <f>D189/$H189</f>
        <v/>
      </c>
      <c r="L189" s="25">
        <f>E189/$H189</f>
        <v/>
      </c>
      <c r="M189" s="25">
        <f>F189/$H189</f>
        <v/>
      </c>
      <c r="N189" s="25">
        <f>G189/$H189</f>
        <v/>
      </c>
      <c r="O189" s="25">
        <f>SUM(MMULT(I189:N189,'07 Annualised Inputs'!$D$7:$D$12))</f>
        <v/>
      </c>
      <c r="P189" s="25">
        <f>SQRT(SUMPRODUCT(MMULT(I189:N189,'07 Annualised Inputs'!$B$17:$G$22),I189:N189))</f>
        <v/>
      </c>
      <c r="Q189" s="37">
        <f>(O189-'02 Config'!$B$10)/P189</f>
        <v/>
      </c>
    </row>
    <row r="190">
      <c r="A190" s="12" t="n">
        <v>185</v>
      </c>
      <c r="B190" s="36" t="n">
        <v>0.1383290701160492</v>
      </c>
      <c r="C190" s="36" t="n">
        <v>0.7743359011830512</v>
      </c>
      <c r="D190" s="36" t="n">
        <v>0.1157041673094295</v>
      </c>
      <c r="E190" s="36" t="n">
        <v>0.3900625901565292</v>
      </c>
      <c r="F190" s="36" t="n">
        <v>0.9986095150119159</v>
      </c>
      <c r="G190" s="36" t="n">
        <v>0.1925908232309098</v>
      </c>
      <c r="H190" s="37">
        <f>SUM(B190:G190)</f>
        <v/>
      </c>
      <c r="I190" s="25">
        <f>B190/$H190</f>
        <v/>
      </c>
      <c r="J190" s="25">
        <f>C190/$H190</f>
        <v/>
      </c>
      <c r="K190" s="25">
        <f>D190/$H190</f>
        <v/>
      </c>
      <c r="L190" s="25">
        <f>E190/$H190</f>
        <v/>
      </c>
      <c r="M190" s="25">
        <f>F190/$H190</f>
        <v/>
      </c>
      <c r="N190" s="25">
        <f>G190/$H190</f>
        <v/>
      </c>
      <c r="O190" s="25">
        <f>SUM(MMULT(I190:N190,'07 Annualised Inputs'!$D$7:$D$12))</f>
        <v/>
      </c>
      <c r="P190" s="25">
        <f>SQRT(SUMPRODUCT(MMULT(I190:N190,'07 Annualised Inputs'!$B$17:$G$22),I190:N190))</f>
        <v/>
      </c>
      <c r="Q190" s="37">
        <f>(O190-'02 Config'!$B$10)/P190</f>
        <v/>
      </c>
    </row>
    <row r="191">
      <c r="A191" s="12" t="n">
        <v>186</v>
      </c>
      <c r="B191" s="36" t="n">
        <v>0.1539635825776264</v>
      </c>
      <c r="C191" s="36" t="n">
        <v>0.4228003325467935</v>
      </c>
      <c r="D191" s="36" t="n">
        <v>0.6196685259698614</v>
      </c>
      <c r="E191" s="36" t="n">
        <v>0.9329007824132532</v>
      </c>
      <c r="F191" s="36" t="n">
        <v>0.9808211455330342</v>
      </c>
      <c r="G191" s="36" t="n">
        <v>0.06964063659139463</v>
      </c>
      <c r="H191" s="37">
        <f>SUM(B191:G191)</f>
        <v/>
      </c>
      <c r="I191" s="25">
        <f>B191/$H191</f>
        <v/>
      </c>
      <c r="J191" s="25">
        <f>C191/$H191</f>
        <v/>
      </c>
      <c r="K191" s="25">
        <f>D191/$H191</f>
        <v/>
      </c>
      <c r="L191" s="25">
        <f>E191/$H191</f>
        <v/>
      </c>
      <c r="M191" s="25">
        <f>F191/$H191</f>
        <v/>
      </c>
      <c r="N191" s="25">
        <f>G191/$H191</f>
        <v/>
      </c>
      <c r="O191" s="25">
        <f>SUM(MMULT(I191:N191,'07 Annualised Inputs'!$D$7:$D$12))</f>
        <v/>
      </c>
      <c r="P191" s="25">
        <f>SQRT(SUMPRODUCT(MMULT(I191:N191,'07 Annualised Inputs'!$B$17:$G$22),I191:N191))</f>
        <v/>
      </c>
      <c r="Q191" s="37">
        <f>(O191-'02 Config'!$B$10)/P191</f>
        <v/>
      </c>
    </row>
    <row r="192">
      <c r="A192" s="12" t="n">
        <v>187</v>
      </c>
      <c r="B192" s="36" t="n">
        <v>0.1379975173479053</v>
      </c>
      <c r="C192" s="36" t="n">
        <v>0.7907379738959939</v>
      </c>
      <c r="D192" s="36" t="n">
        <v>0.2706321522708605</v>
      </c>
      <c r="E192" s="36" t="n">
        <v>0.8848490595063606</v>
      </c>
      <c r="F192" s="36" t="n">
        <v>0.6634532572290868</v>
      </c>
      <c r="G192" s="36" t="n">
        <v>0.1118448023806772</v>
      </c>
      <c r="H192" s="37">
        <f>SUM(B192:G192)</f>
        <v/>
      </c>
      <c r="I192" s="25">
        <f>B192/$H192</f>
        <v/>
      </c>
      <c r="J192" s="25">
        <f>C192/$H192</f>
        <v/>
      </c>
      <c r="K192" s="25">
        <f>D192/$H192</f>
        <v/>
      </c>
      <c r="L192" s="25">
        <f>E192/$H192</f>
        <v/>
      </c>
      <c r="M192" s="25">
        <f>F192/$H192</f>
        <v/>
      </c>
      <c r="N192" s="25">
        <f>G192/$H192</f>
        <v/>
      </c>
      <c r="O192" s="25">
        <f>SUM(MMULT(I192:N192,'07 Annualised Inputs'!$D$7:$D$12))</f>
        <v/>
      </c>
      <c r="P192" s="25">
        <f>SQRT(SUMPRODUCT(MMULT(I192:N192,'07 Annualised Inputs'!$B$17:$G$22),I192:N192))</f>
        <v/>
      </c>
      <c r="Q192" s="37">
        <f>(O192-'02 Config'!$B$10)/P192</f>
        <v/>
      </c>
    </row>
    <row r="193">
      <c r="A193" s="12" t="n">
        <v>188</v>
      </c>
      <c r="B193" s="36" t="n">
        <v>0.8325292849240071</v>
      </c>
      <c r="C193" s="36" t="n">
        <v>0.1763563800080759</v>
      </c>
      <c r="D193" s="36" t="n">
        <v>0.4234953946796538</v>
      </c>
      <c r="E193" s="36" t="n">
        <v>0.55218492855933</v>
      </c>
      <c r="F193" s="36" t="n">
        <v>0.5007661490802783</v>
      </c>
      <c r="G193" s="36" t="n">
        <v>0.6861629156151504</v>
      </c>
      <c r="H193" s="37">
        <f>SUM(B193:G193)</f>
        <v/>
      </c>
      <c r="I193" s="25">
        <f>B193/$H193</f>
        <v/>
      </c>
      <c r="J193" s="25">
        <f>C193/$H193</f>
        <v/>
      </c>
      <c r="K193" s="25">
        <f>D193/$H193</f>
        <v/>
      </c>
      <c r="L193" s="25">
        <f>E193/$H193</f>
        <v/>
      </c>
      <c r="M193" s="25">
        <f>F193/$H193</f>
        <v/>
      </c>
      <c r="N193" s="25">
        <f>G193/$H193</f>
        <v/>
      </c>
      <c r="O193" s="25">
        <f>SUM(MMULT(I193:N193,'07 Annualised Inputs'!$D$7:$D$12))</f>
        <v/>
      </c>
      <c r="P193" s="25">
        <f>SQRT(SUMPRODUCT(MMULT(I193:N193,'07 Annualised Inputs'!$B$17:$G$22),I193:N193))</f>
        <v/>
      </c>
      <c r="Q193" s="37">
        <f>(O193-'02 Config'!$B$10)/P193</f>
        <v/>
      </c>
    </row>
    <row r="194">
      <c r="A194" s="12" t="n">
        <v>189</v>
      </c>
      <c r="B194" s="36" t="n">
        <v>0.6526867348692552</v>
      </c>
      <c r="C194" s="36" t="n">
        <v>0.9920420055280549</v>
      </c>
      <c r="D194" s="36" t="n">
        <v>0.9994219092241878</v>
      </c>
      <c r="E194" s="36" t="n">
        <v>0.5164594026356409</v>
      </c>
      <c r="F194" s="36" t="n">
        <v>0.09519908696086399</v>
      </c>
      <c r="G194" s="36" t="n">
        <v>0.7278432989687184</v>
      </c>
      <c r="H194" s="37">
        <f>SUM(B194:G194)</f>
        <v/>
      </c>
      <c r="I194" s="25">
        <f>B194/$H194</f>
        <v/>
      </c>
      <c r="J194" s="25">
        <f>C194/$H194</f>
        <v/>
      </c>
      <c r="K194" s="25">
        <f>D194/$H194</f>
        <v/>
      </c>
      <c r="L194" s="25">
        <f>E194/$H194</f>
        <v/>
      </c>
      <c r="M194" s="25">
        <f>F194/$H194</f>
        <v/>
      </c>
      <c r="N194" s="25">
        <f>G194/$H194</f>
        <v/>
      </c>
      <c r="O194" s="25">
        <f>SUM(MMULT(I194:N194,'07 Annualised Inputs'!$D$7:$D$12))</f>
        <v/>
      </c>
      <c r="P194" s="25">
        <f>SQRT(SUMPRODUCT(MMULT(I194:N194,'07 Annualised Inputs'!$B$17:$G$22),I194:N194))</f>
        <v/>
      </c>
      <c r="Q194" s="37">
        <f>(O194-'02 Config'!$B$10)/P194</f>
        <v/>
      </c>
    </row>
    <row r="195">
      <c r="A195" s="12" t="n">
        <v>190</v>
      </c>
      <c r="B195" s="36" t="n">
        <v>0.9766640782165892</v>
      </c>
      <c r="C195" s="36" t="n">
        <v>0.3183263876290203</v>
      </c>
      <c r="D195" s="36" t="n">
        <v>0.4612088858375738</v>
      </c>
      <c r="E195" s="36" t="n">
        <v>0.4247769248154559</v>
      </c>
      <c r="F195" s="36" t="n">
        <v>0.05141915455692936</v>
      </c>
      <c r="G195" s="36" t="n">
        <v>0.6722644312234448</v>
      </c>
      <c r="H195" s="37">
        <f>SUM(B195:G195)</f>
        <v/>
      </c>
      <c r="I195" s="25">
        <f>B195/$H195</f>
        <v/>
      </c>
      <c r="J195" s="25">
        <f>C195/$H195</f>
        <v/>
      </c>
      <c r="K195" s="25">
        <f>D195/$H195</f>
        <v/>
      </c>
      <c r="L195" s="25">
        <f>E195/$H195</f>
        <v/>
      </c>
      <c r="M195" s="25">
        <f>F195/$H195</f>
        <v/>
      </c>
      <c r="N195" s="25">
        <f>G195/$H195</f>
        <v/>
      </c>
      <c r="O195" s="25">
        <f>SUM(MMULT(I195:N195,'07 Annualised Inputs'!$D$7:$D$12))</f>
        <v/>
      </c>
      <c r="P195" s="25">
        <f>SQRT(SUMPRODUCT(MMULT(I195:N195,'07 Annualised Inputs'!$B$17:$G$22),I195:N195))</f>
        <v/>
      </c>
      <c r="Q195" s="37">
        <f>(O195-'02 Config'!$B$10)/P195</f>
        <v/>
      </c>
    </row>
    <row r="196">
      <c r="A196" s="12" t="n">
        <v>191</v>
      </c>
      <c r="B196" s="36" t="n">
        <v>0.3533376950684678</v>
      </c>
      <c r="C196" s="36" t="n">
        <v>0.7874638746315022</v>
      </c>
      <c r="D196" s="36" t="n">
        <v>0.8321200752819861</v>
      </c>
      <c r="E196" s="36" t="n">
        <v>0.8212307865978454</v>
      </c>
      <c r="F196" s="36" t="n">
        <v>0.4166659980398801</v>
      </c>
      <c r="G196" s="36" t="n">
        <v>0.3215456822408995</v>
      </c>
      <c r="H196" s="37">
        <f>SUM(B196:G196)</f>
        <v/>
      </c>
      <c r="I196" s="25">
        <f>B196/$H196</f>
        <v/>
      </c>
      <c r="J196" s="25">
        <f>C196/$H196</f>
        <v/>
      </c>
      <c r="K196" s="25">
        <f>D196/$H196</f>
        <v/>
      </c>
      <c r="L196" s="25">
        <f>E196/$H196</f>
        <v/>
      </c>
      <c r="M196" s="25">
        <f>F196/$H196</f>
        <v/>
      </c>
      <c r="N196" s="25">
        <f>G196/$H196</f>
        <v/>
      </c>
      <c r="O196" s="25">
        <f>SUM(MMULT(I196:N196,'07 Annualised Inputs'!$D$7:$D$12))</f>
        <v/>
      </c>
      <c r="P196" s="25">
        <f>SQRT(SUMPRODUCT(MMULT(I196:N196,'07 Annualised Inputs'!$B$17:$G$22),I196:N196))</f>
        <v/>
      </c>
      <c r="Q196" s="37">
        <f>(O196-'02 Config'!$B$10)/P196</f>
        <v/>
      </c>
    </row>
    <row r="197">
      <c r="A197" s="12" t="n">
        <v>192</v>
      </c>
      <c r="B197" s="36" t="n">
        <v>0.7488207796670548</v>
      </c>
      <c r="C197" s="36" t="n">
        <v>0.801389433842723</v>
      </c>
      <c r="D197" s="36" t="n">
        <v>0.4912574463913661</v>
      </c>
      <c r="E197" s="36" t="n">
        <v>0.893031019536303</v>
      </c>
      <c r="F197" s="36" t="n">
        <v>0.1439086960785583</v>
      </c>
      <c r="G197" s="36" t="n">
        <v>0.8790687796589601</v>
      </c>
      <c r="H197" s="37">
        <f>SUM(B197:G197)</f>
        <v/>
      </c>
      <c r="I197" s="25">
        <f>B197/$H197</f>
        <v/>
      </c>
      <c r="J197" s="25">
        <f>C197/$H197</f>
        <v/>
      </c>
      <c r="K197" s="25">
        <f>D197/$H197</f>
        <v/>
      </c>
      <c r="L197" s="25">
        <f>E197/$H197</f>
        <v/>
      </c>
      <c r="M197" s="25">
        <f>F197/$H197</f>
        <v/>
      </c>
      <c r="N197" s="25">
        <f>G197/$H197</f>
        <v/>
      </c>
      <c r="O197" s="25">
        <f>SUM(MMULT(I197:N197,'07 Annualised Inputs'!$D$7:$D$12))</f>
        <v/>
      </c>
      <c r="P197" s="25">
        <f>SQRT(SUMPRODUCT(MMULT(I197:N197,'07 Annualised Inputs'!$B$17:$G$22),I197:N197))</f>
        <v/>
      </c>
      <c r="Q197" s="37">
        <f>(O197-'02 Config'!$B$10)/P197</f>
        <v/>
      </c>
    </row>
    <row r="198">
      <c r="A198" s="12" t="n">
        <v>193</v>
      </c>
      <c r="B198" s="36" t="n">
        <v>0.09609523297188127</v>
      </c>
      <c r="C198" s="36" t="n">
        <v>0.1535255220546139</v>
      </c>
      <c r="D198" s="36" t="n">
        <v>0.5338400132739604</v>
      </c>
      <c r="E198" s="36" t="n">
        <v>0.06751848018741502</v>
      </c>
      <c r="F198" s="36" t="n">
        <v>0.05280710140011036</v>
      </c>
      <c r="G198" s="36" t="n">
        <v>0.0005187441657055203</v>
      </c>
      <c r="H198" s="37">
        <f>SUM(B198:G198)</f>
        <v/>
      </c>
      <c r="I198" s="25">
        <f>B198/$H198</f>
        <v/>
      </c>
      <c r="J198" s="25">
        <f>C198/$H198</f>
        <v/>
      </c>
      <c r="K198" s="25">
        <f>D198/$H198</f>
        <v/>
      </c>
      <c r="L198" s="25">
        <f>E198/$H198</f>
        <v/>
      </c>
      <c r="M198" s="25">
        <f>F198/$H198</f>
        <v/>
      </c>
      <c r="N198" s="25">
        <f>G198/$H198</f>
        <v/>
      </c>
      <c r="O198" s="25">
        <f>SUM(MMULT(I198:N198,'07 Annualised Inputs'!$D$7:$D$12))</f>
        <v/>
      </c>
      <c r="P198" s="25">
        <f>SQRT(SUMPRODUCT(MMULT(I198:N198,'07 Annualised Inputs'!$B$17:$G$22),I198:N198))</f>
        <v/>
      </c>
      <c r="Q198" s="37">
        <f>(O198-'02 Config'!$B$10)/P198</f>
        <v/>
      </c>
    </row>
    <row r="199">
      <c r="A199" s="12" t="n">
        <v>194</v>
      </c>
      <c r="B199" s="36" t="n">
        <v>0.4363166596942631</v>
      </c>
      <c r="C199" s="36" t="n">
        <v>0.7746238812922298</v>
      </c>
      <c r="D199" s="36" t="n">
        <v>0.03483835027991566</v>
      </c>
      <c r="E199" s="36" t="n">
        <v>0.6522576064658554</v>
      </c>
      <c r="F199" s="36" t="n">
        <v>0.8231273174161865</v>
      </c>
      <c r="G199" s="36" t="n">
        <v>0.1680008485778711</v>
      </c>
      <c r="H199" s="37">
        <f>SUM(B199:G199)</f>
        <v/>
      </c>
      <c r="I199" s="25">
        <f>B199/$H199</f>
        <v/>
      </c>
      <c r="J199" s="25">
        <f>C199/$H199</f>
        <v/>
      </c>
      <c r="K199" s="25">
        <f>D199/$H199</f>
        <v/>
      </c>
      <c r="L199" s="25">
        <f>E199/$H199</f>
        <v/>
      </c>
      <c r="M199" s="25">
        <f>F199/$H199</f>
        <v/>
      </c>
      <c r="N199" s="25">
        <f>G199/$H199</f>
        <v/>
      </c>
      <c r="O199" s="25">
        <f>SUM(MMULT(I199:N199,'07 Annualised Inputs'!$D$7:$D$12))</f>
        <v/>
      </c>
      <c r="P199" s="25">
        <f>SQRT(SUMPRODUCT(MMULT(I199:N199,'07 Annualised Inputs'!$B$17:$G$22),I199:N199))</f>
        <v/>
      </c>
      <c r="Q199" s="37">
        <f>(O199-'02 Config'!$B$10)/P199</f>
        <v/>
      </c>
    </row>
    <row r="200">
      <c r="A200" s="12" t="n">
        <v>195</v>
      </c>
      <c r="B200" s="36" t="n">
        <v>0.1468637348214042</v>
      </c>
      <c r="C200" s="36" t="n">
        <v>0.8608009736205361</v>
      </c>
      <c r="D200" s="36" t="n">
        <v>0.8231246099500947</v>
      </c>
      <c r="E200" s="36" t="n">
        <v>0.5389417662641869</v>
      </c>
      <c r="F200" s="36" t="n">
        <v>0.8191998792939803</v>
      </c>
      <c r="G200" s="36" t="n">
        <v>0.09275607742449477</v>
      </c>
      <c r="H200" s="37">
        <f>SUM(B200:G200)</f>
        <v/>
      </c>
      <c r="I200" s="25">
        <f>B200/$H200</f>
        <v/>
      </c>
      <c r="J200" s="25">
        <f>C200/$H200</f>
        <v/>
      </c>
      <c r="K200" s="25">
        <f>D200/$H200</f>
        <v/>
      </c>
      <c r="L200" s="25">
        <f>E200/$H200</f>
        <v/>
      </c>
      <c r="M200" s="25">
        <f>F200/$H200</f>
        <v/>
      </c>
      <c r="N200" s="25">
        <f>G200/$H200</f>
        <v/>
      </c>
      <c r="O200" s="25">
        <f>SUM(MMULT(I200:N200,'07 Annualised Inputs'!$D$7:$D$12))</f>
        <v/>
      </c>
      <c r="P200" s="25">
        <f>SQRT(SUMPRODUCT(MMULT(I200:N200,'07 Annualised Inputs'!$B$17:$G$22),I200:N200))</f>
        <v/>
      </c>
      <c r="Q200" s="37">
        <f>(O200-'02 Config'!$B$10)/P200</f>
        <v/>
      </c>
    </row>
    <row r="201">
      <c r="A201" s="12" t="n">
        <v>196</v>
      </c>
      <c r="B201" s="36" t="n">
        <v>0.3944815179387544</v>
      </c>
      <c r="C201" s="36" t="n">
        <v>0.7377975561063729</v>
      </c>
      <c r="D201" s="36" t="n">
        <v>0.2574519593239634</v>
      </c>
      <c r="E201" s="36" t="n">
        <v>0.7523289144335528</v>
      </c>
      <c r="F201" s="36" t="n">
        <v>0.5041786043908139</v>
      </c>
      <c r="G201" s="36" t="n">
        <v>0.7502659879482331</v>
      </c>
      <c r="H201" s="37">
        <f>SUM(B201:G201)</f>
        <v/>
      </c>
      <c r="I201" s="25">
        <f>B201/$H201</f>
        <v/>
      </c>
      <c r="J201" s="25">
        <f>C201/$H201</f>
        <v/>
      </c>
      <c r="K201" s="25">
        <f>D201/$H201</f>
        <v/>
      </c>
      <c r="L201" s="25">
        <f>E201/$H201</f>
        <v/>
      </c>
      <c r="M201" s="25">
        <f>F201/$H201</f>
        <v/>
      </c>
      <c r="N201" s="25">
        <f>G201/$H201</f>
        <v/>
      </c>
      <c r="O201" s="25">
        <f>SUM(MMULT(I201:N201,'07 Annualised Inputs'!$D$7:$D$12))</f>
        <v/>
      </c>
      <c r="P201" s="25">
        <f>SQRT(SUMPRODUCT(MMULT(I201:N201,'07 Annualised Inputs'!$B$17:$G$22),I201:N201))</f>
        <v/>
      </c>
      <c r="Q201" s="37">
        <f>(O201-'02 Config'!$B$10)/P201</f>
        <v/>
      </c>
    </row>
    <row r="202">
      <c r="A202" s="12" t="n">
        <v>197</v>
      </c>
      <c r="B202" s="36" t="n">
        <v>0.4646796378573296</v>
      </c>
      <c r="C202" s="36" t="n">
        <v>0.3679043402218176</v>
      </c>
      <c r="D202" s="36" t="n">
        <v>0.2191892164786323</v>
      </c>
      <c r="E202" s="36" t="n">
        <v>0.208379341435015</v>
      </c>
      <c r="F202" s="36" t="n">
        <v>0.751490810571396</v>
      </c>
      <c r="G202" s="36" t="n">
        <v>0.1189103480339605</v>
      </c>
      <c r="H202" s="37">
        <f>SUM(B202:G202)</f>
        <v/>
      </c>
      <c r="I202" s="25">
        <f>B202/$H202</f>
        <v/>
      </c>
      <c r="J202" s="25">
        <f>C202/$H202</f>
        <v/>
      </c>
      <c r="K202" s="25">
        <f>D202/$H202</f>
        <v/>
      </c>
      <c r="L202" s="25">
        <f>E202/$H202</f>
        <v/>
      </c>
      <c r="M202" s="25">
        <f>F202/$H202</f>
        <v/>
      </c>
      <c r="N202" s="25">
        <f>G202/$H202</f>
        <v/>
      </c>
      <c r="O202" s="25">
        <f>SUM(MMULT(I202:N202,'07 Annualised Inputs'!$D$7:$D$12))</f>
        <v/>
      </c>
      <c r="P202" s="25">
        <f>SQRT(SUMPRODUCT(MMULT(I202:N202,'07 Annualised Inputs'!$B$17:$G$22),I202:N202))</f>
        <v/>
      </c>
      <c r="Q202" s="37">
        <f>(O202-'02 Config'!$B$10)/P202</f>
        <v/>
      </c>
    </row>
    <row r="203">
      <c r="A203" s="12" t="n">
        <v>198</v>
      </c>
      <c r="B203" s="36" t="n">
        <v>0.08598235011094513</v>
      </c>
      <c r="C203" s="36" t="n">
        <v>0.1762913650221302</v>
      </c>
      <c r="D203" s="36" t="n">
        <v>0.1753465114539219</v>
      </c>
      <c r="E203" s="36" t="n">
        <v>0.8231076228068998</v>
      </c>
      <c r="F203" s="36" t="n">
        <v>0.3985066234742124</v>
      </c>
      <c r="G203" s="36" t="n">
        <v>0.9903884573604824</v>
      </c>
      <c r="H203" s="37">
        <f>SUM(B203:G203)</f>
        <v/>
      </c>
      <c r="I203" s="25">
        <f>B203/$H203</f>
        <v/>
      </c>
      <c r="J203" s="25">
        <f>C203/$H203</f>
        <v/>
      </c>
      <c r="K203" s="25">
        <f>D203/$H203</f>
        <v/>
      </c>
      <c r="L203" s="25">
        <f>E203/$H203</f>
        <v/>
      </c>
      <c r="M203" s="25">
        <f>F203/$H203</f>
        <v/>
      </c>
      <c r="N203" s="25">
        <f>G203/$H203</f>
        <v/>
      </c>
      <c r="O203" s="25">
        <f>SUM(MMULT(I203:N203,'07 Annualised Inputs'!$D$7:$D$12))</f>
        <v/>
      </c>
      <c r="P203" s="25">
        <f>SQRT(SUMPRODUCT(MMULT(I203:N203,'07 Annualised Inputs'!$B$17:$G$22),I203:N203))</f>
        <v/>
      </c>
      <c r="Q203" s="37">
        <f>(O203-'02 Config'!$B$10)/P203</f>
        <v/>
      </c>
    </row>
    <row r="204">
      <c r="A204" s="12" t="n">
        <v>199</v>
      </c>
      <c r="B204" s="36" t="n">
        <v>0.1372112577906124</v>
      </c>
      <c r="C204" s="36" t="n">
        <v>0.6535398256936433</v>
      </c>
      <c r="D204" s="36" t="n">
        <v>0.4487295072012506</v>
      </c>
      <c r="E204" s="36" t="n">
        <v>0.392918176697074</v>
      </c>
      <c r="F204" s="36" t="n">
        <v>0.8750841990540823</v>
      </c>
      <c r="G204" s="36" t="n">
        <v>0.9755956458283996</v>
      </c>
      <c r="H204" s="37">
        <f>SUM(B204:G204)</f>
        <v/>
      </c>
      <c r="I204" s="25">
        <f>B204/$H204</f>
        <v/>
      </c>
      <c r="J204" s="25">
        <f>C204/$H204</f>
        <v/>
      </c>
      <c r="K204" s="25">
        <f>D204/$H204</f>
        <v/>
      </c>
      <c r="L204" s="25">
        <f>E204/$H204</f>
        <v/>
      </c>
      <c r="M204" s="25">
        <f>F204/$H204</f>
        <v/>
      </c>
      <c r="N204" s="25">
        <f>G204/$H204</f>
        <v/>
      </c>
      <c r="O204" s="25">
        <f>SUM(MMULT(I204:N204,'07 Annualised Inputs'!$D$7:$D$12))</f>
        <v/>
      </c>
      <c r="P204" s="25">
        <f>SQRT(SUMPRODUCT(MMULT(I204:N204,'07 Annualised Inputs'!$B$17:$G$22),I204:N204))</f>
        <v/>
      </c>
      <c r="Q204" s="37">
        <f>(O204-'02 Config'!$B$10)/P204</f>
        <v/>
      </c>
    </row>
    <row r="205">
      <c r="A205" s="12" t="n">
        <v>200</v>
      </c>
      <c r="B205" s="36" t="n">
        <v>0.8728589587741787</v>
      </c>
      <c r="C205" s="36" t="n">
        <v>0.192300679035133</v>
      </c>
      <c r="D205" s="36" t="n">
        <v>0.220797921208934</v>
      </c>
      <c r="E205" s="36" t="n">
        <v>0.6560738790950633</v>
      </c>
      <c r="F205" s="36" t="n">
        <v>0.2890835816381917</v>
      </c>
      <c r="G205" s="36" t="n">
        <v>0.7347251307805799</v>
      </c>
      <c r="H205" s="37">
        <f>SUM(B205:G205)</f>
        <v/>
      </c>
      <c r="I205" s="25">
        <f>B205/$H205</f>
        <v/>
      </c>
      <c r="J205" s="25">
        <f>C205/$H205</f>
        <v/>
      </c>
      <c r="K205" s="25">
        <f>D205/$H205</f>
        <v/>
      </c>
      <c r="L205" s="25">
        <f>E205/$H205</f>
        <v/>
      </c>
      <c r="M205" s="25">
        <f>F205/$H205</f>
        <v/>
      </c>
      <c r="N205" s="25">
        <f>G205/$H205</f>
        <v/>
      </c>
      <c r="O205" s="25">
        <f>SUM(MMULT(I205:N205,'07 Annualised Inputs'!$D$7:$D$12))</f>
        <v/>
      </c>
      <c r="P205" s="25">
        <f>SQRT(SUMPRODUCT(MMULT(I205:N205,'07 Annualised Inputs'!$B$17:$G$22),I205:N205))</f>
        <v/>
      </c>
      <c r="Q205" s="37">
        <f>(O205-'02 Config'!$B$10)/P205</f>
        <v/>
      </c>
    </row>
    <row r="206">
      <c r="A206" s="12" t="n">
        <v>201</v>
      </c>
      <c r="B206" s="36" t="n">
        <v>0.5664206508096447</v>
      </c>
      <c r="C206" s="36" t="n">
        <v>0.5509087684904029</v>
      </c>
      <c r="D206" s="36" t="n">
        <v>0.8285469248387858</v>
      </c>
      <c r="E206" s="36" t="n">
        <v>0.7105327717426778</v>
      </c>
      <c r="F206" s="36" t="n">
        <v>0.0265777649972917</v>
      </c>
      <c r="G206" s="36" t="n">
        <v>0.04945913714601569</v>
      </c>
      <c r="H206" s="37">
        <f>SUM(B206:G206)</f>
        <v/>
      </c>
      <c r="I206" s="25">
        <f>B206/$H206</f>
        <v/>
      </c>
      <c r="J206" s="25">
        <f>C206/$H206</f>
        <v/>
      </c>
      <c r="K206" s="25">
        <f>D206/$H206</f>
        <v/>
      </c>
      <c r="L206" s="25">
        <f>E206/$H206</f>
        <v/>
      </c>
      <c r="M206" s="25">
        <f>F206/$H206</f>
        <v/>
      </c>
      <c r="N206" s="25">
        <f>G206/$H206</f>
        <v/>
      </c>
      <c r="O206" s="25">
        <f>SUM(MMULT(I206:N206,'07 Annualised Inputs'!$D$7:$D$12))</f>
        <v/>
      </c>
      <c r="P206" s="25">
        <f>SQRT(SUMPRODUCT(MMULT(I206:N206,'07 Annualised Inputs'!$B$17:$G$22),I206:N206))</f>
        <v/>
      </c>
      <c r="Q206" s="37">
        <f>(O206-'02 Config'!$B$10)/P206</f>
        <v/>
      </c>
    </row>
    <row r="207">
      <c r="A207" s="12" t="n">
        <v>202</v>
      </c>
      <c r="B207" s="36" t="n">
        <v>0.6015584524560157</v>
      </c>
      <c r="C207" s="36" t="n">
        <v>0.4861920756222755</v>
      </c>
      <c r="D207" s="36" t="n">
        <v>0.2601846553429914</v>
      </c>
      <c r="E207" s="36" t="n">
        <v>0.4186560873148016</v>
      </c>
      <c r="F207" s="36" t="n">
        <v>0.7579103187328605</v>
      </c>
      <c r="G207" s="36" t="n">
        <v>0.82661148465793</v>
      </c>
      <c r="H207" s="37">
        <f>SUM(B207:G207)</f>
        <v/>
      </c>
      <c r="I207" s="25">
        <f>B207/$H207</f>
        <v/>
      </c>
      <c r="J207" s="25">
        <f>C207/$H207</f>
        <v/>
      </c>
      <c r="K207" s="25">
        <f>D207/$H207</f>
        <v/>
      </c>
      <c r="L207" s="25">
        <f>E207/$H207</f>
        <v/>
      </c>
      <c r="M207" s="25">
        <f>F207/$H207</f>
        <v/>
      </c>
      <c r="N207" s="25">
        <f>G207/$H207</f>
        <v/>
      </c>
      <c r="O207" s="25">
        <f>SUM(MMULT(I207:N207,'07 Annualised Inputs'!$D$7:$D$12))</f>
        <v/>
      </c>
      <c r="P207" s="25">
        <f>SQRT(SUMPRODUCT(MMULT(I207:N207,'07 Annualised Inputs'!$B$17:$G$22),I207:N207))</f>
        <v/>
      </c>
      <c r="Q207" s="37">
        <f>(O207-'02 Config'!$B$10)/P207</f>
        <v/>
      </c>
    </row>
    <row r="208">
      <c r="A208" s="12" t="n">
        <v>203</v>
      </c>
      <c r="B208" s="36" t="n">
        <v>0.5612230678900442</v>
      </c>
      <c r="C208" s="36" t="n">
        <v>0.385369480857103</v>
      </c>
      <c r="D208" s="36" t="n">
        <v>0.270696761495107</v>
      </c>
      <c r="E208" s="36" t="n">
        <v>0.5219184707692535</v>
      </c>
      <c r="F208" s="36" t="n">
        <v>0.314749618564381</v>
      </c>
      <c r="G208" s="36" t="n">
        <v>0.5640951370472229</v>
      </c>
      <c r="H208" s="37">
        <f>SUM(B208:G208)</f>
        <v/>
      </c>
      <c r="I208" s="25">
        <f>B208/$H208</f>
        <v/>
      </c>
      <c r="J208" s="25">
        <f>C208/$H208</f>
        <v/>
      </c>
      <c r="K208" s="25">
        <f>D208/$H208</f>
        <v/>
      </c>
      <c r="L208" s="25">
        <f>E208/$H208</f>
        <v/>
      </c>
      <c r="M208" s="25">
        <f>F208/$H208</f>
        <v/>
      </c>
      <c r="N208" s="25">
        <f>G208/$H208</f>
        <v/>
      </c>
      <c r="O208" s="25">
        <f>SUM(MMULT(I208:N208,'07 Annualised Inputs'!$D$7:$D$12))</f>
        <v/>
      </c>
      <c r="P208" s="25">
        <f>SQRT(SUMPRODUCT(MMULT(I208:N208,'07 Annualised Inputs'!$B$17:$G$22),I208:N208))</f>
        <v/>
      </c>
      <c r="Q208" s="37">
        <f>(O208-'02 Config'!$B$10)/P208</f>
        <v/>
      </c>
    </row>
    <row r="209">
      <c r="A209" s="12" t="n">
        <v>204</v>
      </c>
      <c r="B209" s="36" t="n">
        <v>0.6766523825096377</v>
      </c>
      <c r="C209" s="36" t="n">
        <v>0.06607921091939484</v>
      </c>
      <c r="D209" s="36" t="n">
        <v>0.001067465022747238</v>
      </c>
      <c r="E209" s="36" t="n">
        <v>0.212277138840743</v>
      </c>
      <c r="F209" s="36" t="n">
        <v>0.894511497718781</v>
      </c>
      <c r="G209" s="36" t="n">
        <v>0.6462907632285592</v>
      </c>
      <c r="H209" s="37">
        <f>SUM(B209:G209)</f>
        <v/>
      </c>
      <c r="I209" s="25">
        <f>B209/$H209</f>
        <v/>
      </c>
      <c r="J209" s="25">
        <f>C209/$H209</f>
        <v/>
      </c>
      <c r="K209" s="25">
        <f>D209/$H209</f>
        <v/>
      </c>
      <c r="L209" s="25">
        <f>E209/$H209</f>
        <v/>
      </c>
      <c r="M209" s="25">
        <f>F209/$H209</f>
        <v/>
      </c>
      <c r="N209" s="25">
        <f>G209/$H209</f>
        <v/>
      </c>
      <c r="O209" s="25">
        <f>SUM(MMULT(I209:N209,'07 Annualised Inputs'!$D$7:$D$12))</f>
        <v/>
      </c>
      <c r="P209" s="25">
        <f>SQRT(SUMPRODUCT(MMULT(I209:N209,'07 Annualised Inputs'!$B$17:$G$22),I209:N209))</f>
        <v/>
      </c>
      <c r="Q209" s="37">
        <f>(O209-'02 Config'!$B$10)/P209</f>
        <v/>
      </c>
    </row>
    <row r="210">
      <c r="A210" s="12" t="n">
        <v>205</v>
      </c>
      <c r="B210" s="36" t="n">
        <v>0.1719603519370229</v>
      </c>
      <c r="C210" s="36" t="n">
        <v>0.8902639618236188</v>
      </c>
      <c r="D210" s="36" t="n">
        <v>0.46995594028734</v>
      </c>
      <c r="E210" s="36" t="n">
        <v>0.4760917566786607</v>
      </c>
      <c r="F210" s="36" t="n">
        <v>0.9355419438426551</v>
      </c>
      <c r="G210" s="36" t="n">
        <v>0.05948669218334002</v>
      </c>
      <c r="H210" s="37">
        <f>SUM(B210:G210)</f>
        <v/>
      </c>
      <c r="I210" s="25">
        <f>B210/$H210</f>
        <v/>
      </c>
      <c r="J210" s="25">
        <f>C210/$H210</f>
        <v/>
      </c>
      <c r="K210" s="25">
        <f>D210/$H210</f>
        <v/>
      </c>
      <c r="L210" s="25">
        <f>E210/$H210</f>
        <v/>
      </c>
      <c r="M210" s="25">
        <f>F210/$H210</f>
        <v/>
      </c>
      <c r="N210" s="25">
        <f>G210/$H210</f>
        <v/>
      </c>
      <c r="O210" s="25">
        <f>SUM(MMULT(I210:N210,'07 Annualised Inputs'!$D$7:$D$12))</f>
        <v/>
      </c>
      <c r="P210" s="25">
        <f>SQRT(SUMPRODUCT(MMULT(I210:N210,'07 Annualised Inputs'!$B$17:$G$22),I210:N210))</f>
        <v/>
      </c>
      <c r="Q210" s="37">
        <f>(O210-'02 Config'!$B$10)/P210</f>
        <v/>
      </c>
    </row>
    <row r="211">
      <c r="A211" s="12" t="n">
        <v>206</v>
      </c>
      <c r="B211" s="36" t="n">
        <v>0.2151782746287185</v>
      </c>
      <c r="C211" s="36" t="n">
        <v>0.5857713251547224</v>
      </c>
      <c r="D211" s="36" t="n">
        <v>0.1954865095820041</v>
      </c>
      <c r="E211" s="36" t="n">
        <v>0.6795270092089578</v>
      </c>
      <c r="F211" s="36" t="n">
        <v>0.2140922893367202</v>
      </c>
      <c r="G211" s="36" t="n">
        <v>0.09915697059881434</v>
      </c>
      <c r="H211" s="37">
        <f>SUM(B211:G211)</f>
        <v/>
      </c>
      <c r="I211" s="25">
        <f>B211/$H211</f>
        <v/>
      </c>
      <c r="J211" s="25">
        <f>C211/$H211</f>
        <v/>
      </c>
      <c r="K211" s="25">
        <f>D211/$H211</f>
        <v/>
      </c>
      <c r="L211" s="25">
        <f>E211/$H211</f>
        <v/>
      </c>
      <c r="M211" s="25">
        <f>F211/$H211</f>
        <v/>
      </c>
      <c r="N211" s="25">
        <f>G211/$H211</f>
        <v/>
      </c>
      <c r="O211" s="25">
        <f>SUM(MMULT(I211:N211,'07 Annualised Inputs'!$D$7:$D$12))</f>
        <v/>
      </c>
      <c r="P211" s="25">
        <f>SQRT(SUMPRODUCT(MMULT(I211:N211,'07 Annualised Inputs'!$B$17:$G$22),I211:N211))</f>
        <v/>
      </c>
      <c r="Q211" s="37">
        <f>(O211-'02 Config'!$B$10)/P211</f>
        <v/>
      </c>
    </row>
    <row r="212">
      <c r="A212" s="12" t="n">
        <v>207</v>
      </c>
      <c r="B212" s="36" t="n">
        <v>0.2069851596408397</v>
      </c>
      <c r="C212" s="36" t="n">
        <v>0.4227340342720622</v>
      </c>
      <c r="D212" s="36" t="n">
        <v>0.1761382991730799</v>
      </c>
      <c r="E212" s="36" t="n">
        <v>0.1346920249233473</v>
      </c>
      <c r="F212" s="36" t="n">
        <v>0.8602818862189409</v>
      </c>
      <c r="G212" s="36" t="n">
        <v>0.3203972035973078</v>
      </c>
      <c r="H212" s="37">
        <f>SUM(B212:G212)</f>
        <v/>
      </c>
      <c r="I212" s="25">
        <f>B212/$H212</f>
        <v/>
      </c>
      <c r="J212" s="25">
        <f>C212/$H212</f>
        <v/>
      </c>
      <c r="K212" s="25">
        <f>D212/$H212</f>
        <v/>
      </c>
      <c r="L212" s="25">
        <f>E212/$H212</f>
        <v/>
      </c>
      <c r="M212" s="25">
        <f>F212/$H212</f>
        <v/>
      </c>
      <c r="N212" s="25">
        <f>G212/$H212</f>
        <v/>
      </c>
      <c r="O212" s="25">
        <f>SUM(MMULT(I212:N212,'07 Annualised Inputs'!$D$7:$D$12))</f>
        <v/>
      </c>
      <c r="P212" s="25">
        <f>SQRT(SUMPRODUCT(MMULT(I212:N212,'07 Annualised Inputs'!$B$17:$G$22),I212:N212))</f>
        <v/>
      </c>
      <c r="Q212" s="37">
        <f>(O212-'02 Config'!$B$10)/P212</f>
        <v/>
      </c>
    </row>
    <row r="213">
      <c r="A213" s="12" t="n">
        <v>208</v>
      </c>
      <c r="B213" s="36" t="n">
        <v>0.3607586865182536</v>
      </c>
      <c r="C213" s="36" t="n">
        <v>0.05527040950122764</v>
      </c>
      <c r="D213" s="36" t="n">
        <v>0.3573696235020541</v>
      </c>
      <c r="E213" s="36" t="n">
        <v>0.2648071773215797</v>
      </c>
      <c r="F213" s="36" t="n">
        <v>0.6104850673417885</v>
      </c>
      <c r="G213" s="36" t="n">
        <v>0.2053902976724067</v>
      </c>
      <c r="H213" s="37">
        <f>SUM(B213:G213)</f>
        <v/>
      </c>
      <c r="I213" s="25">
        <f>B213/$H213</f>
        <v/>
      </c>
      <c r="J213" s="25">
        <f>C213/$H213</f>
        <v/>
      </c>
      <c r="K213" s="25">
        <f>D213/$H213</f>
        <v/>
      </c>
      <c r="L213" s="25">
        <f>E213/$H213</f>
        <v/>
      </c>
      <c r="M213" s="25">
        <f>F213/$H213</f>
        <v/>
      </c>
      <c r="N213" s="25">
        <f>G213/$H213</f>
        <v/>
      </c>
      <c r="O213" s="25">
        <f>SUM(MMULT(I213:N213,'07 Annualised Inputs'!$D$7:$D$12))</f>
        <v/>
      </c>
      <c r="P213" s="25">
        <f>SQRT(SUMPRODUCT(MMULT(I213:N213,'07 Annualised Inputs'!$B$17:$G$22),I213:N213))</f>
        <v/>
      </c>
      <c r="Q213" s="37">
        <f>(O213-'02 Config'!$B$10)/P213</f>
        <v/>
      </c>
    </row>
    <row r="214">
      <c r="A214" s="12" t="n">
        <v>209</v>
      </c>
      <c r="B214" s="36" t="n">
        <v>0.8883654530628405</v>
      </c>
      <c r="C214" s="36" t="n">
        <v>0.9296666209195551</v>
      </c>
      <c r="D214" s="36" t="n">
        <v>0.09983105717679019</v>
      </c>
      <c r="E214" s="36" t="n">
        <v>0.1074029562885772</v>
      </c>
      <c r="F214" s="36" t="n">
        <v>0.115326438110988</v>
      </c>
      <c r="G214" s="36" t="n">
        <v>0.619569256310312</v>
      </c>
      <c r="H214" s="37">
        <f>SUM(B214:G214)</f>
        <v/>
      </c>
      <c r="I214" s="25">
        <f>B214/$H214</f>
        <v/>
      </c>
      <c r="J214" s="25">
        <f>C214/$H214</f>
        <v/>
      </c>
      <c r="K214" s="25">
        <f>D214/$H214</f>
        <v/>
      </c>
      <c r="L214" s="25">
        <f>E214/$H214</f>
        <v/>
      </c>
      <c r="M214" s="25">
        <f>F214/$H214</f>
        <v/>
      </c>
      <c r="N214" s="25">
        <f>G214/$H214</f>
        <v/>
      </c>
      <c r="O214" s="25">
        <f>SUM(MMULT(I214:N214,'07 Annualised Inputs'!$D$7:$D$12))</f>
        <v/>
      </c>
      <c r="P214" s="25">
        <f>SQRT(SUMPRODUCT(MMULT(I214:N214,'07 Annualised Inputs'!$B$17:$G$22),I214:N214))</f>
        <v/>
      </c>
      <c r="Q214" s="37">
        <f>(O214-'02 Config'!$B$10)/P214</f>
        <v/>
      </c>
    </row>
    <row r="215">
      <c r="A215" s="12" t="n">
        <v>210</v>
      </c>
      <c r="B215" s="36" t="n">
        <v>0.1219689642096229</v>
      </c>
      <c r="C215" s="36" t="n">
        <v>0.8523823179302663</v>
      </c>
      <c r="D215" s="36" t="n">
        <v>0.7542715149378925</v>
      </c>
      <c r="E215" s="36" t="n">
        <v>0.8198088582380241</v>
      </c>
      <c r="F215" s="36" t="n">
        <v>0.5260605268860209</v>
      </c>
      <c r="G215" s="36" t="n">
        <v>0.9966772115191534</v>
      </c>
      <c r="H215" s="37">
        <f>SUM(B215:G215)</f>
        <v/>
      </c>
      <c r="I215" s="25">
        <f>B215/$H215</f>
        <v/>
      </c>
      <c r="J215" s="25">
        <f>C215/$H215</f>
        <v/>
      </c>
      <c r="K215" s="25">
        <f>D215/$H215</f>
        <v/>
      </c>
      <c r="L215" s="25">
        <f>E215/$H215</f>
        <v/>
      </c>
      <c r="M215" s="25">
        <f>F215/$H215</f>
        <v/>
      </c>
      <c r="N215" s="25">
        <f>G215/$H215</f>
        <v/>
      </c>
      <c r="O215" s="25">
        <f>SUM(MMULT(I215:N215,'07 Annualised Inputs'!$D$7:$D$12))</f>
        <v/>
      </c>
      <c r="P215" s="25">
        <f>SQRT(SUMPRODUCT(MMULT(I215:N215,'07 Annualised Inputs'!$B$17:$G$22),I215:N215))</f>
        <v/>
      </c>
      <c r="Q215" s="37">
        <f>(O215-'02 Config'!$B$10)/P215</f>
        <v/>
      </c>
    </row>
    <row r="216">
      <c r="A216" s="12" t="n">
        <v>211</v>
      </c>
      <c r="B216" s="36" t="n">
        <v>0.04417510294416127</v>
      </c>
      <c r="C216" s="36" t="n">
        <v>0.4012649641861133</v>
      </c>
      <c r="D216" s="36" t="n">
        <v>0.3239366689376362</v>
      </c>
      <c r="E216" s="36" t="n">
        <v>0.948645498712641</v>
      </c>
      <c r="F216" s="36" t="n">
        <v>0.5768609584975929</v>
      </c>
      <c r="G216" s="36" t="n">
        <v>0.8061909654447252</v>
      </c>
      <c r="H216" s="37">
        <f>SUM(B216:G216)</f>
        <v/>
      </c>
      <c r="I216" s="25">
        <f>B216/$H216</f>
        <v/>
      </c>
      <c r="J216" s="25">
        <f>C216/$H216</f>
        <v/>
      </c>
      <c r="K216" s="25">
        <f>D216/$H216</f>
        <v/>
      </c>
      <c r="L216" s="25">
        <f>E216/$H216</f>
        <v/>
      </c>
      <c r="M216" s="25">
        <f>F216/$H216</f>
        <v/>
      </c>
      <c r="N216" s="25">
        <f>G216/$H216</f>
        <v/>
      </c>
      <c r="O216" s="25">
        <f>SUM(MMULT(I216:N216,'07 Annualised Inputs'!$D$7:$D$12))</f>
        <v/>
      </c>
      <c r="P216" s="25">
        <f>SQRT(SUMPRODUCT(MMULT(I216:N216,'07 Annualised Inputs'!$B$17:$G$22),I216:N216))</f>
        <v/>
      </c>
      <c r="Q216" s="37">
        <f>(O216-'02 Config'!$B$10)/P216</f>
        <v/>
      </c>
    </row>
    <row r="217">
      <c r="A217" s="12" t="n">
        <v>212</v>
      </c>
      <c r="B217" s="36" t="n">
        <v>0.1703411936585189</v>
      </c>
      <c r="C217" s="36" t="n">
        <v>0.9786341439004389</v>
      </c>
      <c r="D217" s="36" t="n">
        <v>0.4986395468763152</v>
      </c>
      <c r="E217" s="36" t="n">
        <v>0.4936720762706458</v>
      </c>
      <c r="F217" s="36" t="n">
        <v>0.9708847285457378</v>
      </c>
      <c r="G217" s="36" t="n">
        <v>0.380732361217145</v>
      </c>
      <c r="H217" s="37">
        <f>SUM(B217:G217)</f>
        <v/>
      </c>
      <c r="I217" s="25">
        <f>B217/$H217</f>
        <v/>
      </c>
      <c r="J217" s="25">
        <f>C217/$H217</f>
        <v/>
      </c>
      <c r="K217" s="25">
        <f>D217/$H217</f>
        <v/>
      </c>
      <c r="L217" s="25">
        <f>E217/$H217</f>
        <v/>
      </c>
      <c r="M217" s="25">
        <f>F217/$H217</f>
        <v/>
      </c>
      <c r="N217" s="25">
        <f>G217/$H217</f>
        <v/>
      </c>
      <c r="O217" s="25">
        <f>SUM(MMULT(I217:N217,'07 Annualised Inputs'!$D$7:$D$12))</f>
        <v/>
      </c>
      <c r="P217" s="25">
        <f>SQRT(SUMPRODUCT(MMULT(I217:N217,'07 Annualised Inputs'!$B$17:$G$22),I217:N217))</f>
        <v/>
      </c>
      <c r="Q217" s="37">
        <f>(O217-'02 Config'!$B$10)/P217</f>
        <v/>
      </c>
    </row>
    <row r="218">
      <c r="A218" s="12" t="n">
        <v>213</v>
      </c>
      <c r="B218" s="36" t="n">
        <v>0.3975250245549929</v>
      </c>
      <c r="C218" s="36" t="n">
        <v>0.5847527028049366</v>
      </c>
      <c r="D218" s="36" t="n">
        <v>0.1280526105477869</v>
      </c>
      <c r="E218" s="36" t="n">
        <v>0.3210856264118549</v>
      </c>
      <c r="F218" s="36" t="n">
        <v>0.1932083224451305</v>
      </c>
      <c r="G218" s="36" t="n">
        <v>0.1032834791070496</v>
      </c>
      <c r="H218" s="37">
        <f>SUM(B218:G218)</f>
        <v/>
      </c>
      <c r="I218" s="25">
        <f>B218/$H218</f>
        <v/>
      </c>
      <c r="J218" s="25">
        <f>C218/$H218</f>
        <v/>
      </c>
      <c r="K218" s="25">
        <f>D218/$H218</f>
        <v/>
      </c>
      <c r="L218" s="25">
        <f>E218/$H218</f>
        <v/>
      </c>
      <c r="M218" s="25">
        <f>F218/$H218</f>
        <v/>
      </c>
      <c r="N218" s="25">
        <f>G218/$H218</f>
        <v/>
      </c>
      <c r="O218" s="25">
        <f>SUM(MMULT(I218:N218,'07 Annualised Inputs'!$D$7:$D$12))</f>
        <v/>
      </c>
      <c r="P218" s="25">
        <f>SQRT(SUMPRODUCT(MMULT(I218:N218,'07 Annualised Inputs'!$B$17:$G$22),I218:N218))</f>
        <v/>
      </c>
      <c r="Q218" s="37">
        <f>(O218-'02 Config'!$B$10)/P218</f>
        <v/>
      </c>
    </row>
    <row r="219">
      <c r="A219" s="12" t="n">
        <v>214</v>
      </c>
      <c r="B219" s="36" t="n">
        <v>0.8661446063310201</v>
      </c>
      <c r="C219" s="36" t="n">
        <v>0.589331166127476</v>
      </c>
      <c r="D219" s="36" t="n">
        <v>0.3586727915279112</v>
      </c>
      <c r="E219" s="36" t="n">
        <v>0.4086693773667128</v>
      </c>
      <c r="F219" s="36" t="n">
        <v>0.4315190036873546</v>
      </c>
      <c r="G219" s="36" t="n">
        <v>0.6331491821447094</v>
      </c>
      <c r="H219" s="37">
        <f>SUM(B219:G219)</f>
        <v/>
      </c>
      <c r="I219" s="25">
        <f>B219/$H219</f>
        <v/>
      </c>
      <c r="J219" s="25">
        <f>C219/$H219</f>
        <v/>
      </c>
      <c r="K219" s="25">
        <f>D219/$H219</f>
        <v/>
      </c>
      <c r="L219" s="25">
        <f>E219/$H219</f>
        <v/>
      </c>
      <c r="M219" s="25">
        <f>F219/$H219</f>
        <v/>
      </c>
      <c r="N219" s="25">
        <f>G219/$H219</f>
        <v/>
      </c>
      <c r="O219" s="25">
        <f>SUM(MMULT(I219:N219,'07 Annualised Inputs'!$D$7:$D$12))</f>
        <v/>
      </c>
      <c r="P219" s="25">
        <f>SQRT(SUMPRODUCT(MMULT(I219:N219,'07 Annualised Inputs'!$B$17:$G$22),I219:N219))</f>
        <v/>
      </c>
      <c r="Q219" s="37">
        <f>(O219-'02 Config'!$B$10)/P219</f>
        <v/>
      </c>
    </row>
    <row r="220">
      <c r="A220" s="12" t="n">
        <v>215</v>
      </c>
      <c r="B220" s="36" t="n">
        <v>0.9267693914889933</v>
      </c>
      <c r="C220" s="36" t="n">
        <v>0.9327796196569825</v>
      </c>
      <c r="D220" s="36" t="n">
        <v>0.3914919795306634</v>
      </c>
      <c r="E220" s="36" t="n">
        <v>0.3292624595977696</v>
      </c>
      <c r="F220" s="36" t="n">
        <v>0.4510465001852551</v>
      </c>
      <c r="G220" s="36" t="n">
        <v>0.5679342304284926</v>
      </c>
      <c r="H220" s="37">
        <f>SUM(B220:G220)</f>
        <v/>
      </c>
      <c r="I220" s="25">
        <f>B220/$H220</f>
        <v/>
      </c>
      <c r="J220" s="25">
        <f>C220/$H220</f>
        <v/>
      </c>
      <c r="K220" s="25">
        <f>D220/$H220</f>
        <v/>
      </c>
      <c r="L220" s="25">
        <f>E220/$H220</f>
        <v/>
      </c>
      <c r="M220" s="25">
        <f>F220/$H220</f>
        <v/>
      </c>
      <c r="N220" s="25">
        <f>G220/$H220</f>
        <v/>
      </c>
      <c r="O220" s="25">
        <f>SUM(MMULT(I220:N220,'07 Annualised Inputs'!$D$7:$D$12))</f>
        <v/>
      </c>
      <c r="P220" s="25">
        <f>SQRT(SUMPRODUCT(MMULT(I220:N220,'07 Annualised Inputs'!$B$17:$G$22),I220:N220))</f>
        <v/>
      </c>
      <c r="Q220" s="37">
        <f>(O220-'02 Config'!$B$10)/P220</f>
        <v/>
      </c>
    </row>
    <row r="221">
      <c r="A221" s="12" t="n">
        <v>216</v>
      </c>
      <c r="B221" s="36" t="n">
        <v>0.4618179114497483</v>
      </c>
      <c r="C221" s="36" t="n">
        <v>0.6587534098167009</v>
      </c>
      <c r="D221" s="36" t="n">
        <v>0.5543990233797637</v>
      </c>
      <c r="E221" s="36" t="n">
        <v>0.3207155466940761</v>
      </c>
      <c r="F221" s="36" t="n">
        <v>0.3457308057626326</v>
      </c>
      <c r="G221" s="36" t="n">
        <v>0.3785927875597309</v>
      </c>
      <c r="H221" s="37">
        <f>SUM(B221:G221)</f>
        <v/>
      </c>
      <c r="I221" s="25">
        <f>B221/$H221</f>
        <v/>
      </c>
      <c r="J221" s="25">
        <f>C221/$H221</f>
        <v/>
      </c>
      <c r="K221" s="25">
        <f>D221/$H221</f>
        <v/>
      </c>
      <c r="L221" s="25">
        <f>E221/$H221</f>
        <v/>
      </c>
      <c r="M221" s="25">
        <f>F221/$H221</f>
        <v/>
      </c>
      <c r="N221" s="25">
        <f>G221/$H221</f>
        <v/>
      </c>
      <c r="O221" s="25">
        <f>SUM(MMULT(I221:N221,'07 Annualised Inputs'!$D$7:$D$12))</f>
        <v/>
      </c>
      <c r="P221" s="25">
        <f>SQRT(SUMPRODUCT(MMULT(I221:N221,'07 Annualised Inputs'!$B$17:$G$22),I221:N221))</f>
        <v/>
      </c>
      <c r="Q221" s="37">
        <f>(O221-'02 Config'!$B$10)/P221</f>
        <v/>
      </c>
    </row>
    <row r="222">
      <c r="A222" s="12" t="n">
        <v>217</v>
      </c>
      <c r="B222" s="36" t="n">
        <v>0.09463976824938869</v>
      </c>
      <c r="C222" s="36" t="n">
        <v>0.1660626324139731</v>
      </c>
      <c r="D222" s="36" t="n">
        <v>0.7231138021453861</v>
      </c>
      <c r="E222" s="36" t="n">
        <v>0.38909671152208</v>
      </c>
      <c r="F222" s="36" t="n">
        <v>0.2145389725601436</v>
      </c>
      <c r="G222" s="36" t="n">
        <v>0.5626724105748573</v>
      </c>
      <c r="H222" s="37">
        <f>SUM(B222:G222)</f>
        <v/>
      </c>
      <c r="I222" s="25">
        <f>B222/$H222</f>
        <v/>
      </c>
      <c r="J222" s="25">
        <f>C222/$H222</f>
        <v/>
      </c>
      <c r="K222" s="25">
        <f>D222/$H222</f>
        <v/>
      </c>
      <c r="L222" s="25">
        <f>E222/$H222</f>
        <v/>
      </c>
      <c r="M222" s="25">
        <f>F222/$H222</f>
        <v/>
      </c>
      <c r="N222" s="25">
        <f>G222/$H222</f>
        <v/>
      </c>
      <c r="O222" s="25">
        <f>SUM(MMULT(I222:N222,'07 Annualised Inputs'!$D$7:$D$12))</f>
        <v/>
      </c>
      <c r="P222" s="25">
        <f>SQRT(SUMPRODUCT(MMULT(I222:N222,'07 Annualised Inputs'!$B$17:$G$22),I222:N222))</f>
        <v/>
      </c>
      <c r="Q222" s="37">
        <f>(O222-'02 Config'!$B$10)/P222</f>
        <v/>
      </c>
    </row>
    <row r="223">
      <c r="A223" s="12" t="n">
        <v>218</v>
      </c>
      <c r="B223" s="36" t="n">
        <v>0.7555395424734273</v>
      </c>
      <c r="C223" s="36" t="n">
        <v>0.2574223623453714</v>
      </c>
      <c r="D223" s="36" t="n">
        <v>0.8267898819237445</v>
      </c>
      <c r="E223" s="36" t="n">
        <v>0.9275048596250496</v>
      </c>
      <c r="F223" s="36" t="n">
        <v>0.5973945290738407</v>
      </c>
      <c r="G223" s="36" t="n">
        <v>0.6689476589915796</v>
      </c>
      <c r="H223" s="37">
        <f>SUM(B223:G223)</f>
        <v/>
      </c>
      <c r="I223" s="25">
        <f>B223/$H223</f>
        <v/>
      </c>
      <c r="J223" s="25">
        <f>C223/$H223</f>
        <v/>
      </c>
      <c r="K223" s="25">
        <f>D223/$H223</f>
        <v/>
      </c>
      <c r="L223" s="25">
        <f>E223/$H223</f>
        <v/>
      </c>
      <c r="M223" s="25">
        <f>F223/$H223</f>
        <v/>
      </c>
      <c r="N223" s="25">
        <f>G223/$H223</f>
        <v/>
      </c>
      <c r="O223" s="25">
        <f>SUM(MMULT(I223:N223,'07 Annualised Inputs'!$D$7:$D$12))</f>
        <v/>
      </c>
      <c r="P223" s="25">
        <f>SQRT(SUMPRODUCT(MMULT(I223:N223,'07 Annualised Inputs'!$B$17:$G$22),I223:N223))</f>
        <v/>
      </c>
      <c r="Q223" s="37">
        <f>(O223-'02 Config'!$B$10)/P223</f>
        <v/>
      </c>
    </row>
    <row r="224">
      <c r="A224" s="12" t="n">
        <v>219</v>
      </c>
      <c r="B224" s="36" t="n">
        <v>0.05257599032305538</v>
      </c>
      <c r="C224" s="36" t="n">
        <v>0.9455198910219065</v>
      </c>
      <c r="D224" s="36" t="n">
        <v>0.3924847342649438</v>
      </c>
      <c r="E224" s="36" t="n">
        <v>0.9239004005454299</v>
      </c>
      <c r="F224" s="36" t="n">
        <v>0.5789775247502426</v>
      </c>
      <c r="G224" s="36" t="n">
        <v>0.004618798843327609</v>
      </c>
      <c r="H224" s="37">
        <f>SUM(B224:G224)</f>
        <v/>
      </c>
      <c r="I224" s="25">
        <f>B224/$H224</f>
        <v/>
      </c>
      <c r="J224" s="25">
        <f>C224/$H224</f>
        <v/>
      </c>
      <c r="K224" s="25">
        <f>D224/$H224</f>
        <v/>
      </c>
      <c r="L224" s="25">
        <f>E224/$H224</f>
        <v/>
      </c>
      <c r="M224" s="25">
        <f>F224/$H224</f>
        <v/>
      </c>
      <c r="N224" s="25">
        <f>G224/$H224</f>
        <v/>
      </c>
      <c r="O224" s="25">
        <f>SUM(MMULT(I224:N224,'07 Annualised Inputs'!$D$7:$D$12))</f>
        <v/>
      </c>
      <c r="P224" s="25">
        <f>SQRT(SUMPRODUCT(MMULT(I224:N224,'07 Annualised Inputs'!$B$17:$G$22),I224:N224))</f>
        <v/>
      </c>
      <c r="Q224" s="37">
        <f>(O224-'02 Config'!$B$10)/P224</f>
        <v/>
      </c>
    </row>
    <row r="225">
      <c r="A225" s="12" t="n">
        <v>220</v>
      </c>
      <c r="B225" s="36" t="n">
        <v>0.03854199932343572</v>
      </c>
      <c r="C225" s="36" t="n">
        <v>0.680418805669922</v>
      </c>
      <c r="D225" s="36" t="n">
        <v>0.5626680138319331</v>
      </c>
      <c r="E225" s="36" t="n">
        <v>0.02653243720607434</v>
      </c>
      <c r="F225" s="36" t="n">
        <v>0.7434599612223853</v>
      </c>
      <c r="G225" s="36" t="n">
        <v>0.8521453370691817</v>
      </c>
      <c r="H225" s="37">
        <f>SUM(B225:G225)</f>
        <v/>
      </c>
      <c r="I225" s="25">
        <f>B225/$H225</f>
        <v/>
      </c>
      <c r="J225" s="25">
        <f>C225/$H225</f>
        <v/>
      </c>
      <c r="K225" s="25">
        <f>D225/$H225</f>
        <v/>
      </c>
      <c r="L225" s="25">
        <f>E225/$H225</f>
        <v/>
      </c>
      <c r="M225" s="25">
        <f>F225/$H225</f>
        <v/>
      </c>
      <c r="N225" s="25">
        <f>G225/$H225</f>
        <v/>
      </c>
      <c r="O225" s="25">
        <f>SUM(MMULT(I225:N225,'07 Annualised Inputs'!$D$7:$D$12))</f>
        <v/>
      </c>
      <c r="P225" s="25">
        <f>SQRT(SUMPRODUCT(MMULT(I225:N225,'07 Annualised Inputs'!$B$17:$G$22),I225:N225))</f>
        <v/>
      </c>
      <c r="Q225" s="37">
        <f>(O225-'02 Config'!$B$10)/P225</f>
        <v/>
      </c>
    </row>
    <row r="226">
      <c r="A226" s="12" t="n">
        <v>221</v>
      </c>
      <c r="B226" s="36" t="n">
        <v>0.4964174824393083</v>
      </c>
      <c r="C226" s="36" t="n">
        <v>0.465757440357255</v>
      </c>
      <c r="D226" s="36" t="n">
        <v>0.005473108834627483</v>
      </c>
      <c r="E226" s="36" t="n">
        <v>0.7866497124935993</v>
      </c>
      <c r="F226" s="36" t="n">
        <v>0.3307160667461054</v>
      </c>
      <c r="G226" s="36" t="n">
        <v>0.8787636197825396</v>
      </c>
      <c r="H226" s="37">
        <f>SUM(B226:G226)</f>
        <v/>
      </c>
      <c r="I226" s="25">
        <f>B226/$H226</f>
        <v/>
      </c>
      <c r="J226" s="25">
        <f>C226/$H226</f>
        <v/>
      </c>
      <c r="K226" s="25">
        <f>D226/$H226</f>
        <v/>
      </c>
      <c r="L226" s="25">
        <f>E226/$H226</f>
        <v/>
      </c>
      <c r="M226" s="25">
        <f>F226/$H226</f>
        <v/>
      </c>
      <c r="N226" s="25">
        <f>G226/$H226</f>
        <v/>
      </c>
      <c r="O226" s="25">
        <f>SUM(MMULT(I226:N226,'07 Annualised Inputs'!$D$7:$D$12))</f>
        <v/>
      </c>
      <c r="P226" s="25">
        <f>SQRT(SUMPRODUCT(MMULT(I226:N226,'07 Annualised Inputs'!$B$17:$G$22),I226:N226))</f>
        <v/>
      </c>
      <c r="Q226" s="37">
        <f>(O226-'02 Config'!$B$10)/P226</f>
        <v/>
      </c>
    </row>
    <row r="227">
      <c r="A227" s="12" t="n">
        <v>222</v>
      </c>
      <c r="B227" s="36" t="n">
        <v>0.373060587558053</v>
      </c>
      <c r="C227" s="36" t="n">
        <v>0.5650779106307056</v>
      </c>
      <c r="D227" s="36" t="n">
        <v>0.2703417881993275</v>
      </c>
      <c r="E227" s="36" t="n">
        <v>0.1605883125849187</v>
      </c>
      <c r="F227" s="36" t="n">
        <v>0.774907903381328</v>
      </c>
      <c r="G227" s="36" t="n">
        <v>0.4965904788462816</v>
      </c>
      <c r="H227" s="37">
        <f>SUM(B227:G227)</f>
        <v/>
      </c>
      <c r="I227" s="25">
        <f>B227/$H227</f>
        <v/>
      </c>
      <c r="J227" s="25">
        <f>C227/$H227</f>
        <v/>
      </c>
      <c r="K227" s="25">
        <f>D227/$H227</f>
        <v/>
      </c>
      <c r="L227" s="25">
        <f>E227/$H227</f>
        <v/>
      </c>
      <c r="M227" s="25">
        <f>F227/$H227</f>
        <v/>
      </c>
      <c r="N227" s="25">
        <f>G227/$H227</f>
        <v/>
      </c>
      <c r="O227" s="25">
        <f>SUM(MMULT(I227:N227,'07 Annualised Inputs'!$D$7:$D$12))</f>
        <v/>
      </c>
      <c r="P227" s="25">
        <f>SQRT(SUMPRODUCT(MMULT(I227:N227,'07 Annualised Inputs'!$B$17:$G$22),I227:N227))</f>
        <v/>
      </c>
      <c r="Q227" s="37">
        <f>(O227-'02 Config'!$B$10)/P227</f>
        <v/>
      </c>
    </row>
    <row r="228">
      <c r="A228" s="12" t="n">
        <v>223</v>
      </c>
      <c r="B228" s="36" t="n">
        <v>0.5364879237522507</v>
      </c>
      <c r="C228" s="36" t="n">
        <v>0.9654159534817355</v>
      </c>
      <c r="D228" s="36" t="n">
        <v>0.9635799122221537</v>
      </c>
      <c r="E228" s="36" t="n">
        <v>0.8556421217024035</v>
      </c>
      <c r="F228" s="36" t="n">
        <v>0.1876092927650336</v>
      </c>
      <c r="G228" s="36" t="n">
        <v>0.5942726943015799</v>
      </c>
      <c r="H228" s="37">
        <f>SUM(B228:G228)</f>
        <v/>
      </c>
      <c r="I228" s="25">
        <f>B228/$H228</f>
        <v/>
      </c>
      <c r="J228" s="25">
        <f>C228/$H228</f>
        <v/>
      </c>
      <c r="K228" s="25">
        <f>D228/$H228</f>
        <v/>
      </c>
      <c r="L228" s="25">
        <f>E228/$H228</f>
        <v/>
      </c>
      <c r="M228" s="25">
        <f>F228/$H228</f>
        <v/>
      </c>
      <c r="N228" s="25">
        <f>G228/$H228</f>
        <v/>
      </c>
      <c r="O228" s="25">
        <f>SUM(MMULT(I228:N228,'07 Annualised Inputs'!$D$7:$D$12))</f>
        <v/>
      </c>
      <c r="P228" s="25">
        <f>SQRT(SUMPRODUCT(MMULT(I228:N228,'07 Annualised Inputs'!$B$17:$G$22),I228:N228))</f>
        <v/>
      </c>
      <c r="Q228" s="37">
        <f>(O228-'02 Config'!$B$10)/P228</f>
        <v/>
      </c>
    </row>
    <row r="229">
      <c r="A229" s="12" t="n">
        <v>224</v>
      </c>
      <c r="B229" s="36" t="n">
        <v>0.8781474246555374</v>
      </c>
      <c r="C229" s="36" t="n">
        <v>0.3744639364489377</v>
      </c>
      <c r="D229" s="36" t="n">
        <v>0.101106165935585</v>
      </c>
      <c r="E229" s="36" t="n">
        <v>0.8109629022399218</v>
      </c>
      <c r="F229" s="36" t="n">
        <v>0.4817635513621716</v>
      </c>
      <c r="G229" s="36" t="n">
        <v>0.5643926803591786</v>
      </c>
      <c r="H229" s="37">
        <f>SUM(B229:G229)</f>
        <v/>
      </c>
      <c r="I229" s="25">
        <f>B229/$H229</f>
        <v/>
      </c>
      <c r="J229" s="25">
        <f>C229/$H229</f>
        <v/>
      </c>
      <c r="K229" s="25">
        <f>D229/$H229</f>
        <v/>
      </c>
      <c r="L229" s="25">
        <f>E229/$H229</f>
        <v/>
      </c>
      <c r="M229" s="25">
        <f>F229/$H229</f>
        <v/>
      </c>
      <c r="N229" s="25">
        <f>G229/$H229</f>
        <v/>
      </c>
      <c r="O229" s="25">
        <f>SUM(MMULT(I229:N229,'07 Annualised Inputs'!$D$7:$D$12))</f>
        <v/>
      </c>
      <c r="P229" s="25">
        <f>SQRT(SUMPRODUCT(MMULT(I229:N229,'07 Annualised Inputs'!$B$17:$G$22),I229:N229))</f>
        <v/>
      </c>
      <c r="Q229" s="37">
        <f>(O229-'02 Config'!$B$10)/P229</f>
        <v/>
      </c>
    </row>
    <row r="230">
      <c r="A230" s="12" t="n">
        <v>225</v>
      </c>
      <c r="B230" s="36" t="n">
        <v>0.9821442963178444</v>
      </c>
      <c r="C230" s="36" t="n">
        <v>0.6072114304940721</v>
      </c>
      <c r="D230" s="36" t="n">
        <v>0.4249793856661014</v>
      </c>
      <c r="E230" s="36" t="n">
        <v>0.3699843678471978</v>
      </c>
      <c r="F230" s="36" t="n">
        <v>0.4176192926540456</v>
      </c>
      <c r="G230" s="36" t="n">
        <v>0.1183990831786688</v>
      </c>
      <c r="H230" s="37">
        <f>SUM(B230:G230)</f>
        <v/>
      </c>
      <c r="I230" s="25">
        <f>B230/$H230</f>
        <v/>
      </c>
      <c r="J230" s="25">
        <f>C230/$H230</f>
        <v/>
      </c>
      <c r="K230" s="25">
        <f>D230/$H230</f>
        <v/>
      </c>
      <c r="L230" s="25">
        <f>E230/$H230</f>
        <v/>
      </c>
      <c r="M230" s="25">
        <f>F230/$H230</f>
        <v/>
      </c>
      <c r="N230" s="25">
        <f>G230/$H230</f>
        <v/>
      </c>
      <c r="O230" s="25">
        <f>SUM(MMULT(I230:N230,'07 Annualised Inputs'!$D$7:$D$12))</f>
        <v/>
      </c>
      <c r="P230" s="25">
        <f>SQRT(SUMPRODUCT(MMULT(I230:N230,'07 Annualised Inputs'!$B$17:$G$22),I230:N230))</f>
        <v/>
      </c>
      <c r="Q230" s="37">
        <f>(O230-'02 Config'!$B$10)/P230</f>
        <v/>
      </c>
    </row>
    <row r="231">
      <c r="A231" s="12" t="n">
        <v>226</v>
      </c>
      <c r="B231" s="36" t="n">
        <v>0.7947505584175718</v>
      </c>
      <c r="C231" s="36" t="n">
        <v>0.8377168581870411</v>
      </c>
      <c r="D231" s="36" t="n">
        <v>0.2843971345734089</v>
      </c>
      <c r="E231" s="36" t="n">
        <v>0.3037966184099441</v>
      </c>
      <c r="F231" s="36" t="n">
        <v>0.8743342563348132</v>
      </c>
      <c r="G231" s="36" t="n">
        <v>0.02397035552795546</v>
      </c>
      <c r="H231" s="37">
        <f>SUM(B231:G231)</f>
        <v/>
      </c>
      <c r="I231" s="25">
        <f>B231/$H231</f>
        <v/>
      </c>
      <c r="J231" s="25">
        <f>C231/$H231</f>
        <v/>
      </c>
      <c r="K231" s="25">
        <f>D231/$H231</f>
        <v/>
      </c>
      <c r="L231" s="25">
        <f>E231/$H231</f>
        <v/>
      </c>
      <c r="M231" s="25">
        <f>F231/$H231</f>
        <v/>
      </c>
      <c r="N231" s="25">
        <f>G231/$H231</f>
        <v/>
      </c>
      <c r="O231" s="25">
        <f>SUM(MMULT(I231:N231,'07 Annualised Inputs'!$D$7:$D$12))</f>
        <v/>
      </c>
      <c r="P231" s="25">
        <f>SQRT(SUMPRODUCT(MMULT(I231:N231,'07 Annualised Inputs'!$B$17:$G$22),I231:N231))</f>
        <v/>
      </c>
      <c r="Q231" s="37">
        <f>(O231-'02 Config'!$B$10)/P231</f>
        <v/>
      </c>
    </row>
    <row r="232">
      <c r="A232" s="12" t="n">
        <v>227</v>
      </c>
      <c r="B232" s="36" t="n">
        <v>0.5204574437672277</v>
      </c>
      <c r="C232" s="36" t="n">
        <v>0.463675714681501</v>
      </c>
      <c r="D232" s="36" t="n">
        <v>0.6901267695784598</v>
      </c>
      <c r="E232" s="36" t="n">
        <v>0.1633917001494545</v>
      </c>
      <c r="F232" s="36" t="n">
        <v>0.6683307407951538</v>
      </c>
      <c r="G232" s="36" t="n">
        <v>0.3767340078748764</v>
      </c>
      <c r="H232" s="37">
        <f>SUM(B232:G232)</f>
        <v/>
      </c>
      <c r="I232" s="25">
        <f>B232/$H232</f>
        <v/>
      </c>
      <c r="J232" s="25">
        <f>C232/$H232</f>
        <v/>
      </c>
      <c r="K232" s="25">
        <f>D232/$H232</f>
        <v/>
      </c>
      <c r="L232" s="25">
        <f>E232/$H232</f>
        <v/>
      </c>
      <c r="M232" s="25">
        <f>F232/$H232</f>
        <v/>
      </c>
      <c r="N232" s="25">
        <f>G232/$H232</f>
        <v/>
      </c>
      <c r="O232" s="25">
        <f>SUM(MMULT(I232:N232,'07 Annualised Inputs'!$D$7:$D$12))</f>
        <v/>
      </c>
      <c r="P232" s="25">
        <f>SQRT(SUMPRODUCT(MMULT(I232:N232,'07 Annualised Inputs'!$B$17:$G$22),I232:N232))</f>
        <v/>
      </c>
      <c r="Q232" s="37">
        <f>(O232-'02 Config'!$B$10)/P232</f>
        <v/>
      </c>
    </row>
    <row r="233">
      <c r="A233" s="12" t="n">
        <v>228</v>
      </c>
      <c r="B233" s="36" t="n">
        <v>0.618714778169642</v>
      </c>
      <c r="C233" s="36" t="n">
        <v>0.04009500987277592</v>
      </c>
      <c r="D233" s="36" t="n">
        <v>0.4617271971845094</v>
      </c>
      <c r="E233" s="36" t="n">
        <v>0.5222508939823721</v>
      </c>
      <c r="F233" s="36" t="n">
        <v>0.2143264028549866</v>
      </c>
      <c r="G233" s="36" t="n">
        <v>0.1396236541791207</v>
      </c>
      <c r="H233" s="37">
        <f>SUM(B233:G233)</f>
        <v/>
      </c>
      <c r="I233" s="25">
        <f>B233/$H233</f>
        <v/>
      </c>
      <c r="J233" s="25">
        <f>C233/$H233</f>
        <v/>
      </c>
      <c r="K233" s="25">
        <f>D233/$H233</f>
        <v/>
      </c>
      <c r="L233" s="25">
        <f>E233/$H233</f>
        <v/>
      </c>
      <c r="M233" s="25">
        <f>F233/$H233</f>
        <v/>
      </c>
      <c r="N233" s="25">
        <f>G233/$H233</f>
        <v/>
      </c>
      <c r="O233" s="25">
        <f>SUM(MMULT(I233:N233,'07 Annualised Inputs'!$D$7:$D$12))</f>
        <v/>
      </c>
      <c r="P233" s="25">
        <f>SQRT(SUMPRODUCT(MMULT(I233:N233,'07 Annualised Inputs'!$B$17:$G$22),I233:N233))</f>
        <v/>
      </c>
      <c r="Q233" s="37">
        <f>(O233-'02 Config'!$B$10)/P233</f>
        <v/>
      </c>
    </row>
    <row r="234">
      <c r="A234" s="12" t="n">
        <v>229</v>
      </c>
      <c r="B234" s="36" t="n">
        <v>0.1884743030123014</v>
      </c>
      <c r="C234" s="36" t="n">
        <v>0.344141078063348</v>
      </c>
      <c r="D234" s="36" t="n">
        <v>0.09681014930497145</v>
      </c>
      <c r="E234" s="36" t="n">
        <v>0.9473197957296045</v>
      </c>
      <c r="F234" s="36" t="n">
        <v>0.4049940614958173</v>
      </c>
      <c r="G234" s="36" t="n">
        <v>0.808969602506749</v>
      </c>
      <c r="H234" s="37">
        <f>SUM(B234:G234)</f>
        <v/>
      </c>
      <c r="I234" s="25">
        <f>B234/$H234</f>
        <v/>
      </c>
      <c r="J234" s="25">
        <f>C234/$H234</f>
        <v/>
      </c>
      <c r="K234" s="25">
        <f>D234/$H234</f>
        <v/>
      </c>
      <c r="L234" s="25">
        <f>E234/$H234</f>
        <v/>
      </c>
      <c r="M234" s="25">
        <f>F234/$H234</f>
        <v/>
      </c>
      <c r="N234" s="25">
        <f>G234/$H234</f>
        <v/>
      </c>
      <c r="O234" s="25">
        <f>SUM(MMULT(I234:N234,'07 Annualised Inputs'!$D$7:$D$12))</f>
        <v/>
      </c>
      <c r="P234" s="25">
        <f>SQRT(SUMPRODUCT(MMULT(I234:N234,'07 Annualised Inputs'!$B$17:$G$22),I234:N234))</f>
        <v/>
      </c>
      <c r="Q234" s="37">
        <f>(O234-'02 Config'!$B$10)/P234</f>
        <v/>
      </c>
    </row>
    <row r="235">
      <c r="A235" s="12" t="n">
        <v>230</v>
      </c>
      <c r="B235" s="36" t="n">
        <v>0.9744171231088467</v>
      </c>
      <c r="C235" s="36" t="n">
        <v>0.08073528000273911</v>
      </c>
      <c r="D235" s="36" t="n">
        <v>0.651669467934994</v>
      </c>
      <c r="E235" s="36" t="n">
        <v>0.871409086741214</v>
      </c>
      <c r="F235" s="36" t="n">
        <v>0.6342344339667283</v>
      </c>
      <c r="G235" s="36" t="n">
        <v>0.4290261213574127</v>
      </c>
      <c r="H235" s="37">
        <f>SUM(B235:G235)</f>
        <v/>
      </c>
      <c r="I235" s="25">
        <f>B235/$H235</f>
        <v/>
      </c>
      <c r="J235" s="25">
        <f>C235/$H235</f>
        <v/>
      </c>
      <c r="K235" s="25">
        <f>D235/$H235</f>
        <v/>
      </c>
      <c r="L235" s="25">
        <f>E235/$H235</f>
        <v/>
      </c>
      <c r="M235" s="25">
        <f>F235/$H235</f>
        <v/>
      </c>
      <c r="N235" s="25">
        <f>G235/$H235</f>
        <v/>
      </c>
      <c r="O235" s="25">
        <f>SUM(MMULT(I235:N235,'07 Annualised Inputs'!$D$7:$D$12))</f>
        <v/>
      </c>
      <c r="P235" s="25">
        <f>SQRT(SUMPRODUCT(MMULT(I235:N235,'07 Annualised Inputs'!$B$17:$G$22),I235:N235))</f>
        <v/>
      </c>
      <c r="Q235" s="37">
        <f>(O235-'02 Config'!$B$10)/P235</f>
        <v/>
      </c>
    </row>
    <row r="236">
      <c r="A236" s="12" t="n">
        <v>231</v>
      </c>
      <c r="B236" s="36" t="n">
        <v>0.4310763576379383</v>
      </c>
      <c r="C236" s="36" t="n">
        <v>0.03589888600735891</v>
      </c>
      <c r="D236" s="36" t="n">
        <v>0.5346007512892753</v>
      </c>
      <c r="E236" s="36" t="n">
        <v>0.9935429967868474</v>
      </c>
      <c r="F236" s="36" t="n">
        <v>0.9587075259719341</v>
      </c>
      <c r="G236" s="36" t="n">
        <v>0.04039922884216318</v>
      </c>
      <c r="H236" s="37">
        <f>SUM(B236:G236)</f>
        <v/>
      </c>
      <c r="I236" s="25">
        <f>B236/$H236</f>
        <v/>
      </c>
      <c r="J236" s="25">
        <f>C236/$H236</f>
        <v/>
      </c>
      <c r="K236" s="25">
        <f>D236/$H236</f>
        <v/>
      </c>
      <c r="L236" s="25">
        <f>E236/$H236</f>
        <v/>
      </c>
      <c r="M236" s="25">
        <f>F236/$H236</f>
        <v/>
      </c>
      <c r="N236" s="25">
        <f>G236/$H236</f>
        <v/>
      </c>
      <c r="O236" s="25">
        <f>SUM(MMULT(I236:N236,'07 Annualised Inputs'!$D$7:$D$12))</f>
        <v/>
      </c>
      <c r="P236" s="25">
        <f>SQRT(SUMPRODUCT(MMULT(I236:N236,'07 Annualised Inputs'!$B$17:$G$22),I236:N236))</f>
        <v/>
      </c>
      <c r="Q236" s="37">
        <f>(O236-'02 Config'!$B$10)/P236</f>
        <v/>
      </c>
    </row>
    <row r="237">
      <c r="A237" s="12" t="n">
        <v>232</v>
      </c>
      <c r="B237" s="36" t="n">
        <v>0.7057970036294882</v>
      </c>
      <c r="C237" s="36" t="n">
        <v>0.3017648666969308</v>
      </c>
      <c r="D237" s="36" t="n">
        <v>0.9029891534061367</v>
      </c>
      <c r="E237" s="36" t="n">
        <v>0.04511474570927854</v>
      </c>
      <c r="F237" s="36" t="n">
        <v>0.9358741020110806</v>
      </c>
      <c r="G237" s="36" t="n">
        <v>0.8374757437877769</v>
      </c>
      <c r="H237" s="37">
        <f>SUM(B237:G237)</f>
        <v/>
      </c>
      <c r="I237" s="25">
        <f>B237/$H237</f>
        <v/>
      </c>
      <c r="J237" s="25">
        <f>C237/$H237</f>
        <v/>
      </c>
      <c r="K237" s="25">
        <f>D237/$H237</f>
        <v/>
      </c>
      <c r="L237" s="25">
        <f>E237/$H237</f>
        <v/>
      </c>
      <c r="M237" s="25">
        <f>F237/$H237</f>
        <v/>
      </c>
      <c r="N237" s="25">
        <f>G237/$H237</f>
        <v/>
      </c>
      <c r="O237" s="25">
        <f>SUM(MMULT(I237:N237,'07 Annualised Inputs'!$D$7:$D$12))</f>
        <v/>
      </c>
      <c r="P237" s="25">
        <f>SQRT(SUMPRODUCT(MMULT(I237:N237,'07 Annualised Inputs'!$B$17:$G$22),I237:N237))</f>
        <v/>
      </c>
      <c r="Q237" s="37">
        <f>(O237-'02 Config'!$B$10)/P237</f>
        <v/>
      </c>
    </row>
    <row r="238">
      <c r="A238" s="12" t="n">
        <v>233</v>
      </c>
      <c r="B238" s="36" t="n">
        <v>0.1175043822526015</v>
      </c>
      <c r="C238" s="36" t="n">
        <v>0.05982433731729919</v>
      </c>
      <c r="D238" s="36" t="n">
        <v>0.8347076643269359</v>
      </c>
      <c r="E238" s="36" t="n">
        <v>0.1557576709745794</v>
      </c>
      <c r="F238" s="36" t="n">
        <v>0.5348981529758705</v>
      </c>
      <c r="G238" s="36" t="n">
        <v>0.9157448578787095</v>
      </c>
      <c r="H238" s="37">
        <f>SUM(B238:G238)</f>
        <v/>
      </c>
      <c r="I238" s="25">
        <f>B238/$H238</f>
        <v/>
      </c>
      <c r="J238" s="25">
        <f>C238/$H238</f>
        <v/>
      </c>
      <c r="K238" s="25">
        <f>D238/$H238</f>
        <v/>
      </c>
      <c r="L238" s="25">
        <f>E238/$H238</f>
        <v/>
      </c>
      <c r="M238" s="25">
        <f>F238/$H238</f>
        <v/>
      </c>
      <c r="N238" s="25">
        <f>G238/$H238</f>
        <v/>
      </c>
      <c r="O238" s="25">
        <f>SUM(MMULT(I238:N238,'07 Annualised Inputs'!$D$7:$D$12))</f>
        <v/>
      </c>
      <c r="P238" s="25">
        <f>SQRT(SUMPRODUCT(MMULT(I238:N238,'07 Annualised Inputs'!$B$17:$G$22),I238:N238))</f>
        <v/>
      </c>
      <c r="Q238" s="37">
        <f>(O238-'02 Config'!$B$10)/P238</f>
        <v/>
      </c>
    </row>
    <row r="239">
      <c r="A239" s="12" t="n">
        <v>234</v>
      </c>
      <c r="B239" s="36" t="n">
        <v>0.5674481135493233</v>
      </c>
      <c r="C239" s="36" t="n">
        <v>0.3972333014728241</v>
      </c>
      <c r="D239" s="36" t="n">
        <v>0.4450160548539922</v>
      </c>
      <c r="E239" s="36" t="n">
        <v>0.06311717070387102</v>
      </c>
      <c r="F239" s="36" t="n">
        <v>0.9687523213615988</v>
      </c>
      <c r="G239" s="36" t="n">
        <v>0.3106541850810828</v>
      </c>
      <c r="H239" s="37">
        <f>SUM(B239:G239)</f>
        <v/>
      </c>
      <c r="I239" s="25">
        <f>B239/$H239</f>
        <v/>
      </c>
      <c r="J239" s="25">
        <f>C239/$H239</f>
        <v/>
      </c>
      <c r="K239" s="25">
        <f>D239/$H239</f>
        <v/>
      </c>
      <c r="L239" s="25">
        <f>E239/$H239</f>
        <v/>
      </c>
      <c r="M239" s="25">
        <f>F239/$H239</f>
        <v/>
      </c>
      <c r="N239" s="25">
        <f>G239/$H239</f>
        <v/>
      </c>
      <c r="O239" s="25">
        <f>SUM(MMULT(I239:N239,'07 Annualised Inputs'!$D$7:$D$12))</f>
        <v/>
      </c>
      <c r="P239" s="25">
        <f>SQRT(SUMPRODUCT(MMULT(I239:N239,'07 Annualised Inputs'!$B$17:$G$22),I239:N239))</f>
        <v/>
      </c>
      <c r="Q239" s="37">
        <f>(O239-'02 Config'!$B$10)/P239</f>
        <v/>
      </c>
    </row>
    <row r="240">
      <c r="A240" s="12" t="n">
        <v>235</v>
      </c>
      <c r="B240" s="36" t="n">
        <v>0.1893634916728538</v>
      </c>
      <c r="C240" s="36" t="n">
        <v>0.2860473018403953</v>
      </c>
      <c r="D240" s="36" t="n">
        <v>0.9643731948914789</v>
      </c>
      <c r="E240" s="36" t="n">
        <v>0.094286053488007</v>
      </c>
      <c r="F240" s="36" t="n">
        <v>0.8673030405011813</v>
      </c>
      <c r="G240" s="36" t="n">
        <v>0.7078438944014478</v>
      </c>
      <c r="H240" s="37">
        <f>SUM(B240:G240)</f>
        <v/>
      </c>
      <c r="I240" s="25">
        <f>B240/$H240</f>
        <v/>
      </c>
      <c r="J240" s="25">
        <f>C240/$H240</f>
        <v/>
      </c>
      <c r="K240" s="25">
        <f>D240/$H240</f>
        <v/>
      </c>
      <c r="L240" s="25">
        <f>E240/$H240</f>
        <v/>
      </c>
      <c r="M240" s="25">
        <f>F240/$H240</f>
        <v/>
      </c>
      <c r="N240" s="25">
        <f>G240/$H240</f>
        <v/>
      </c>
      <c r="O240" s="25">
        <f>SUM(MMULT(I240:N240,'07 Annualised Inputs'!$D$7:$D$12))</f>
        <v/>
      </c>
      <c r="P240" s="25">
        <f>SQRT(SUMPRODUCT(MMULT(I240:N240,'07 Annualised Inputs'!$B$17:$G$22),I240:N240))</f>
        <v/>
      </c>
      <c r="Q240" s="37">
        <f>(O240-'02 Config'!$B$10)/P240</f>
        <v/>
      </c>
    </row>
    <row r="241">
      <c r="A241" s="12" t="n">
        <v>236</v>
      </c>
      <c r="B241" s="36" t="n">
        <v>0.8300191791590281</v>
      </c>
      <c r="C241" s="36" t="n">
        <v>0.9758975403678963</v>
      </c>
      <c r="D241" s="36" t="n">
        <v>0.8421546555168719</v>
      </c>
      <c r="E241" s="36" t="n">
        <v>0.9433823512778529</v>
      </c>
      <c r="F241" s="36" t="n">
        <v>0.1269352567909198</v>
      </c>
      <c r="G241" s="36" t="n">
        <v>0.7957885651669701</v>
      </c>
      <c r="H241" s="37">
        <f>SUM(B241:G241)</f>
        <v/>
      </c>
      <c r="I241" s="25">
        <f>B241/$H241</f>
        <v/>
      </c>
      <c r="J241" s="25">
        <f>C241/$H241</f>
        <v/>
      </c>
      <c r="K241" s="25">
        <f>D241/$H241</f>
        <v/>
      </c>
      <c r="L241" s="25">
        <f>E241/$H241</f>
        <v/>
      </c>
      <c r="M241" s="25">
        <f>F241/$H241</f>
        <v/>
      </c>
      <c r="N241" s="25">
        <f>G241/$H241</f>
        <v/>
      </c>
      <c r="O241" s="25">
        <f>SUM(MMULT(I241:N241,'07 Annualised Inputs'!$D$7:$D$12))</f>
        <v/>
      </c>
      <c r="P241" s="25">
        <f>SQRT(SUMPRODUCT(MMULT(I241:N241,'07 Annualised Inputs'!$B$17:$G$22),I241:N241))</f>
        <v/>
      </c>
      <c r="Q241" s="37">
        <f>(O241-'02 Config'!$B$10)/P241</f>
        <v/>
      </c>
    </row>
    <row r="242">
      <c r="A242" s="12" t="n">
        <v>237</v>
      </c>
      <c r="B242" s="36" t="n">
        <v>0.5456756940810478</v>
      </c>
      <c r="C242" s="36" t="n">
        <v>0.5434955950798607</v>
      </c>
      <c r="D242" s="36" t="n">
        <v>0.8989215763205136</v>
      </c>
      <c r="E242" s="36" t="n">
        <v>0.9718038186467113</v>
      </c>
      <c r="F242" s="36" t="n">
        <v>0.7048383230431809</v>
      </c>
      <c r="G242" s="36" t="n">
        <v>0.4829383894717839</v>
      </c>
      <c r="H242" s="37">
        <f>SUM(B242:G242)</f>
        <v/>
      </c>
      <c r="I242" s="25">
        <f>B242/$H242</f>
        <v/>
      </c>
      <c r="J242" s="25">
        <f>C242/$H242</f>
        <v/>
      </c>
      <c r="K242" s="25">
        <f>D242/$H242</f>
        <v/>
      </c>
      <c r="L242" s="25">
        <f>E242/$H242</f>
        <v/>
      </c>
      <c r="M242" s="25">
        <f>F242/$H242</f>
        <v/>
      </c>
      <c r="N242" s="25">
        <f>G242/$H242</f>
        <v/>
      </c>
      <c r="O242" s="25">
        <f>SUM(MMULT(I242:N242,'07 Annualised Inputs'!$D$7:$D$12))</f>
        <v/>
      </c>
      <c r="P242" s="25">
        <f>SQRT(SUMPRODUCT(MMULT(I242:N242,'07 Annualised Inputs'!$B$17:$G$22),I242:N242))</f>
        <v/>
      </c>
      <c r="Q242" s="37">
        <f>(O242-'02 Config'!$B$10)/P242</f>
        <v/>
      </c>
    </row>
    <row r="243">
      <c r="A243" s="12" t="n">
        <v>238</v>
      </c>
      <c r="B243" s="36" t="n">
        <v>0.4564038579018453</v>
      </c>
      <c r="C243" s="36" t="n">
        <v>0.3863414572231818</v>
      </c>
      <c r="D243" s="36" t="n">
        <v>0.3615990295726627</v>
      </c>
      <c r="E243" s="36" t="n">
        <v>0.3915068416844314</v>
      </c>
      <c r="F243" s="36" t="n">
        <v>0.08975323525119527</v>
      </c>
      <c r="G243" s="36" t="n">
        <v>0.07743608526043821</v>
      </c>
      <c r="H243" s="37">
        <f>SUM(B243:G243)</f>
        <v/>
      </c>
      <c r="I243" s="25">
        <f>B243/$H243</f>
        <v/>
      </c>
      <c r="J243" s="25">
        <f>C243/$H243</f>
        <v/>
      </c>
      <c r="K243" s="25">
        <f>D243/$H243</f>
        <v/>
      </c>
      <c r="L243" s="25">
        <f>E243/$H243</f>
        <v/>
      </c>
      <c r="M243" s="25">
        <f>F243/$H243</f>
        <v/>
      </c>
      <c r="N243" s="25">
        <f>G243/$H243</f>
        <v/>
      </c>
      <c r="O243" s="25">
        <f>SUM(MMULT(I243:N243,'07 Annualised Inputs'!$D$7:$D$12))</f>
        <v/>
      </c>
      <c r="P243" s="25">
        <f>SQRT(SUMPRODUCT(MMULT(I243:N243,'07 Annualised Inputs'!$B$17:$G$22),I243:N243))</f>
        <v/>
      </c>
      <c r="Q243" s="37">
        <f>(O243-'02 Config'!$B$10)/P243</f>
        <v/>
      </c>
    </row>
    <row r="244">
      <c r="A244" s="12" t="n">
        <v>239</v>
      </c>
      <c r="B244" s="36" t="n">
        <v>0.7798698438723117</v>
      </c>
      <c r="C244" s="36" t="n">
        <v>0.4460728929202261</v>
      </c>
      <c r="D244" s="36" t="n">
        <v>0.9306844885446205</v>
      </c>
      <c r="E244" s="36" t="n">
        <v>0.6122210085939525</v>
      </c>
      <c r="F244" s="36" t="n">
        <v>0.03517598218441975</v>
      </c>
      <c r="G244" s="36" t="n">
        <v>0.1575233413174795</v>
      </c>
      <c r="H244" s="37">
        <f>SUM(B244:G244)</f>
        <v/>
      </c>
      <c r="I244" s="25">
        <f>B244/$H244</f>
        <v/>
      </c>
      <c r="J244" s="25">
        <f>C244/$H244</f>
        <v/>
      </c>
      <c r="K244" s="25">
        <f>D244/$H244</f>
        <v/>
      </c>
      <c r="L244" s="25">
        <f>E244/$H244</f>
        <v/>
      </c>
      <c r="M244" s="25">
        <f>F244/$H244</f>
        <v/>
      </c>
      <c r="N244" s="25">
        <f>G244/$H244</f>
        <v/>
      </c>
      <c r="O244" s="25">
        <f>SUM(MMULT(I244:N244,'07 Annualised Inputs'!$D$7:$D$12))</f>
        <v/>
      </c>
      <c r="P244" s="25">
        <f>SQRT(SUMPRODUCT(MMULT(I244:N244,'07 Annualised Inputs'!$B$17:$G$22),I244:N244))</f>
        <v/>
      </c>
      <c r="Q244" s="37">
        <f>(O244-'02 Config'!$B$10)/P244</f>
        <v/>
      </c>
    </row>
    <row r="245">
      <c r="A245" s="12" t="n">
        <v>240</v>
      </c>
      <c r="B245" s="36" t="n">
        <v>0.2058197930130076</v>
      </c>
      <c r="C245" s="36" t="n">
        <v>0.9757360243896606</v>
      </c>
      <c r="D245" s="36" t="n">
        <v>0.2187042261516349</v>
      </c>
      <c r="E245" s="36" t="n">
        <v>0.5157556762880513</v>
      </c>
      <c r="F245" s="36" t="n">
        <v>0.9361769316401961</v>
      </c>
      <c r="G245" s="36" t="n">
        <v>0.9771927299143573</v>
      </c>
      <c r="H245" s="37">
        <f>SUM(B245:G245)</f>
        <v/>
      </c>
      <c r="I245" s="25">
        <f>B245/$H245</f>
        <v/>
      </c>
      <c r="J245" s="25">
        <f>C245/$H245</f>
        <v/>
      </c>
      <c r="K245" s="25">
        <f>D245/$H245</f>
        <v/>
      </c>
      <c r="L245" s="25">
        <f>E245/$H245</f>
        <v/>
      </c>
      <c r="M245" s="25">
        <f>F245/$H245</f>
        <v/>
      </c>
      <c r="N245" s="25">
        <f>G245/$H245</f>
        <v/>
      </c>
      <c r="O245" s="25">
        <f>SUM(MMULT(I245:N245,'07 Annualised Inputs'!$D$7:$D$12))</f>
        <v/>
      </c>
      <c r="P245" s="25">
        <f>SQRT(SUMPRODUCT(MMULT(I245:N245,'07 Annualised Inputs'!$B$17:$G$22),I245:N245))</f>
        <v/>
      </c>
      <c r="Q245" s="37">
        <f>(O245-'02 Config'!$B$10)/P245</f>
        <v/>
      </c>
    </row>
    <row r="246">
      <c r="A246" s="12" t="n">
        <v>241</v>
      </c>
      <c r="B246" s="36" t="n">
        <v>0.2363604353835446</v>
      </c>
      <c r="C246" s="36" t="n">
        <v>0.04911764375004013</v>
      </c>
      <c r="D246" s="36" t="n">
        <v>0.1536018325377585</v>
      </c>
      <c r="E246" s="36" t="n">
        <v>0.06332847870255809</v>
      </c>
      <c r="F246" s="36" t="n">
        <v>0.1951242410923364</v>
      </c>
      <c r="G246" s="36" t="n">
        <v>0.5685697147037354</v>
      </c>
      <c r="H246" s="37">
        <f>SUM(B246:G246)</f>
        <v/>
      </c>
      <c r="I246" s="25">
        <f>B246/$H246</f>
        <v/>
      </c>
      <c r="J246" s="25">
        <f>C246/$H246</f>
        <v/>
      </c>
      <c r="K246" s="25">
        <f>D246/$H246</f>
        <v/>
      </c>
      <c r="L246" s="25">
        <f>E246/$H246</f>
        <v/>
      </c>
      <c r="M246" s="25">
        <f>F246/$H246</f>
        <v/>
      </c>
      <c r="N246" s="25">
        <f>G246/$H246</f>
        <v/>
      </c>
      <c r="O246" s="25">
        <f>SUM(MMULT(I246:N246,'07 Annualised Inputs'!$D$7:$D$12))</f>
        <v/>
      </c>
      <c r="P246" s="25">
        <f>SQRT(SUMPRODUCT(MMULT(I246:N246,'07 Annualised Inputs'!$B$17:$G$22),I246:N246))</f>
        <v/>
      </c>
      <c r="Q246" s="37">
        <f>(O246-'02 Config'!$B$10)/P246</f>
        <v/>
      </c>
    </row>
    <row r="247">
      <c r="A247" s="12" t="n">
        <v>242</v>
      </c>
      <c r="B247" s="36" t="n">
        <v>0.9124487962956418</v>
      </c>
      <c r="C247" s="36" t="n">
        <v>0.53721888369434</v>
      </c>
      <c r="D247" s="36" t="n">
        <v>0.6259895566990807</v>
      </c>
      <c r="E247" s="36" t="n">
        <v>0.2018672516095411</v>
      </c>
      <c r="F247" s="36" t="n">
        <v>0.8005836206738501</v>
      </c>
      <c r="G247" s="36" t="n">
        <v>0.6177889085055832</v>
      </c>
      <c r="H247" s="37">
        <f>SUM(B247:G247)</f>
        <v/>
      </c>
      <c r="I247" s="25">
        <f>B247/$H247</f>
        <v/>
      </c>
      <c r="J247" s="25">
        <f>C247/$H247</f>
        <v/>
      </c>
      <c r="K247" s="25">
        <f>D247/$H247</f>
        <v/>
      </c>
      <c r="L247" s="25">
        <f>E247/$H247</f>
        <v/>
      </c>
      <c r="M247" s="25">
        <f>F247/$H247</f>
        <v/>
      </c>
      <c r="N247" s="25">
        <f>G247/$H247</f>
        <v/>
      </c>
      <c r="O247" s="25">
        <f>SUM(MMULT(I247:N247,'07 Annualised Inputs'!$D$7:$D$12))</f>
        <v/>
      </c>
      <c r="P247" s="25">
        <f>SQRT(SUMPRODUCT(MMULT(I247:N247,'07 Annualised Inputs'!$B$17:$G$22),I247:N247))</f>
        <v/>
      </c>
      <c r="Q247" s="37">
        <f>(O247-'02 Config'!$B$10)/P247</f>
        <v/>
      </c>
    </row>
    <row r="248">
      <c r="A248" s="12" t="n">
        <v>243</v>
      </c>
      <c r="B248" s="36" t="n">
        <v>0.8641368291927248</v>
      </c>
      <c r="C248" s="36" t="n">
        <v>0.9488431070057841</v>
      </c>
      <c r="D248" s="36" t="n">
        <v>0.3479007757565923</v>
      </c>
      <c r="E248" s="36" t="n">
        <v>0.09057905853543935</v>
      </c>
      <c r="F248" s="36" t="n">
        <v>0.2259289579167825</v>
      </c>
      <c r="G248" s="36" t="n">
        <v>0.4378415656758372</v>
      </c>
      <c r="H248" s="37">
        <f>SUM(B248:G248)</f>
        <v/>
      </c>
      <c r="I248" s="25">
        <f>B248/$H248</f>
        <v/>
      </c>
      <c r="J248" s="25">
        <f>C248/$H248</f>
        <v/>
      </c>
      <c r="K248" s="25">
        <f>D248/$H248</f>
        <v/>
      </c>
      <c r="L248" s="25">
        <f>E248/$H248</f>
        <v/>
      </c>
      <c r="M248" s="25">
        <f>F248/$H248</f>
        <v/>
      </c>
      <c r="N248" s="25">
        <f>G248/$H248</f>
        <v/>
      </c>
      <c r="O248" s="25">
        <f>SUM(MMULT(I248:N248,'07 Annualised Inputs'!$D$7:$D$12))</f>
        <v/>
      </c>
      <c r="P248" s="25">
        <f>SQRT(SUMPRODUCT(MMULT(I248:N248,'07 Annualised Inputs'!$B$17:$G$22),I248:N248))</f>
        <v/>
      </c>
      <c r="Q248" s="37">
        <f>(O248-'02 Config'!$B$10)/P248</f>
        <v/>
      </c>
    </row>
    <row r="249">
      <c r="A249" s="12" t="n">
        <v>244</v>
      </c>
      <c r="B249" s="36" t="n">
        <v>0.9456936518244733</v>
      </c>
      <c r="C249" s="36" t="n">
        <v>0.3783098223734153</v>
      </c>
      <c r="D249" s="36" t="n">
        <v>0.77077321366537</v>
      </c>
      <c r="E249" s="36" t="n">
        <v>0.540476692170755</v>
      </c>
      <c r="F249" s="36" t="n">
        <v>0.1828087704309765</v>
      </c>
      <c r="G249" s="36" t="n">
        <v>0.3207341189534516</v>
      </c>
      <c r="H249" s="37">
        <f>SUM(B249:G249)</f>
        <v/>
      </c>
      <c r="I249" s="25">
        <f>B249/$H249</f>
        <v/>
      </c>
      <c r="J249" s="25">
        <f>C249/$H249</f>
        <v/>
      </c>
      <c r="K249" s="25">
        <f>D249/$H249</f>
        <v/>
      </c>
      <c r="L249" s="25">
        <f>E249/$H249</f>
        <v/>
      </c>
      <c r="M249" s="25">
        <f>F249/$H249</f>
        <v/>
      </c>
      <c r="N249" s="25">
        <f>G249/$H249</f>
        <v/>
      </c>
      <c r="O249" s="25">
        <f>SUM(MMULT(I249:N249,'07 Annualised Inputs'!$D$7:$D$12))</f>
        <v/>
      </c>
      <c r="P249" s="25">
        <f>SQRT(SUMPRODUCT(MMULT(I249:N249,'07 Annualised Inputs'!$B$17:$G$22),I249:N249))</f>
        <v/>
      </c>
      <c r="Q249" s="37">
        <f>(O249-'02 Config'!$B$10)/P249</f>
        <v/>
      </c>
    </row>
    <row r="250">
      <c r="A250" s="12" t="n">
        <v>245</v>
      </c>
      <c r="B250" s="36" t="n">
        <v>0.6531918850228187</v>
      </c>
      <c r="C250" s="36" t="n">
        <v>0.6728533946848935</v>
      </c>
      <c r="D250" s="36" t="n">
        <v>0.4347597468090462</v>
      </c>
      <c r="E250" s="36" t="n">
        <v>0.2286456026621146</v>
      </c>
      <c r="F250" s="36" t="n">
        <v>0.7219067795126763</v>
      </c>
      <c r="G250" s="36" t="n">
        <v>0.1688730416127148</v>
      </c>
      <c r="H250" s="37">
        <f>SUM(B250:G250)</f>
        <v/>
      </c>
      <c r="I250" s="25">
        <f>B250/$H250</f>
        <v/>
      </c>
      <c r="J250" s="25">
        <f>C250/$H250</f>
        <v/>
      </c>
      <c r="K250" s="25">
        <f>D250/$H250</f>
        <v/>
      </c>
      <c r="L250" s="25">
        <f>E250/$H250</f>
        <v/>
      </c>
      <c r="M250" s="25">
        <f>F250/$H250</f>
        <v/>
      </c>
      <c r="N250" s="25">
        <f>G250/$H250</f>
        <v/>
      </c>
      <c r="O250" s="25">
        <f>SUM(MMULT(I250:N250,'07 Annualised Inputs'!$D$7:$D$12))</f>
        <v/>
      </c>
      <c r="P250" s="25">
        <f>SQRT(SUMPRODUCT(MMULT(I250:N250,'07 Annualised Inputs'!$B$17:$G$22),I250:N250))</f>
        <v/>
      </c>
      <c r="Q250" s="37">
        <f>(O250-'02 Config'!$B$10)/P250</f>
        <v/>
      </c>
    </row>
    <row r="251">
      <c r="A251" s="12" t="n">
        <v>246</v>
      </c>
      <c r="B251" s="36" t="n">
        <v>0.9366696918651266</v>
      </c>
      <c r="C251" s="36" t="n">
        <v>0.1879035790364767</v>
      </c>
      <c r="D251" s="36" t="n">
        <v>0.1073123628325204</v>
      </c>
      <c r="E251" s="36" t="n">
        <v>0.4976477023653788</v>
      </c>
      <c r="F251" s="36" t="n">
        <v>0.519549598109694</v>
      </c>
      <c r="G251" s="36" t="n">
        <v>0.5081929147782448</v>
      </c>
      <c r="H251" s="37">
        <f>SUM(B251:G251)</f>
        <v/>
      </c>
      <c r="I251" s="25">
        <f>B251/$H251</f>
        <v/>
      </c>
      <c r="J251" s="25">
        <f>C251/$H251</f>
        <v/>
      </c>
      <c r="K251" s="25">
        <f>D251/$H251</f>
        <v/>
      </c>
      <c r="L251" s="25">
        <f>E251/$H251</f>
        <v/>
      </c>
      <c r="M251" s="25">
        <f>F251/$H251</f>
        <v/>
      </c>
      <c r="N251" s="25">
        <f>G251/$H251</f>
        <v/>
      </c>
      <c r="O251" s="25">
        <f>SUM(MMULT(I251:N251,'07 Annualised Inputs'!$D$7:$D$12))</f>
        <v/>
      </c>
      <c r="P251" s="25">
        <f>SQRT(SUMPRODUCT(MMULT(I251:N251,'07 Annualised Inputs'!$B$17:$G$22),I251:N251))</f>
        <v/>
      </c>
      <c r="Q251" s="37">
        <f>(O251-'02 Config'!$B$10)/P251</f>
        <v/>
      </c>
    </row>
    <row r="252">
      <c r="A252" s="12" t="n">
        <v>247</v>
      </c>
      <c r="B252" s="36" t="n">
        <v>0.4366674893388395</v>
      </c>
      <c r="C252" s="36" t="n">
        <v>0.9948148928296083</v>
      </c>
      <c r="D252" s="36" t="n">
        <v>0.4862806126705819</v>
      </c>
      <c r="E252" s="36" t="n">
        <v>0.477946580739831</v>
      </c>
      <c r="F252" s="36" t="n">
        <v>0.4217660627145613</v>
      </c>
      <c r="G252" s="36" t="n">
        <v>0.0668257547014629</v>
      </c>
      <c r="H252" s="37">
        <f>SUM(B252:G252)</f>
        <v/>
      </c>
      <c r="I252" s="25">
        <f>B252/$H252</f>
        <v/>
      </c>
      <c r="J252" s="25">
        <f>C252/$H252</f>
        <v/>
      </c>
      <c r="K252" s="25">
        <f>D252/$H252</f>
        <v/>
      </c>
      <c r="L252" s="25">
        <f>E252/$H252</f>
        <v/>
      </c>
      <c r="M252" s="25">
        <f>F252/$H252</f>
        <v/>
      </c>
      <c r="N252" s="25">
        <f>G252/$H252</f>
        <v/>
      </c>
      <c r="O252" s="25">
        <f>SUM(MMULT(I252:N252,'07 Annualised Inputs'!$D$7:$D$12))</f>
        <v/>
      </c>
      <c r="P252" s="25">
        <f>SQRT(SUMPRODUCT(MMULT(I252:N252,'07 Annualised Inputs'!$B$17:$G$22),I252:N252))</f>
        <v/>
      </c>
      <c r="Q252" s="37">
        <f>(O252-'02 Config'!$B$10)/P252</f>
        <v/>
      </c>
    </row>
    <row r="253">
      <c r="A253" s="12" t="n">
        <v>248</v>
      </c>
      <c r="B253" s="36" t="n">
        <v>0.5929566311496161</v>
      </c>
      <c r="C253" s="36" t="n">
        <v>0.2279677722231824</v>
      </c>
      <c r="D253" s="36" t="n">
        <v>0.6376089802290499</v>
      </c>
      <c r="E253" s="36" t="n">
        <v>0.05083346194847715</v>
      </c>
      <c r="F253" s="36" t="n">
        <v>0.9813871012530017</v>
      </c>
      <c r="G253" s="36" t="n">
        <v>0.4690050790126722</v>
      </c>
      <c r="H253" s="37">
        <f>SUM(B253:G253)</f>
        <v/>
      </c>
      <c r="I253" s="25">
        <f>B253/$H253</f>
        <v/>
      </c>
      <c r="J253" s="25">
        <f>C253/$H253</f>
        <v/>
      </c>
      <c r="K253" s="25">
        <f>D253/$H253</f>
        <v/>
      </c>
      <c r="L253" s="25">
        <f>E253/$H253</f>
        <v/>
      </c>
      <c r="M253" s="25">
        <f>F253/$H253</f>
        <v/>
      </c>
      <c r="N253" s="25">
        <f>G253/$H253</f>
        <v/>
      </c>
      <c r="O253" s="25">
        <f>SUM(MMULT(I253:N253,'07 Annualised Inputs'!$D$7:$D$12))</f>
        <v/>
      </c>
      <c r="P253" s="25">
        <f>SQRT(SUMPRODUCT(MMULT(I253:N253,'07 Annualised Inputs'!$B$17:$G$22),I253:N253))</f>
        <v/>
      </c>
      <c r="Q253" s="37">
        <f>(O253-'02 Config'!$B$10)/P253</f>
        <v/>
      </c>
    </row>
    <row r="254">
      <c r="A254" s="12" t="n">
        <v>249</v>
      </c>
      <c r="B254" s="36" t="n">
        <v>0.8967553715906984</v>
      </c>
      <c r="C254" s="36" t="n">
        <v>0.4755611732329348</v>
      </c>
      <c r="D254" s="36" t="n">
        <v>0.06033081857422173</v>
      </c>
      <c r="E254" s="36" t="n">
        <v>0.8222135460938069</v>
      </c>
      <c r="F254" s="36" t="n">
        <v>0.6481837296671343</v>
      </c>
      <c r="G254" s="36" t="n">
        <v>0.7817570475739452</v>
      </c>
      <c r="H254" s="37">
        <f>SUM(B254:G254)</f>
        <v/>
      </c>
      <c r="I254" s="25">
        <f>B254/$H254</f>
        <v/>
      </c>
      <c r="J254" s="25">
        <f>C254/$H254</f>
        <v/>
      </c>
      <c r="K254" s="25">
        <f>D254/$H254</f>
        <v/>
      </c>
      <c r="L254" s="25">
        <f>E254/$H254</f>
        <v/>
      </c>
      <c r="M254" s="25">
        <f>F254/$H254</f>
        <v/>
      </c>
      <c r="N254" s="25">
        <f>G254/$H254</f>
        <v/>
      </c>
      <c r="O254" s="25">
        <f>SUM(MMULT(I254:N254,'07 Annualised Inputs'!$D$7:$D$12))</f>
        <v/>
      </c>
      <c r="P254" s="25">
        <f>SQRT(SUMPRODUCT(MMULT(I254:N254,'07 Annualised Inputs'!$B$17:$G$22),I254:N254))</f>
        <v/>
      </c>
      <c r="Q254" s="37">
        <f>(O254-'02 Config'!$B$10)/P254</f>
        <v/>
      </c>
    </row>
    <row r="255">
      <c r="A255" s="12" t="n">
        <v>250</v>
      </c>
      <c r="B255" s="36" t="n">
        <v>0.4281698635088733</v>
      </c>
      <c r="C255" s="36" t="n">
        <v>0.6379367442466449</v>
      </c>
      <c r="D255" s="36" t="n">
        <v>0.8562290037966075</v>
      </c>
      <c r="E255" s="36" t="n">
        <v>0.6310654428718875</v>
      </c>
      <c r="F255" s="36" t="n">
        <v>0.3476736348359033</v>
      </c>
      <c r="G255" s="36" t="n">
        <v>0.6625295943661998</v>
      </c>
      <c r="H255" s="37">
        <f>SUM(B255:G255)</f>
        <v/>
      </c>
      <c r="I255" s="25">
        <f>B255/$H255</f>
        <v/>
      </c>
      <c r="J255" s="25">
        <f>C255/$H255</f>
        <v/>
      </c>
      <c r="K255" s="25">
        <f>D255/$H255</f>
        <v/>
      </c>
      <c r="L255" s="25">
        <f>E255/$H255</f>
        <v/>
      </c>
      <c r="M255" s="25">
        <f>F255/$H255</f>
        <v/>
      </c>
      <c r="N255" s="25">
        <f>G255/$H255</f>
        <v/>
      </c>
      <c r="O255" s="25">
        <f>SUM(MMULT(I255:N255,'07 Annualised Inputs'!$D$7:$D$12))</f>
        <v/>
      </c>
      <c r="P255" s="25">
        <f>SQRT(SUMPRODUCT(MMULT(I255:N255,'07 Annualised Inputs'!$B$17:$G$22),I255:N255))</f>
        <v/>
      </c>
      <c r="Q255" s="37">
        <f>(O255-'02 Config'!$B$10)/P255</f>
        <v/>
      </c>
    </row>
    <row r="256">
      <c r="A256" s="12" t="n">
        <v>251</v>
      </c>
      <c r="B256" s="36" t="n">
        <v>0.6718541886140673</v>
      </c>
      <c r="C256" s="36" t="n">
        <v>0.960586962506625</v>
      </c>
      <c r="D256" s="36" t="n">
        <v>0.3709123215416692</v>
      </c>
      <c r="E256" s="36" t="n">
        <v>0.4250817675141312</v>
      </c>
      <c r="F256" s="36" t="n">
        <v>0.8121229611870592</v>
      </c>
      <c r="G256" s="36" t="n">
        <v>0.5057623147427412</v>
      </c>
      <c r="H256" s="37">
        <f>SUM(B256:G256)</f>
        <v/>
      </c>
      <c r="I256" s="25">
        <f>B256/$H256</f>
        <v/>
      </c>
      <c r="J256" s="25">
        <f>C256/$H256</f>
        <v/>
      </c>
      <c r="K256" s="25">
        <f>D256/$H256</f>
        <v/>
      </c>
      <c r="L256" s="25">
        <f>E256/$H256</f>
        <v/>
      </c>
      <c r="M256" s="25">
        <f>F256/$H256</f>
        <v/>
      </c>
      <c r="N256" s="25">
        <f>G256/$H256</f>
        <v/>
      </c>
      <c r="O256" s="25">
        <f>SUM(MMULT(I256:N256,'07 Annualised Inputs'!$D$7:$D$12))</f>
        <v/>
      </c>
      <c r="P256" s="25">
        <f>SQRT(SUMPRODUCT(MMULT(I256:N256,'07 Annualised Inputs'!$B$17:$G$22),I256:N256))</f>
        <v/>
      </c>
      <c r="Q256" s="37">
        <f>(O256-'02 Config'!$B$10)/P256</f>
        <v/>
      </c>
    </row>
    <row r="257">
      <c r="A257" s="12" t="n">
        <v>252</v>
      </c>
      <c r="B257" s="36" t="n">
        <v>0.736573093115733</v>
      </c>
      <c r="C257" s="36" t="n">
        <v>0.4597094644535921</v>
      </c>
      <c r="D257" s="36" t="n">
        <v>0.2154951418127005</v>
      </c>
      <c r="E257" s="36" t="n">
        <v>0.7452038427810108</v>
      </c>
      <c r="F257" s="36" t="n">
        <v>0.1311551691847099</v>
      </c>
      <c r="G257" s="36" t="n">
        <v>0.1985836635313081</v>
      </c>
      <c r="H257" s="37">
        <f>SUM(B257:G257)</f>
        <v/>
      </c>
      <c r="I257" s="25">
        <f>B257/$H257</f>
        <v/>
      </c>
      <c r="J257" s="25">
        <f>C257/$H257</f>
        <v/>
      </c>
      <c r="K257" s="25">
        <f>D257/$H257</f>
        <v/>
      </c>
      <c r="L257" s="25">
        <f>E257/$H257</f>
        <v/>
      </c>
      <c r="M257" s="25">
        <f>F257/$H257</f>
        <v/>
      </c>
      <c r="N257" s="25">
        <f>G257/$H257</f>
        <v/>
      </c>
      <c r="O257" s="25">
        <f>SUM(MMULT(I257:N257,'07 Annualised Inputs'!$D$7:$D$12))</f>
        <v/>
      </c>
      <c r="P257" s="25">
        <f>SQRT(SUMPRODUCT(MMULT(I257:N257,'07 Annualised Inputs'!$B$17:$G$22),I257:N257))</f>
        <v/>
      </c>
      <c r="Q257" s="37">
        <f>(O257-'02 Config'!$B$10)/P257</f>
        <v/>
      </c>
    </row>
    <row r="258">
      <c r="A258" s="12" t="n">
        <v>253</v>
      </c>
      <c r="B258" s="36" t="n">
        <v>0.6268249827842086</v>
      </c>
      <c r="C258" s="36" t="n">
        <v>0.7472698001920698</v>
      </c>
      <c r="D258" s="36" t="n">
        <v>0.894687886867815</v>
      </c>
      <c r="E258" s="36" t="n">
        <v>0.2725864974158917</v>
      </c>
      <c r="F258" s="36" t="n">
        <v>0.1107242586005543</v>
      </c>
      <c r="G258" s="36" t="n">
        <v>0.9560466595226291</v>
      </c>
      <c r="H258" s="37">
        <f>SUM(B258:G258)</f>
        <v/>
      </c>
      <c r="I258" s="25">
        <f>B258/$H258</f>
        <v/>
      </c>
      <c r="J258" s="25">
        <f>C258/$H258</f>
        <v/>
      </c>
      <c r="K258" s="25">
        <f>D258/$H258</f>
        <v/>
      </c>
      <c r="L258" s="25">
        <f>E258/$H258</f>
        <v/>
      </c>
      <c r="M258" s="25">
        <f>F258/$H258</f>
        <v/>
      </c>
      <c r="N258" s="25">
        <f>G258/$H258</f>
        <v/>
      </c>
      <c r="O258" s="25">
        <f>SUM(MMULT(I258:N258,'07 Annualised Inputs'!$D$7:$D$12))</f>
        <v/>
      </c>
      <c r="P258" s="25">
        <f>SQRT(SUMPRODUCT(MMULT(I258:N258,'07 Annualised Inputs'!$B$17:$G$22),I258:N258))</f>
        <v/>
      </c>
      <c r="Q258" s="37">
        <f>(O258-'02 Config'!$B$10)/P258</f>
        <v/>
      </c>
    </row>
    <row r="259">
      <c r="A259" s="12" t="n">
        <v>254</v>
      </c>
      <c r="B259" s="36" t="n">
        <v>0.1544230880221424</v>
      </c>
      <c r="C259" s="36" t="n">
        <v>0.1976669822546395</v>
      </c>
      <c r="D259" s="36" t="n">
        <v>0.2913294535584657</v>
      </c>
      <c r="E259" s="36" t="n">
        <v>0.5293913540262875</v>
      </c>
      <c r="F259" s="36" t="n">
        <v>0.882825566034078</v>
      </c>
      <c r="G259" s="36" t="n">
        <v>0.7605460227298669</v>
      </c>
      <c r="H259" s="37">
        <f>SUM(B259:G259)</f>
        <v/>
      </c>
      <c r="I259" s="25">
        <f>B259/$H259</f>
        <v/>
      </c>
      <c r="J259" s="25">
        <f>C259/$H259</f>
        <v/>
      </c>
      <c r="K259" s="25">
        <f>D259/$H259</f>
        <v/>
      </c>
      <c r="L259" s="25">
        <f>E259/$H259</f>
        <v/>
      </c>
      <c r="M259" s="25">
        <f>F259/$H259</f>
        <v/>
      </c>
      <c r="N259" s="25">
        <f>G259/$H259</f>
        <v/>
      </c>
      <c r="O259" s="25">
        <f>SUM(MMULT(I259:N259,'07 Annualised Inputs'!$D$7:$D$12))</f>
        <v/>
      </c>
      <c r="P259" s="25">
        <f>SQRT(SUMPRODUCT(MMULT(I259:N259,'07 Annualised Inputs'!$B$17:$G$22),I259:N259))</f>
        <v/>
      </c>
      <c r="Q259" s="37">
        <f>(O259-'02 Config'!$B$10)/P259</f>
        <v/>
      </c>
    </row>
    <row r="260">
      <c r="A260" s="12" t="n">
        <v>255</v>
      </c>
      <c r="B260" s="36" t="n">
        <v>0.7081575538426351</v>
      </c>
      <c r="C260" s="36" t="n">
        <v>0.1751805678560037</v>
      </c>
      <c r="D260" s="36" t="n">
        <v>0.3576826315259742</v>
      </c>
      <c r="E260" s="36" t="n">
        <v>0.478404926086678</v>
      </c>
      <c r="F260" s="36" t="n">
        <v>0.1474259534855858</v>
      </c>
      <c r="G260" s="36" t="n">
        <v>0.2734297021266725</v>
      </c>
      <c r="H260" s="37">
        <f>SUM(B260:G260)</f>
        <v/>
      </c>
      <c r="I260" s="25">
        <f>B260/$H260</f>
        <v/>
      </c>
      <c r="J260" s="25">
        <f>C260/$H260</f>
        <v/>
      </c>
      <c r="K260" s="25">
        <f>D260/$H260</f>
        <v/>
      </c>
      <c r="L260" s="25">
        <f>E260/$H260</f>
        <v/>
      </c>
      <c r="M260" s="25">
        <f>F260/$H260</f>
        <v/>
      </c>
      <c r="N260" s="25">
        <f>G260/$H260</f>
        <v/>
      </c>
      <c r="O260" s="25">
        <f>SUM(MMULT(I260:N260,'07 Annualised Inputs'!$D$7:$D$12))</f>
        <v/>
      </c>
      <c r="P260" s="25">
        <f>SQRT(SUMPRODUCT(MMULT(I260:N260,'07 Annualised Inputs'!$B$17:$G$22),I260:N260))</f>
        <v/>
      </c>
      <c r="Q260" s="37">
        <f>(O260-'02 Config'!$B$10)/P260</f>
        <v/>
      </c>
    </row>
    <row r="261">
      <c r="A261" s="12" t="n">
        <v>256</v>
      </c>
      <c r="B261" s="36" t="n">
        <v>0.3083332039528442</v>
      </c>
      <c r="C261" s="36" t="n">
        <v>0.1272761983290392</v>
      </c>
      <c r="D261" s="36" t="n">
        <v>0.5502396919082576</v>
      </c>
      <c r="E261" s="36" t="n">
        <v>0.7050281965241929</v>
      </c>
      <c r="F261" s="36" t="n">
        <v>0.06993163147686121</v>
      </c>
      <c r="G261" s="36" t="n">
        <v>0.4811231017631498</v>
      </c>
      <c r="H261" s="37">
        <f>SUM(B261:G261)</f>
        <v/>
      </c>
      <c r="I261" s="25">
        <f>B261/$H261</f>
        <v/>
      </c>
      <c r="J261" s="25">
        <f>C261/$H261</f>
        <v/>
      </c>
      <c r="K261" s="25">
        <f>D261/$H261</f>
        <v/>
      </c>
      <c r="L261" s="25">
        <f>E261/$H261</f>
        <v/>
      </c>
      <c r="M261" s="25">
        <f>F261/$H261</f>
        <v/>
      </c>
      <c r="N261" s="25">
        <f>G261/$H261</f>
        <v/>
      </c>
      <c r="O261" s="25">
        <f>SUM(MMULT(I261:N261,'07 Annualised Inputs'!$D$7:$D$12))</f>
        <v/>
      </c>
      <c r="P261" s="25">
        <f>SQRT(SUMPRODUCT(MMULT(I261:N261,'07 Annualised Inputs'!$B$17:$G$22),I261:N261))</f>
        <v/>
      </c>
      <c r="Q261" s="37">
        <f>(O261-'02 Config'!$B$10)/P261</f>
        <v/>
      </c>
    </row>
    <row r="262">
      <c r="A262" s="12" t="n">
        <v>257</v>
      </c>
      <c r="B262" s="36" t="n">
        <v>0.782211195267795</v>
      </c>
      <c r="C262" s="36" t="n">
        <v>0.7479901289524469</v>
      </c>
      <c r="D262" s="36" t="n">
        <v>0.8150730962187541</v>
      </c>
      <c r="E262" s="36" t="n">
        <v>0.448240633170607</v>
      </c>
      <c r="F262" s="36" t="n">
        <v>0.8205570826398607</v>
      </c>
      <c r="G262" s="36" t="n">
        <v>0.2407530712142695</v>
      </c>
      <c r="H262" s="37">
        <f>SUM(B262:G262)</f>
        <v/>
      </c>
      <c r="I262" s="25">
        <f>B262/$H262</f>
        <v/>
      </c>
      <c r="J262" s="25">
        <f>C262/$H262</f>
        <v/>
      </c>
      <c r="K262" s="25">
        <f>D262/$H262</f>
        <v/>
      </c>
      <c r="L262" s="25">
        <f>E262/$H262</f>
        <v/>
      </c>
      <c r="M262" s="25">
        <f>F262/$H262</f>
        <v/>
      </c>
      <c r="N262" s="25">
        <f>G262/$H262</f>
        <v/>
      </c>
      <c r="O262" s="25">
        <f>SUM(MMULT(I262:N262,'07 Annualised Inputs'!$D$7:$D$12))</f>
        <v/>
      </c>
      <c r="P262" s="25">
        <f>SQRT(SUMPRODUCT(MMULT(I262:N262,'07 Annualised Inputs'!$B$17:$G$22),I262:N262))</f>
        <v/>
      </c>
      <c r="Q262" s="37">
        <f>(O262-'02 Config'!$B$10)/P262</f>
        <v/>
      </c>
    </row>
    <row r="263">
      <c r="A263" s="12" t="n">
        <v>258</v>
      </c>
      <c r="B263" s="36" t="n">
        <v>0.3608105614175153</v>
      </c>
      <c r="C263" s="36" t="n">
        <v>0.1763555764178013</v>
      </c>
      <c r="D263" s="36" t="n">
        <v>0.4674845394285718</v>
      </c>
      <c r="E263" s="36" t="n">
        <v>0.3920600224154432</v>
      </c>
      <c r="F263" s="36" t="n">
        <v>0.2409271164143122</v>
      </c>
      <c r="G263" s="36" t="n">
        <v>0.7517807092307816</v>
      </c>
      <c r="H263" s="37">
        <f>SUM(B263:G263)</f>
        <v/>
      </c>
      <c r="I263" s="25">
        <f>B263/$H263</f>
        <v/>
      </c>
      <c r="J263" s="25">
        <f>C263/$H263</f>
        <v/>
      </c>
      <c r="K263" s="25">
        <f>D263/$H263</f>
        <v/>
      </c>
      <c r="L263" s="25">
        <f>E263/$H263</f>
        <v/>
      </c>
      <c r="M263" s="25">
        <f>F263/$H263</f>
        <v/>
      </c>
      <c r="N263" s="25">
        <f>G263/$H263</f>
        <v/>
      </c>
      <c r="O263" s="25">
        <f>SUM(MMULT(I263:N263,'07 Annualised Inputs'!$D$7:$D$12))</f>
        <v/>
      </c>
      <c r="P263" s="25">
        <f>SQRT(SUMPRODUCT(MMULT(I263:N263,'07 Annualised Inputs'!$B$17:$G$22),I263:N263))</f>
        <v/>
      </c>
      <c r="Q263" s="37">
        <f>(O263-'02 Config'!$B$10)/P263</f>
        <v/>
      </c>
    </row>
    <row r="264">
      <c r="A264" s="12" t="n">
        <v>259</v>
      </c>
      <c r="B264" s="36" t="n">
        <v>0.3138467721116466</v>
      </c>
      <c r="C264" s="36" t="n">
        <v>0.2728043301458357</v>
      </c>
      <c r="D264" s="36" t="n">
        <v>0.1308903308504951</v>
      </c>
      <c r="E264" s="36" t="n">
        <v>0.4388217018019487</v>
      </c>
      <c r="F264" s="36" t="n">
        <v>0.302964628837302</v>
      </c>
      <c r="G264" s="36" t="n">
        <v>0.3692728413409686</v>
      </c>
      <c r="H264" s="37">
        <f>SUM(B264:G264)</f>
        <v/>
      </c>
      <c r="I264" s="25">
        <f>B264/$H264</f>
        <v/>
      </c>
      <c r="J264" s="25">
        <f>C264/$H264</f>
        <v/>
      </c>
      <c r="K264" s="25">
        <f>D264/$H264</f>
        <v/>
      </c>
      <c r="L264" s="25">
        <f>E264/$H264</f>
        <v/>
      </c>
      <c r="M264" s="25">
        <f>F264/$H264</f>
        <v/>
      </c>
      <c r="N264" s="25">
        <f>G264/$H264</f>
        <v/>
      </c>
      <c r="O264" s="25">
        <f>SUM(MMULT(I264:N264,'07 Annualised Inputs'!$D$7:$D$12))</f>
        <v/>
      </c>
      <c r="P264" s="25">
        <f>SQRT(SUMPRODUCT(MMULT(I264:N264,'07 Annualised Inputs'!$B$17:$G$22),I264:N264))</f>
        <v/>
      </c>
      <c r="Q264" s="37">
        <f>(O264-'02 Config'!$B$10)/P264</f>
        <v/>
      </c>
    </row>
    <row r="265">
      <c r="A265" s="12" t="n">
        <v>260</v>
      </c>
      <c r="B265" s="36" t="n">
        <v>0.2359972626205527</v>
      </c>
      <c r="C265" s="36" t="n">
        <v>0.7631554898199004</v>
      </c>
      <c r="D265" s="36" t="n">
        <v>0.9300033473547173</v>
      </c>
      <c r="E265" s="36" t="n">
        <v>0.4979318527888876</v>
      </c>
      <c r="F265" s="36" t="n">
        <v>0.6429984233408326</v>
      </c>
      <c r="G265" s="36" t="n">
        <v>0.867172276606706</v>
      </c>
      <c r="H265" s="37">
        <f>SUM(B265:G265)</f>
        <v/>
      </c>
      <c r="I265" s="25">
        <f>B265/$H265</f>
        <v/>
      </c>
      <c r="J265" s="25">
        <f>C265/$H265</f>
        <v/>
      </c>
      <c r="K265" s="25">
        <f>D265/$H265</f>
        <v/>
      </c>
      <c r="L265" s="25">
        <f>E265/$H265</f>
        <v/>
      </c>
      <c r="M265" s="25">
        <f>F265/$H265</f>
        <v/>
      </c>
      <c r="N265" s="25">
        <f>G265/$H265</f>
        <v/>
      </c>
      <c r="O265" s="25">
        <f>SUM(MMULT(I265:N265,'07 Annualised Inputs'!$D$7:$D$12))</f>
        <v/>
      </c>
      <c r="P265" s="25">
        <f>SQRT(SUMPRODUCT(MMULT(I265:N265,'07 Annualised Inputs'!$B$17:$G$22),I265:N265))</f>
        <v/>
      </c>
      <c r="Q265" s="37">
        <f>(O265-'02 Config'!$B$10)/P265</f>
        <v/>
      </c>
    </row>
    <row r="266">
      <c r="A266" s="12" t="n">
        <v>261</v>
      </c>
      <c r="B266" s="36" t="n">
        <v>0.9988296373336586</v>
      </c>
      <c r="C266" s="36" t="n">
        <v>0.6135164847298321</v>
      </c>
      <c r="D266" s="36" t="n">
        <v>0.8897794665398687</v>
      </c>
      <c r="E266" s="36" t="n">
        <v>0.908608246555642</v>
      </c>
      <c r="F266" s="36" t="n">
        <v>0.7914514878076223</v>
      </c>
      <c r="G266" s="36" t="n">
        <v>0.4609313910731102</v>
      </c>
      <c r="H266" s="37">
        <f>SUM(B266:G266)</f>
        <v/>
      </c>
      <c r="I266" s="25">
        <f>B266/$H266</f>
        <v/>
      </c>
      <c r="J266" s="25">
        <f>C266/$H266</f>
        <v/>
      </c>
      <c r="K266" s="25">
        <f>D266/$H266</f>
        <v/>
      </c>
      <c r="L266" s="25">
        <f>E266/$H266</f>
        <v/>
      </c>
      <c r="M266" s="25">
        <f>F266/$H266</f>
        <v/>
      </c>
      <c r="N266" s="25">
        <f>G266/$H266</f>
        <v/>
      </c>
      <c r="O266" s="25">
        <f>SUM(MMULT(I266:N266,'07 Annualised Inputs'!$D$7:$D$12))</f>
        <v/>
      </c>
      <c r="P266" s="25">
        <f>SQRT(SUMPRODUCT(MMULT(I266:N266,'07 Annualised Inputs'!$B$17:$G$22),I266:N266))</f>
        <v/>
      </c>
      <c r="Q266" s="37">
        <f>(O266-'02 Config'!$B$10)/P266</f>
        <v/>
      </c>
    </row>
    <row r="267">
      <c r="A267" s="12" t="n">
        <v>262</v>
      </c>
      <c r="B267" s="36" t="n">
        <v>0.08115400042389931</v>
      </c>
      <c r="C267" s="36" t="n">
        <v>0.01580555544013384</v>
      </c>
      <c r="D267" s="36" t="n">
        <v>0.4772006332829246</v>
      </c>
      <c r="E267" s="36" t="n">
        <v>0.4943145335346177</v>
      </c>
      <c r="F267" s="36" t="n">
        <v>0.4073623878629723</v>
      </c>
      <c r="G267" s="36" t="n">
        <v>0.5681673512913645</v>
      </c>
      <c r="H267" s="37">
        <f>SUM(B267:G267)</f>
        <v/>
      </c>
      <c r="I267" s="25">
        <f>B267/$H267</f>
        <v/>
      </c>
      <c r="J267" s="25">
        <f>C267/$H267</f>
        <v/>
      </c>
      <c r="K267" s="25">
        <f>D267/$H267</f>
        <v/>
      </c>
      <c r="L267" s="25">
        <f>E267/$H267</f>
        <v/>
      </c>
      <c r="M267" s="25">
        <f>F267/$H267</f>
        <v/>
      </c>
      <c r="N267" s="25">
        <f>G267/$H267</f>
        <v/>
      </c>
      <c r="O267" s="25">
        <f>SUM(MMULT(I267:N267,'07 Annualised Inputs'!$D$7:$D$12))</f>
        <v/>
      </c>
      <c r="P267" s="25">
        <f>SQRT(SUMPRODUCT(MMULT(I267:N267,'07 Annualised Inputs'!$B$17:$G$22),I267:N267))</f>
        <v/>
      </c>
      <c r="Q267" s="37">
        <f>(O267-'02 Config'!$B$10)/P267</f>
        <v/>
      </c>
    </row>
    <row r="268">
      <c r="A268" s="12" t="n">
        <v>263</v>
      </c>
      <c r="B268" s="36" t="n">
        <v>0.5521627033044271</v>
      </c>
      <c r="C268" s="36" t="n">
        <v>0.836613041032693</v>
      </c>
      <c r="D268" s="36" t="n">
        <v>0.1086571032622624</v>
      </c>
      <c r="E268" s="36" t="n">
        <v>0.2251776661055455</v>
      </c>
      <c r="F268" s="36" t="n">
        <v>0.7930049789596304</v>
      </c>
      <c r="G268" s="36" t="n">
        <v>0.8478368672236546</v>
      </c>
      <c r="H268" s="37">
        <f>SUM(B268:G268)</f>
        <v/>
      </c>
      <c r="I268" s="25">
        <f>B268/$H268</f>
        <v/>
      </c>
      <c r="J268" s="25">
        <f>C268/$H268</f>
        <v/>
      </c>
      <c r="K268" s="25">
        <f>D268/$H268</f>
        <v/>
      </c>
      <c r="L268" s="25">
        <f>E268/$H268</f>
        <v/>
      </c>
      <c r="M268" s="25">
        <f>F268/$H268</f>
        <v/>
      </c>
      <c r="N268" s="25">
        <f>G268/$H268</f>
        <v/>
      </c>
      <c r="O268" s="25">
        <f>SUM(MMULT(I268:N268,'07 Annualised Inputs'!$D$7:$D$12))</f>
        <v/>
      </c>
      <c r="P268" s="25">
        <f>SQRT(SUMPRODUCT(MMULT(I268:N268,'07 Annualised Inputs'!$B$17:$G$22),I268:N268))</f>
        <v/>
      </c>
      <c r="Q268" s="37">
        <f>(O268-'02 Config'!$B$10)/P268</f>
        <v/>
      </c>
    </row>
    <row r="269">
      <c r="A269" s="12" t="n">
        <v>264</v>
      </c>
      <c r="B269" s="36" t="n">
        <v>0.9948242136208678</v>
      </c>
      <c r="C269" s="36" t="n">
        <v>0.8729120163870842</v>
      </c>
      <c r="D269" s="36" t="n">
        <v>0.889899007072331</v>
      </c>
      <c r="E269" s="36" t="n">
        <v>0.3143479426299048</v>
      </c>
      <c r="F269" s="36" t="n">
        <v>0.4016616340093764</v>
      </c>
      <c r="G269" s="36" t="n">
        <v>0.268085104820551</v>
      </c>
      <c r="H269" s="37">
        <f>SUM(B269:G269)</f>
        <v/>
      </c>
      <c r="I269" s="25">
        <f>B269/$H269</f>
        <v/>
      </c>
      <c r="J269" s="25">
        <f>C269/$H269</f>
        <v/>
      </c>
      <c r="K269" s="25">
        <f>D269/$H269</f>
        <v/>
      </c>
      <c r="L269" s="25">
        <f>E269/$H269</f>
        <v/>
      </c>
      <c r="M269" s="25">
        <f>F269/$H269</f>
        <v/>
      </c>
      <c r="N269" s="25">
        <f>G269/$H269</f>
        <v/>
      </c>
      <c r="O269" s="25">
        <f>SUM(MMULT(I269:N269,'07 Annualised Inputs'!$D$7:$D$12))</f>
        <v/>
      </c>
      <c r="P269" s="25">
        <f>SQRT(SUMPRODUCT(MMULT(I269:N269,'07 Annualised Inputs'!$B$17:$G$22),I269:N269))</f>
        <v/>
      </c>
      <c r="Q269" s="37">
        <f>(O269-'02 Config'!$B$10)/P269</f>
        <v/>
      </c>
    </row>
    <row r="270">
      <c r="A270" s="12" t="n">
        <v>265</v>
      </c>
      <c r="B270" s="36" t="n">
        <v>0.6062993981927156</v>
      </c>
      <c r="C270" s="36" t="n">
        <v>0.9388053542070384</v>
      </c>
      <c r="D270" s="36" t="n">
        <v>0.3446408865116177</v>
      </c>
      <c r="E270" s="36" t="n">
        <v>0.5570017818814502</v>
      </c>
      <c r="F270" s="36" t="n">
        <v>0.2962996304534851</v>
      </c>
      <c r="G270" s="36" t="n">
        <v>0.1697999737727075</v>
      </c>
      <c r="H270" s="37">
        <f>SUM(B270:G270)</f>
        <v/>
      </c>
      <c r="I270" s="25">
        <f>B270/$H270</f>
        <v/>
      </c>
      <c r="J270" s="25">
        <f>C270/$H270</f>
        <v/>
      </c>
      <c r="K270" s="25">
        <f>D270/$H270</f>
        <v/>
      </c>
      <c r="L270" s="25">
        <f>E270/$H270</f>
        <v/>
      </c>
      <c r="M270" s="25">
        <f>F270/$H270</f>
        <v/>
      </c>
      <c r="N270" s="25">
        <f>G270/$H270</f>
        <v/>
      </c>
      <c r="O270" s="25">
        <f>SUM(MMULT(I270:N270,'07 Annualised Inputs'!$D$7:$D$12))</f>
        <v/>
      </c>
      <c r="P270" s="25">
        <f>SQRT(SUMPRODUCT(MMULT(I270:N270,'07 Annualised Inputs'!$B$17:$G$22),I270:N270))</f>
        <v/>
      </c>
      <c r="Q270" s="37">
        <f>(O270-'02 Config'!$B$10)/P270</f>
        <v/>
      </c>
    </row>
    <row r="271">
      <c r="A271" s="12" t="n">
        <v>266</v>
      </c>
      <c r="B271" s="36" t="n">
        <v>0.1951855298186557</v>
      </c>
      <c r="C271" s="36" t="n">
        <v>0.05794534453812994</v>
      </c>
      <c r="D271" s="36" t="n">
        <v>0.9492935230092574</v>
      </c>
      <c r="E271" s="36" t="n">
        <v>0.4028796085076296</v>
      </c>
      <c r="F271" s="36" t="n">
        <v>0.8341208920021081</v>
      </c>
      <c r="G271" s="36" t="n">
        <v>0.6813294726896911</v>
      </c>
      <c r="H271" s="37">
        <f>SUM(B271:G271)</f>
        <v/>
      </c>
      <c r="I271" s="25">
        <f>B271/$H271</f>
        <v/>
      </c>
      <c r="J271" s="25">
        <f>C271/$H271</f>
        <v/>
      </c>
      <c r="K271" s="25">
        <f>D271/$H271</f>
        <v/>
      </c>
      <c r="L271" s="25">
        <f>E271/$H271</f>
        <v/>
      </c>
      <c r="M271" s="25">
        <f>F271/$H271</f>
        <v/>
      </c>
      <c r="N271" s="25">
        <f>G271/$H271</f>
        <v/>
      </c>
      <c r="O271" s="25">
        <f>SUM(MMULT(I271:N271,'07 Annualised Inputs'!$D$7:$D$12))</f>
        <v/>
      </c>
      <c r="P271" s="25">
        <f>SQRT(SUMPRODUCT(MMULT(I271:N271,'07 Annualised Inputs'!$B$17:$G$22),I271:N271))</f>
        <v/>
      </c>
      <c r="Q271" s="37">
        <f>(O271-'02 Config'!$B$10)/P271</f>
        <v/>
      </c>
    </row>
    <row r="272">
      <c r="A272" s="12" t="n">
        <v>267</v>
      </c>
      <c r="B272" s="36" t="n">
        <v>0.1919211614110854</v>
      </c>
      <c r="C272" s="36" t="n">
        <v>0.1754622465790878</v>
      </c>
      <c r="D272" s="36" t="n">
        <v>0.8119882015105448</v>
      </c>
      <c r="E272" s="36" t="n">
        <v>0.2647117106195374</v>
      </c>
      <c r="F272" s="36" t="n">
        <v>0.9132851837019758</v>
      </c>
      <c r="G272" s="36" t="n">
        <v>0.1400554046894906</v>
      </c>
      <c r="H272" s="37">
        <f>SUM(B272:G272)</f>
        <v/>
      </c>
      <c r="I272" s="25">
        <f>B272/$H272</f>
        <v/>
      </c>
      <c r="J272" s="25">
        <f>C272/$H272</f>
        <v/>
      </c>
      <c r="K272" s="25">
        <f>D272/$H272</f>
        <v/>
      </c>
      <c r="L272" s="25">
        <f>E272/$H272</f>
        <v/>
      </c>
      <c r="M272" s="25">
        <f>F272/$H272</f>
        <v/>
      </c>
      <c r="N272" s="25">
        <f>G272/$H272</f>
        <v/>
      </c>
      <c r="O272" s="25">
        <f>SUM(MMULT(I272:N272,'07 Annualised Inputs'!$D$7:$D$12))</f>
        <v/>
      </c>
      <c r="P272" s="25">
        <f>SQRT(SUMPRODUCT(MMULT(I272:N272,'07 Annualised Inputs'!$B$17:$G$22),I272:N272))</f>
        <v/>
      </c>
      <c r="Q272" s="37">
        <f>(O272-'02 Config'!$B$10)/P272</f>
        <v/>
      </c>
    </row>
    <row r="273">
      <c r="A273" s="12" t="n">
        <v>268</v>
      </c>
      <c r="B273" s="36" t="n">
        <v>0.6777086144544695</v>
      </c>
      <c r="C273" s="36" t="n">
        <v>0.8144738760309339</v>
      </c>
      <c r="D273" s="36" t="n">
        <v>0.235256388415645</v>
      </c>
      <c r="E273" s="36" t="n">
        <v>0.276207363456566</v>
      </c>
      <c r="F273" s="36" t="n">
        <v>0.9645188861392017</v>
      </c>
      <c r="G273" s="36" t="n">
        <v>0.2645976053461583</v>
      </c>
      <c r="H273" s="37">
        <f>SUM(B273:G273)</f>
        <v/>
      </c>
      <c r="I273" s="25">
        <f>B273/$H273</f>
        <v/>
      </c>
      <c r="J273" s="25">
        <f>C273/$H273</f>
        <v/>
      </c>
      <c r="K273" s="25">
        <f>D273/$H273</f>
        <v/>
      </c>
      <c r="L273" s="25">
        <f>E273/$H273</f>
        <v/>
      </c>
      <c r="M273" s="25">
        <f>F273/$H273</f>
        <v/>
      </c>
      <c r="N273" s="25">
        <f>G273/$H273</f>
        <v/>
      </c>
      <c r="O273" s="25">
        <f>SUM(MMULT(I273:N273,'07 Annualised Inputs'!$D$7:$D$12))</f>
        <v/>
      </c>
      <c r="P273" s="25">
        <f>SQRT(SUMPRODUCT(MMULT(I273:N273,'07 Annualised Inputs'!$B$17:$G$22),I273:N273))</f>
        <v/>
      </c>
      <c r="Q273" s="37">
        <f>(O273-'02 Config'!$B$10)/P273</f>
        <v/>
      </c>
    </row>
    <row r="274">
      <c r="A274" s="12" t="n">
        <v>269</v>
      </c>
      <c r="B274" s="36" t="n">
        <v>0.4299570499000478</v>
      </c>
      <c r="C274" s="36" t="n">
        <v>0.4325155932423661</v>
      </c>
      <c r="D274" s="36" t="n">
        <v>0.2530347499296836</v>
      </c>
      <c r="E274" s="36" t="n">
        <v>0.7757910864370905</v>
      </c>
      <c r="F274" s="36" t="n">
        <v>0.7718493432291552</v>
      </c>
      <c r="G274" s="36" t="n">
        <v>0.3783180142237856</v>
      </c>
      <c r="H274" s="37">
        <f>SUM(B274:G274)</f>
        <v/>
      </c>
      <c r="I274" s="25">
        <f>B274/$H274</f>
        <v/>
      </c>
      <c r="J274" s="25">
        <f>C274/$H274</f>
        <v/>
      </c>
      <c r="K274" s="25">
        <f>D274/$H274</f>
        <v/>
      </c>
      <c r="L274" s="25">
        <f>E274/$H274</f>
        <v/>
      </c>
      <c r="M274" s="25">
        <f>F274/$H274</f>
        <v/>
      </c>
      <c r="N274" s="25">
        <f>G274/$H274</f>
        <v/>
      </c>
      <c r="O274" s="25">
        <f>SUM(MMULT(I274:N274,'07 Annualised Inputs'!$D$7:$D$12))</f>
        <v/>
      </c>
      <c r="P274" s="25">
        <f>SQRT(SUMPRODUCT(MMULT(I274:N274,'07 Annualised Inputs'!$B$17:$G$22),I274:N274))</f>
        <v/>
      </c>
      <c r="Q274" s="37">
        <f>(O274-'02 Config'!$B$10)/P274</f>
        <v/>
      </c>
    </row>
    <row r="275">
      <c r="A275" s="12" t="n">
        <v>270</v>
      </c>
      <c r="B275" s="36" t="n">
        <v>0.8351257910807337</v>
      </c>
      <c r="C275" s="36" t="n">
        <v>0.2130749343990024</v>
      </c>
      <c r="D275" s="36" t="n">
        <v>0.004305775667678646</v>
      </c>
      <c r="E275" s="36" t="n">
        <v>0.571167362055741</v>
      </c>
      <c r="F275" s="36" t="n">
        <v>0.9940777724523785</v>
      </c>
      <c r="G275" s="36" t="n">
        <v>0.0386443098268846</v>
      </c>
      <c r="H275" s="37">
        <f>SUM(B275:G275)</f>
        <v/>
      </c>
      <c r="I275" s="25">
        <f>B275/$H275</f>
        <v/>
      </c>
      <c r="J275" s="25">
        <f>C275/$H275</f>
        <v/>
      </c>
      <c r="K275" s="25">
        <f>D275/$H275</f>
        <v/>
      </c>
      <c r="L275" s="25">
        <f>E275/$H275</f>
        <v/>
      </c>
      <c r="M275" s="25">
        <f>F275/$H275</f>
        <v/>
      </c>
      <c r="N275" s="25">
        <f>G275/$H275</f>
        <v/>
      </c>
      <c r="O275" s="25">
        <f>SUM(MMULT(I275:N275,'07 Annualised Inputs'!$D$7:$D$12))</f>
        <v/>
      </c>
      <c r="P275" s="25">
        <f>SQRT(SUMPRODUCT(MMULT(I275:N275,'07 Annualised Inputs'!$B$17:$G$22),I275:N275))</f>
        <v/>
      </c>
      <c r="Q275" s="37">
        <f>(O275-'02 Config'!$B$10)/P275</f>
        <v/>
      </c>
    </row>
    <row r="276">
      <c r="A276" s="12" t="n">
        <v>271</v>
      </c>
      <c r="B276" s="36" t="n">
        <v>0.2079980737084606</v>
      </c>
      <c r="C276" s="36" t="n">
        <v>0.5189146424870842</v>
      </c>
      <c r="D276" s="36" t="n">
        <v>0.8099407364448706</v>
      </c>
      <c r="E276" s="36" t="n">
        <v>0.08904200507505322</v>
      </c>
      <c r="F276" s="36" t="n">
        <v>0.3952346537588943</v>
      </c>
      <c r="G276" s="36" t="n">
        <v>0.7470758006298863</v>
      </c>
      <c r="H276" s="37">
        <f>SUM(B276:G276)</f>
        <v/>
      </c>
      <c r="I276" s="25">
        <f>B276/$H276</f>
        <v/>
      </c>
      <c r="J276" s="25">
        <f>C276/$H276</f>
        <v/>
      </c>
      <c r="K276" s="25">
        <f>D276/$H276</f>
        <v/>
      </c>
      <c r="L276" s="25">
        <f>E276/$H276</f>
        <v/>
      </c>
      <c r="M276" s="25">
        <f>F276/$H276</f>
        <v/>
      </c>
      <c r="N276" s="25">
        <f>G276/$H276</f>
        <v/>
      </c>
      <c r="O276" s="25">
        <f>SUM(MMULT(I276:N276,'07 Annualised Inputs'!$D$7:$D$12))</f>
        <v/>
      </c>
      <c r="P276" s="25">
        <f>SQRT(SUMPRODUCT(MMULT(I276:N276,'07 Annualised Inputs'!$B$17:$G$22),I276:N276))</f>
        <v/>
      </c>
      <c r="Q276" s="37">
        <f>(O276-'02 Config'!$B$10)/P276</f>
        <v/>
      </c>
    </row>
    <row r="277">
      <c r="A277" s="12" t="n">
        <v>272</v>
      </c>
      <c r="B277" s="36" t="n">
        <v>0.3715432084063616</v>
      </c>
      <c r="C277" s="36" t="n">
        <v>0.188836420475639</v>
      </c>
      <c r="D277" s="36" t="n">
        <v>0.1954958273965873</v>
      </c>
      <c r="E277" s="36" t="n">
        <v>0.4100487869149942</v>
      </c>
      <c r="F277" s="36" t="n">
        <v>0.4794170748058911</v>
      </c>
      <c r="G277" s="36" t="n">
        <v>0.861814417816014</v>
      </c>
      <c r="H277" s="37">
        <f>SUM(B277:G277)</f>
        <v/>
      </c>
      <c r="I277" s="25">
        <f>B277/$H277</f>
        <v/>
      </c>
      <c r="J277" s="25">
        <f>C277/$H277</f>
        <v/>
      </c>
      <c r="K277" s="25">
        <f>D277/$H277</f>
        <v/>
      </c>
      <c r="L277" s="25">
        <f>E277/$H277</f>
        <v/>
      </c>
      <c r="M277" s="25">
        <f>F277/$H277</f>
        <v/>
      </c>
      <c r="N277" s="25">
        <f>G277/$H277</f>
        <v/>
      </c>
      <c r="O277" s="25">
        <f>SUM(MMULT(I277:N277,'07 Annualised Inputs'!$D$7:$D$12))</f>
        <v/>
      </c>
      <c r="P277" s="25">
        <f>SQRT(SUMPRODUCT(MMULT(I277:N277,'07 Annualised Inputs'!$B$17:$G$22),I277:N277))</f>
        <v/>
      </c>
      <c r="Q277" s="37">
        <f>(O277-'02 Config'!$B$10)/P277</f>
        <v/>
      </c>
    </row>
    <row r="278">
      <c r="A278" s="12" t="n">
        <v>273</v>
      </c>
      <c r="B278" s="36" t="n">
        <v>0.6422524185679935</v>
      </c>
      <c r="C278" s="36" t="n">
        <v>0.6904019545155015</v>
      </c>
      <c r="D278" s="36" t="n">
        <v>0.982987171535907</v>
      </c>
      <c r="E278" s="36" t="n">
        <v>0.4118434403009738</v>
      </c>
      <c r="F278" s="36" t="n">
        <v>0.4033544032491283</v>
      </c>
      <c r="G278" s="36" t="n">
        <v>0.9233469677258123</v>
      </c>
      <c r="H278" s="37">
        <f>SUM(B278:G278)</f>
        <v/>
      </c>
      <c r="I278" s="25">
        <f>B278/$H278</f>
        <v/>
      </c>
      <c r="J278" s="25">
        <f>C278/$H278</f>
        <v/>
      </c>
      <c r="K278" s="25">
        <f>D278/$H278</f>
        <v/>
      </c>
      <c r="L278" s="25">
        <f>E278/$H278</f>
        <v/>
      </c>
      <c r="M278" s="25">
        <f>F278/$H278</f>
        <v/>
      </c>
      <c r="N278" s="25">
        <f>G278/$H278</f>
        <v/>
      </c>
      <c r="O278" s="25">
        <f>SUM(MMULT(I278:N278,'07 Annualised Inputs'!$D$7:$D$12))</f>
        <v/>
      </c>
      <c r="P278" s="25">
        <f>SQRT(SUMPRODUCT(MMULT(I278:N278,'07 Annualised Inputs'!$B$17:$G$22),I278:N278))</f>
        <v/>
      </c>
      <c r="Q278" s="37">
        <f>(O278-'02 Config'!$B$10)/P278</f>
        <v/>
      </c>
    </row>
    <row r="279">
      <c r="A279" s="12" t="n">
        <v>274</v>
      </c>
      <c r="B279" s="36" t="n">
        <v>0.2458755870050586</v>
      </c>
      <c r="C279" s="36" t="n">
        <v>0.7298152463028666</v>
      </c>
      <c r="D279" s="36" t="n">
        <v>0.7545731382181347</v>
      </c>
      <c r="E279" s="36" t="n">
        <v>0.09778799744544309</v>
      </c>
      <c r="F279" s="36" t="n">
        <v>0.468231405693584</v>
      </c>
      <c r="G279" s="36" t="n">
        <v>0.200562471321554</v>
      </c>
      <c r="H279" s="37">
        <f>SUM(B279:G279)</f>
        <v/>
      </c>
      <c r="I279" s="25">
        <f>B279/$H279</f>
        <v/>
      </c>
      <c r="J279" s="25">
        <f>C279/$H279</f>
        <v/>
      </c>
      <c r="K279" s="25">
        <f>D279/$H279</f>
        <v/>
      </c>
      <c r="L279" s="25">
        <f>E279/$H279</f>
        <v/>
      </c>
      <c r="M279" s="25">
        <f>F279/$H279</f>
        <v/>
      </c>
      <c r="N279" s="25">
        <f>G279/$H279</f>
        <v/>
      </c>
      <c r="O279" s="25">
        <f>SUM(MMULT(I279:N279,'07 Annualised Inputs'!$D$7:$D$12))</f>
        <v/>
      </c>
      <c r="P279" s="25">
        <f>SQRT(SUMPRODUCT(MMULT(I279:N279,'07 Annualised Inputs'!$B$17:$G$22),I279:N279))</f>
        <v/>
      </c>
      <c r="Q279" s="37">
        <f>(O279-'02 Config'!$B$10)/P279</f>
        <v/>
      </c>
    </row>
    <row r="280">
      <c r="A280" s="12" t="n">
        <v>275</v>
      </c>
      <c r="B280" s="36" t="n">
        <v>0.1853752728024857</v>
      </c>
      <c r="C280" s="36" t="n">
        <v>0.4638281104628762</v>
      </c>
      <c r="D280" s="36" t="n">
        <v>0.289429707508065</v>
      </c>
      <c r="E280" s="36" t="n">
        <v>0.7960604476258709</v>
      </c>
      <c r="F280" s="36" t="n">
        <v>0.9076048913904824</v>
      </c>
      <c r="G280" s="36" t="n">
        <v>0.8027206052883656</v>
      </c>
      <c r="H280" s="37">
        <f>SUM(B280:G280)</f>
        <v/>
      </c>
      <c r="I280" s="25">
        <f>B280/$H280</f>
        <v/>
      </c>
      <c r="J280" s="25">
        <f>C280/$H280</f>
        <v/>
      </c>
      <c r="K280" s="25">
        <f>D280/$H280</f>
        <v/>
      </c>
      <c r="L280" s="25">
        <f>E280/$H280</f>
        <v/>
      </c>
      <c r="M280" s="25">
        <f>F280/$H280</f>
        <v/>
      </c>
      <c r="N280" s="25">
        <f>G280/$H280</f>
        <v/>
      </c>
      <c r="O280" s="25">
        <f>SUM(MMULT(I280:N280,'07 Annualised Inputs'!$D$7:$D$12))</f>
        <v/>
      </c>
      <c r="P280" s="25">
        <f>SQRT(SUMPRODUCT(MMULT(I280:N280,'07 Annualised Inputs'!$B$17:$G$22),I280:N280))</f>
        <v/>
      </c>
      <c r="Q280" s="37">
        <f>(O280-'02 Config'!$B$10)/P280</f>
        <v/>
      </c>
    </row>
    <row r="281">
      <c r="A281" s="12" t="n">
        <v>276</v>
      </c>
      <c r="B281" s="36" t="n">
        <v>0.2660308726216652</v>
      </c>
      <c r="C281" s="36" t="n">
        <v>0.2741343936886084</v>
      </c>
      <c r="D281" s="36" t="n">
        <v>0.2547283501174674</v>
      </c>
      <c r="E281" s="36" t="n">
        <v>0.1350380960562361</v>
      </c>
      <c r="F281" s="36" t="n">
        <v>0.9437983681037112</v>
      </c>
      <c r="G281" s="36" t="n">
        <v>0.4020477981570694</v>
      </c>
      <c r="H281" s="37">
        <f>SUM(B281:G281)</f>
        <v/>
      </c>
      <c r="I281" s="25">
        <f>B281/$H281</f>
        <v/>
      </c>
      <c r="J281" s="25">
        <f>C281/$H281</f>
        <v/>
      </c>
      <c r="K281" s="25">
        <f>D281/$H281</f>
        <v/>
      </c>
      <c r="L281" s="25">
        <f>E281/$H281</f>
        <v/>
      </c>
      <c r="M281" s="25">
        <f>F281/$H281</f>
        <v/>
      </c>
      <c r="N281" s="25">
        <f>G281/$H281</f>
        <v/>
      </c>
      <c r="O281" s="25">
        <f>SUM(MMULT(I281:N281,'07 Annualised Inputs'!$D$7:$D$12))</f>
        <v/>
      </c>
      <c r="P281" s="25">
        <f>SQRT(SUMPRODUCT(MMULT(I281:N281,'07 Annualised Inputs'!$B$17:$G$22),I281:N281))</f>
        <v/>
      </c>
      <c r="Q281" s="37">
        <f>(O281-'02 Config'!$B$10)/P281</f>
        <v/>
      </c>
    </row>
    <row r="282">
      <c r="A282" s="12" t="n">
        <v>277</v>
      </c>
      <c r="B282" s="36" t="n">
        <v>0.2246894745458737</v>
      </c>
      <c r="C282" s="36" t="n">
        <v>0.8466710505082435</v>
      </c>
      <c r="D282" s="36" t="n">
        <v>0.3991953026577905</v>
      </c>
      <c r="E282" s="36" t="n">
        <v>0.03511681110966658</v>
      </c>
      <c r="F282" s="36" t="n">
        <v>0.1619415702496312</v>
      </c>
      <c r="G282" s="36" t="n">
        <v>0.63925034035617</v>
      </c>
      <c r="H282" s="37">
        <f>SUM(B282:G282)</f>
        <v/>
      </c>
      <c r="I282" s="25">
        <f>B282/$H282</f>
        <v/>
      </c>
      <c r="J282" s="25">
        <f>C282/$H282</f>
        <v/>
      </c>
      <c r="K282" s="25">
        <f>D282/$H282</f>
        <v/>
      </c>
      <c r="L282" s="25">
        <f>E282/$H282</f>
        <v/>
      </c>
      <c r="M282" s="25">
        <f>F282/$H282</f>
        <v/>
      </c>
      <c r="N282" s="25">
        <f>G282/$H282</f>
        <v/>
      </c>
      <c r="O282" s="25">
        <f>SUM(MMULT(I282:N282,'07 Annualised Inputs'!$D$7:$D$12))</f>
        <v/>
      </c>
      <c r="P282" s="25">
        <f>SQRT(SUMPRODUCT(MMULT(I282:N282,'07 Annualised Inputs'!$B$17:$G$22),I282:N282))</f>
        <v/>
      </c>
      <c r="Q282" s="37">
        <f>(O282-'02 Config'!$B$10)/P282</f>
        <v/>
      </c>
    </row>
    <row r="283">
      <c r="A283" s="12" t="n">
        <v>278</v>
      </c>
      <c r="B283" s="36" t="n">
        <v>0.782905274171724</v>
      </c>
      <c r="C283" s="36" t="n">
        <v>0.2109343884887129</v>
      </c>
      <c r="D283" s="36" t="n">
        <v>0.9173955892661422</v>
      </c>
      <c r="E283" s="36" t="n">
        <v>0.8509971200521644</v>
      </c>
      <c r="F283" s="36" t="n">
        <v>0.8483807540610809</v>
      </c>
      <c r="G283" s="36" t="n">
        <v>0.2276611467992141</v>
      </c>
      <c r="H283" s="37">
        <f>SUM(B283:G283)</f>
        <v/>
      </c>
      <c r="I283" s="25">
        <f>B283/$H283</f>
        <v/>
      </c>
      <c r="J283" s="25">
        <f>C283/$H283</f>
        <v/>
      </c>
      <c r="K283" s="25">
        <f>D283/$H283</f>
        <v/>
      </c>
      <c r="L283" s="25">
        <f>E283/$H283</f>
        <v/>
      </c>
      <c r="M283" s="25">
        <f>F283/$H283</f>
        <v/>
      </c>
      <c r="N283" s="25">
        <f>G283/$H283</f>
        <v/>
      </c>
      <c r="O283" s="25">
        <f>SUM(MMULT(I283:N283,'07 Annualised Inputs'!$D$7:$D$12))</f>
        <v/>
      </c>
      <c r="P283" s="25">
        <f>SQRT(SUMPRODUCT(MMULT(I283:N283,'07 Annualised Inputs'!$B$17:$G$22),I283:N283))</f>
        <v/>
      </c>
      <c r="Q283" s="37">
        <f>(O283-'02 Config'!$B$10)/P283</f>
        <v/>
      </c>
    </row>
    <row r="284">
      <c r="A284" s="12" t="n">
        <v>279</v>
      </c>
      <c r="B284" s="36" t="n">
        <v>0.05053598865005771</v>
      </c>
      <c r="C284" s="36" t="n">
        <v>0.8674235394825837</v>
      </c>
      <c r="D284" s="36" t="n">
        <v>0.3058002287385674</v>
      </c>
      <c r="E284" s="36" t="n">
        <v>0.6189163811735259</v>
      </c>
      <c r="F284" s="36" t="n">
        <v>0.7599668837007301</v>
      </c>
      <c r="G284" s="36" t="n">
        <v>0.1282932585111202</v>
      </c>
      <c r="H284" s="37">
        <f>SUM(B284:G284)</f>
        <v/>
      </c>
      <c r="I284" s="25">
        <f>B284/$H284</f>
        <v/>
      </c>
      <c r="J284" s="25">
        <f>C284/$H284</f>
        <v/>
      </c>
      <c r="K284" s="25">
        <f>D284/$H284</f>
        <v/>
      </c>
      <c r="L284" s="25">
        <f>E284/$H284</f>
        <v/>
      </c>
      <c r="M284" s="25">
        <f>F284/$H284</f>
        <v/>
      </c>
      <c r="N284" s="25">
        <f>G284/$H284</f>
        <v/>
      </c>
      <c r="O284" s="25">
        <f>SUM(MMULT(I284:N284,'07 Annualised Inputs'!$D$7:$D$12))</f>
        <v/>
      </c>
      <c r="P284" s="25">
        <f>SQRT(SUMPRODUCT(MMULT(I284:N284,'07 Annualised Inputs'!$B$17:$G$22),I284:N284))</f>
        <v/>
      </c>
      <c r="Q284" s="37">
        <f>(O284-'02 Config'!$B$10)/P284</f>
        <v/>
      </c>
    </row>
    <row r="285">
      <c r="A285" s="12" t="n">
        <v>280</v>
      </c>
      <c r="B285" s="36" t="n">
        <v>0.7808383545190479</v>
      </c>
      <c r="C285" s="36" t="n">
        <v>0.9385114589610658</v>
      </c>
      <c r="D285" s="36" t="n">
        <v>0.728374965746409</v>
      </c>
      <c r="E285" s="36" t="n">
        <v>0.4412227484805581</v>
      </c>
      <c r="F285" s="36" t="n">
        <v>0.8766781387517029</v>
      </c>
      <c r="G285" s="36" t="n">
        <v>0.527457630072559</v>
      </c>
      <c r="H285" s="37">
        <f>SUM(B285:G285)</f>
        <v/>
      </c>
      <c r="I285" s="25">
        <f>B285/$H285</f>
        <v/>
      </c>
      <c r="J285" s="25">
        <f>C285/$H285</f>
        <v/>
      </c>
      <c r="K285" s="25">
        <f>D285/$H285</f>
        <v/>
      </c>
      <c r="L285" s="25">
        <f>E285/$H285</f>
        <v/>
      </c>
      <c r="M285" s="25">
        <f>F285/$H285</f>
        <v/>
      </c>
      <c r="N285" s="25">
        <f>G285/$H285</f>
        <v/>
      </c>
      <c r="O285" s="25">
        <f>SUM(MMULT(I285:N285,'07 Annualised Inputs'!$D$7:$D$12))</f>
        <v/>
      </c>
      <c r="P285" s="25">
        <f>SQRT(SUMPRODUCT(MMULT(I285:N285,'07 Annualised Inputs'!$B$17:$G$22),I285:N285))</f>
        <v/>
      </c>
      <c r="Q285" s="37">
        <f>(O285-'02 Config'!$B$10)/P285</f>
        <v/>
      </c>
    </row>
    <row r="286">
      <c r="A286" s="12" t="n">
        <v>281</v>
      </c>
      <c r="B286" s="36" t="n">
        <v>0.7447709278167541</v>
      </c>
      <c r="C286" s="36" t="n">
        <v>0.8205059438586041</v>
      </c>
      <c r="D286" s="36" t="n">
        <v>0.7493528616990059</v>
      </c>
      <c r="E286" s="36" t="n">
        <v>0.287854876048154</v>
      </c>
      <c r="F286" s="36" t="n">
        <v>0.1178439009058311</v>
      </c>
      <c r="G286" s="36" t="n">
        <v>0.2383385293620601</v>
      </c>
      <c r="H286" s="37">
        <f>SUM(B286:G286)</f>
        <v/>
      </c>
      <c r="I286" s="25">
        <f>B286/$H286</f>
        <v/>
      </c>
      <c r="J286" s="25">
        <f>C286/$H286</f>
        <v/>
      </c>
      <c r="K286" s="25">
        <f>D286/$H286</f>
        <v/>
      </c>
      <c r="L286" s="25">
        <f>E286/$H286</f>
        <v/>
      </c>
      <c r="M286" s="25">
        <f>F286/$H286</f>
        <v/>
      </c>
      <c r="N286" s="25">
        <f>G286/$H286</f>
        <v/>
      </c>
      <c r="O286" s="25">
        <f>SUM(MMULT(I286:N286,'07 Annualised Inputs'!$D$7:$D$12))</f>
        <v/>
      </c>
      <c r="P286" s="25">
        <f>SQRT(SUMPRODUCT(MMULT(I286:N286,'07 Annualised Inputs'!$B$17:$G$22),I286:N286))</f>
        <v/>
      </c>
      <c r="Q286" s="37">
        <f>(O286-'02 Config'!$B$10)/P286</f>
        <v/>
      </c>
    </row>
    <row r="287">
      <c r="A287" s="12" t="n">
        <v>282</v>
      </c>
      <c r="B287" s="36" t="n">
        <v>0.5028749369803532</v>
      </c>
      <c r="C287" s="36" t="n">
        <v>0.5052769222930958</v>
      </c>
      <c r="D287" s="36" t="n">
        <v>0.5826443493145376</v>
      </c>
      <c r="E287" s="36" t="n">
        <v>0.3951018375478909</v>
      </c>
      <c r="F287" s="36" t="n">
        <v>0.7868913814500277</v>
      </c>
      <c r="G287" s="36" t="n">
        <v>0.9131537503472078</v>
      </c>
      <c r="H287" s="37">
        <f>SUM(B287:G287)</f>
        <v/>
      </c>
      <c r="I287" s="25">
        <f>B287/$H287</f>
        <v/>
      </c>
      <c r="J287" s="25">
        <f>C287/$H287</f>
        <v/>
      </c>
      <c r="K287" s="25">
        <f>D287/$H287</f>
        <v/>
      </c>
      <c r="L287" s="25">
        <f>E287/$H287</f>
        <v/>
      </c>
      <c r="M287" s="25">
        <f>F287/$H287</f>
        <v/>
      </c>
      <c r="N287" s="25">
        <f>G287/$H287</f>
        <v/>
      </c>
      <c r="O287" s="25">
        <f>SUM(MMULT(I287:N287,'07 Annualised Inputs'!$D$7:$D$12))</f>
        <v/>
      </c>
      <c r="P287" s="25">
        <f>SQRT(SUMPRODUCT(MMULT(I287:N287,'07 Annualised Inputs'!$B$17:$G$22),I287:N287))</f>
        <v/>
      </c>
      <c r="Q287" s="37">
        <f>(O287-'02 Config'!$B$10)/P287</f>
        <v/>
      </c>
    </row>
    <row r="288">
      <c r="A288" s="12" t="n">
        <v>283</v>
      </c>
      <c r="B288" s="36" t="n">
        <v>0.2467250534794713</v>
      </c>
      <c r="C288" s="36" t="n">
        <v>0.736523217701888</v>
      </c>
      <c r="D288" s="36" t="n">
        <v>0.6779718525450447</v>
      </c>
      <c r="E288" s="36" t="n">
        <v>0.5230904992793149</v>
      </c>
      <c r="F288" s="36" t="n">
        <v>0.1885302338741602</v>
      </c>
      <c r="G288" s="36" t="n">
        <v>0.7952322585827095</v>
      </c>
      <c r="H288" s="37">
        <f>SUM(B288:G288)</f>
        <v/>
      </c>
      <c r="I288" s="25">
        <f>B288/$H288</f>
        <v/>
      </c>
      <c r="J288" s="25">
        <f>C288/$H288</f>
        <v/>
      </c>
      <c r="K288" s="25">
        <f>D288/$H288</f>
        <v/>
      </c>
      <c r="L288" s="25">
        <f>E288/$H288</f>
        <v/>
      </c>
      <c r="M288" s="25">
        <f>F288/$H288</f>
        <v/>
      </c>
      <c r="N288" s="25">
        <f>G288/$H288</f>
        <v/>
      </c>
      <c r="O288" s="25">
        <f>SUM(MMULT(I288:N288,'07 Annualised Inputs'!$D$7:$D$12))</f>
        <v/>
      </c>
      <c r="P288" s="25">
        <f>SQRT(SUMPRODUCT(MMULT(I288:N288,'07 Annualised Inputs'!$B$17:$G$22),I288:N288))</f>
        <v/>
      </c>
      <c r="Q288" s="37">
        <f>(O288-'02 Config'!$B$10)/P288</f>
        <v/>
      </c>
    </row>
    <row r="289">
      <c r="A289" s="12" t="n">
        <v>284</v>
      </c>
      <c r="B289" s="36" t="n">
        <v>0.9606262856288327</v>
      </c>
      <c r="C289" s="36" t="n">
        <v>0.7218363322336134</v>
      </c>
      <c r="D289" s="36" t="n">
        <v>0.917859996625734</v>
      </c>
      <c r="E289" s="36" t="n">
        <v>0.9841852649479997</v>
      </c>
      <c r="F289" s="36" t="n">
        <v>0.3520506742392382</v>
      </c>
      <c r="G289" s="36" t="n">
        <v>0.6382235529263369</v>
      </c>
      <c r="H289" s="37">
        <f>SUM(B289:G289)</f>
        <v/>
      </c>
      <c r="I289" s="25">
        <f>B289/$H289</f>
        <v/>
      </c>
      <c r="J289" s="25">
        <f>C289/$H289</f>
        <v/>
      </c>
      <c r="K289" s="25">
        <f>D289/$H289</f>
        <v/>
      </c>
      <c r="L289" s="25">
        <f>E289/$H289</f>
        <v/>
      </c>
      <c r="M289" s="25">
        <f>F289/$H289</f>
        <v/>
      </c>
      <c r="N289" s="25">
        <f>G289/$H289</f>
        <v/>
      </c>
      <c r="O289" s="25">
        <f>SUM(MMULT(I289:N289,'07 Annualised Inputs'!$D$7:$D$12))</f>
        <v/>
      </c>
      <c r="P289" s="25">
        <f>SQRT(SUMPRODUCT(MMULT(I289:N289,'07 Annualised Inputs'!$B$17:$G$22),I289:N289))</f>
        <v/>
      </c>
      <c r="Q289" s="37">
        <f>(O289-'02 Config'!$B$10)/P289</f>
        <v/>
      </c>
    </row>
    <row r="290">
      <c r="A290" s="12" t="n">
        <v>285</v>
      </c>
      <c r="B290" s="36" t="n">
        <v>0.473932737638078</v>
      </c>
      <c r="C290" s="36" t="n">
        <v>0.9866287468632301</v>
      </c>
      <c r="D290" s="36" t="n">
        <v>0.09380782400772492</v>
      </c>
      <c r="E290" s="36" t="n">
        <v>0.4123749142972246</v>
      </c>
      <c r="F290" s="36" t="n">
        <v>0.8755390445272362</v>
      </c>
      <c r="G290" s="36" t="n">
        <v>0.2840513105265154</v>
      </c>
      <c r="H290" s="37">
        <f>SUM(B290:G290)</f>
        <v/>
      </c>
      <c r="I290" s="25">
        <f>B290/$H290</f>
        <v/>
      </c>
      <c r="J290" s="25">
        <f>C290/$H290</f>
        <v/>
      </c>
      <c r="K290" s="25">
        <f>D290/$H290</f>
        <v/>
      </c>
      <c r="L290" s="25">
        <f>E290/$H290</f>
        <v/>
      </c>
      <c r="M290" s="25">
        <f>F290/$H290</f>
        <v/>
      </c>
      <c r="N290" s="25">
        <f>G290/$H290</f>
        <v/>
      </c>
      <c r="O290" s="25">
        <f>SUM(MMULT(I290:N290,'07 Annualised Inputs'!$D$7:$D$12))</f>
        <v/>
      </c>
      <c r="P290" s="25">
        <f>SQRT(SUMPRODUCT(MMULT(I290:N290,'07 Annualised Inputs'!$B$17:$G$22),I290:N290))</f>
        <v/>
      </c>
      <c r="Q290" s="37">
        <f>(O290-'02 Config'!$B$10)/P290</f>
        <v/>
      </c>
    </row>
    <row r="291">
      <c r="A291" s="12" t="n">
        <v>286</v>
      </c>
      <c r="B291" s="36" t="n">
        <v>0.7877928506388727</v>
      </c>
      <c r="C291" s="36" t="n">
        <v>0.3827831627802557</v>
      </c>
      <c r="D291" s="36" t="n">
        <v>0.9799785398901583</v>
      </c>
      <c r="E291" s="36" t="n">
        <v>0.8835298364237075</v>
      </c>
      <c r="F291" s="36" t="n">
        <v>0.3013203576626153</v>
      </c>
      <c r="G291" s="36" t="n">
        <v>0.7701931135378551</v>
      </c>
      <c r="H291" s="37">
        <f>SUM(B291:G291)</f>
        <v/>
      </c>
      <c r="I291" s="25">
        <f>B291/$H291</f>
        <v/>
      </c>
      <c r="J291" s="25">
        <f>C291/$H291</f>
        <v/>
      </c>
      <c r="K291" s="25">
        <f>D291/$H291</f>
        <v/>
      </c>
      <c r="L291" s="25">
        <f>E291/$H291</f>
        <v/>
      </c>
      <c r="M291" s="25">
        <f>F291/$H291</f>
        <v/>
      </c>
      <c r="N291" s="25">
        <f>G291/$H291</f>
        <v/>
      </c>
      <c r="O291" s="25">
        <f>SUM(MMULT(I291:N291,'07 Annualised Inputs'!$D$7:$D$12))</f>
        <v/>
      </c>
      <c r="P291" s="25">
        <f>SQRT(SUMPRODUCT(MMULT(I291:N291,'07 Annualised Inputs'!$B$17:$G$22),I291:N291))</f>
        <v/>
      </c>
      <c r="Q291" s="37">
        <f>(O291-'02 Config'!$B$10)/P291</f>
        <v/>
      </c>
    </row>
    <row r="292">
      <c r="A292" s="12" t="n">
        <v>287</v>
      </c>
      <c r="B292" s="36" t="n">
        <v>0.3368565438332687</v>
      </c>
      <c r="C292" s="36" t="n">
        <v>0.6063628402155351</v>
      </c>
      <c r="D292" s="36" t="n">
        <v>0.6584807683932919</v>
      </c>
      <c r="E292" s="36" t="n">
        <v>0.8295954090857049</v>
      </c>
      <c r="F292" s="36" t="n">
        <v>0.02445084088201488</v>
      </c>
      <c r="G292" s="36" t="n">
        <v>0.2201578911522997</v>
      </c>
      <c r="H292" s="37">
        <f>SUM(B292:G292)</f>
        <v/>
      </c>
      <c r="I292" s="25">
        <f>B292/$H292</f>
        <v/>
      </c>
      <c r="J292" s="25">
        <f>C292/$H292</f>
        <v/>
      </c>
      <c r="K292" s="25">
        <f>D292/$H292</f>
        <v/>
      </c>
      <c r="L292" s="25">
        <f>E292/$H292</f>
        <v/>
      </c>
      <c r="M292" s="25">
        <f>F292/$H292</f>
        <v/>
      </c>
      <c r="N292" s="25">
        <f>G292/$H292</f>
        <v/>
      </c>
      <c r="O292" s="25">
        <f>SUM(MMULT(I292:N292,'07 Annualised Inputs'!$D$7:$D$12))</f>
        <v/>
      </c>
      <c r="P292" s="25">
        <f>SQRT(SUMPRODUCT(MMULT(I292:N292,'07 Annualised Inputs'!$B$17:$G$22),I292:N292))</f>
        <v/>
      </c>
      <c r="Q292" s="37">
        <f>(O292-'02 Config'!$B$10)/P292</f>
        <v/>
      </c>
    </row>
    <row r="293">
      <c r="A293" s="12" t="n">
        <v>288</v>
      </c>
      <c r="B293" s="36" t="n">
        <v>0.7119178105885787</v>
      </c>
      <c r="C293" s="36" t="n">
        <v>0.5635232369695373</v>
      </c>
      <c r="D293" s="36" t="n">
        <v>0.4956050782011431</v>
      </c>
      <c r="E293" s="36" t="n">
        <v>0.05520995670798046</v>
      </c>
      <c r="F293" s="36" t="n">
        <v>0.3482758834614562</v>
      </c>
      <c r="G293" s="36" t="n">
        <v>0.8651002319106483</v>
      </c>
      <c r="H293" s="37">
        <f>SUM(B293:G293)</f>
        <v/>
      </c>
      <c r="I293" s="25">
        <f>B293/$H293</f>
        <v/>
      </c>
      <c r="J293" s="25">
        <f>C293/$H293</f>
        <v/>
      </c>
      <c r="K293" s="25">
        <f>D293/$H293</f>
        <v/>
      </c>
      <c r="L293" s="25">
        <f>E293/$H293</f>
        <v/>
      </c>
      <c r="M293" s="25">
        <f>F293/$H293</f>
        <v/>
      </c>
      <c r="N293" s="25">
        <f>G293/$H293</f>
        <v/>
      </c>
      <c r="O293" s="25">
        <f>SUM(MMULT(I293:N293,'07 Annualised Inputs'!$D$7:$D$12))</f>
        <v/>
      </c>
      <c r="P293" s="25">
        <f>SQRT(SUMPRODUCT(MMULT(I293:N293,'07 Annualised Inputs'!$B$17:$G$22),I293:N293))</f>
        <v/>
      </c>
      <c r="Q293" s="37">
        <f>(O293-'02 Config'!$B$10)/P293</f>
        <v/>
      </c>
    </row>
    <row r="294">
      <c r="A294" s="12" t="n">
        <v>289</v>
      </c>
      <c r="B294" s="36" t="n">
        <v>0.03089283703603218</v>
      </c>
      <c r="C294" s="36" t="n">
        <v>0.3964362353648121</v>
      </c>
      <c r="D294" s="36" t="n">
        <v>0.9451482876707726</v>
      </c>
      <c r="E294" s="36" t="n">
        <v>0.05088073454501463</v>
      </c>
      <c r="F294" s="36" t="n">
        <v>0.7497057510446368</v>
      </c>
      <c r="G294" s="36" t="n">
        <v>0.2576126161820365</v>
      </c>
      <c r="H294" s="37">
        <f>SUM(B294:G294)</f>
        <v/>
      </c>
      <c r="I294" s="25">
        <f>B294/$H294</f>
        <v/>
      </c>
      <c r="J294" s="25">
        <f>C294/$H294</f>
        <v/>
      </c>
      <c r="K294" s="25">
        <f>D294/$H294</f>
        <v/>
      </c>
      <c r="L294" s="25">
        <f>E294/$H294</f>
        <v/>
      </c>
      <c r="M294" s="25">
        <f>F294/$H294</f>
        <v/>
      </c>
      <c r="N294" s="25">
        <f>G294/$H294</f>
        <v/>
      </c>
      <c r="O294" s="25">
        <f>SUM(MMULT(I294:N294,'07 Annualised Inputs'!$D$7:$D$12))</f>
        <v/>
      </c>
      <c r="P294" s="25">
        <f>SQRT(SUMPRODUCT(MMULT(I294:N294,'07 Annualised Inputs'!$B$17:$G$22),I294:N294))</f>
        <v/>
      </c>
      <c r="Q294" s="37">
        <f>(O294-'02 Config'!$B$10)/P294</f>
        <v/>
      </c>
    </row>
    <row r="295">
      <c r="A295" s="12" t="n">
        <v>290</v>
      </c>
      <c r="B295" s="36" t="n">
        <v>0.8666088321536725</v>
      </c>
      <c r="C295" s="36" t="n">
        <v>0.7460679789593651</v>
      </c>
      <c r="D295" s="36" t="n">
        <v>0.8857051708583629</v>
      </c>
      <c r="E295" s="36" t="n">
        <v>0.215924790431266</v>
      </c>
      <c r="F295" s="36" t="n">
        <v>0.5312927548186049</v>
      </c>
      <c r="G295" s="36" t="n">
        <v>0.7792699435748007</v>
      </c>
      <c r="H295" s="37">
        <f>SUM(B295:G295)</f>
        <v/>
      </c>
      <c r="I295" s="25">
        <f>B295/$H295</f>
        <v/>
      </c>
      <c r="J295" s="25">
        <f>C295/$H295</f>
        <v/>
      </c>
      <c r="K295" s="25">
        <f>D295/$H295</f>
        <v/>
      </c>
      <c r="L295" s="25">
        <f>E295/$H295</f>
        <v/>
      </c>
      <c r="M295" s="25">
        <f>F295/$H295</f>
        <v/>
      </c>
      <c r="N295" s="25">
        <f>G295/$H295</f>
        <v/>
      </c>
      <c r="O295" s="25">
        <f>SUM(MMULT(I295:N295,'07 Annualised Inputs'!$D$7:$D$12))</f>
        <v/>
      </c>
      <c r="P295" s="25">
        <f>SQRT(SUMPRODUCT(MMULT(I295:N295,'07 Annualised Inputs'!$B$17:$G$22),I295:N295))</f>
        <v/>
      </c>
      <c r="Q295" s="37">
        <f>(O295-'02 Config'!$B$10)/P295</f>
        <v/>
      </c>
    </row>
    <row r="296">
      <c r="A296" s="12" t="n">
        <v>291</v>
      </c>
      <c r="B296" s="36" t="n">
        <v>0.245699742994981</v>
      </c>
      <c r="C296" s="36" t="n">
        <v>0.230746305267217</v>
      </c>
      <c r="D296" s="36" t="n">
        <v>0.02718213349758503</v>
      </c>
      <c r="E296" s="36" t="n">
        <v>0.9585152939754523</v>
      </c>
      <c r="F296" s="36" t="n">
        <v>0.7100168800546234</v>
      </c>
      <c r="G296" s="36" t="n">
        <v>0.6355603540101848</v>
      </c>
      <c r="H296" s="37">
        <f>SUM(B296:G296)</f>
        <v/>
      </c>
      <c r="I296" s="25">
        <f>B296/$H296</f>
        <v/>
      </c>
      <c r="J296" s="25">
        <f>C296/$H296</f>
        <v/>
      </c>
      <c r="K296" s="25">
        <f>D296/$H296</f>
        <v/>
      </c>
      <c r="L296" s="25">
        <f>E296/$H296</f>
        <v/>
      </c>
      <c r="M296" s="25">
        <f>F296/$H296</f>
        <v/>
      </c>
      <c r="N296" s="25">
        <f>G296/$H296</f>
        <v/>
      </c>
      <c r="O296" s="25">
        <f>SUM(MMULT(I296:N296,'07 Annualised Inputs'!$D$7:$D$12))</f>
        <v/>
      </c>
      <c r="P296" s="25">
        <f>SQRT(SUMPRODUCT(MMULT(I296:N296,'07 Annualised Inputs'!$B$17:$G$22),I296:N296))</f>
        <v/>
      </c>
      <c r="Q296" s="37">
        <f>(O296-'02 Config'!$B$10)/P296</f>
        <v/>
      </c>
    </row>
    <row r="297">
      <c r="A297" s="12" t="n">
        <v>292</v>
      </c>
      <c r="B297" s="36" t="n">
        <v>0.7439947226949909</v>
      </c>
      <c r="C297" s="36" t="n">
        <v>0.5316129186954394</v>
      </c>
      <c r="D297" s="36" t="n">
        <v>0.4761338210904104</v>
      </c>
      <c r="E297" s="36" t="n">
        <v>0.4495322411235209</v>
      </c>
      <c r="F297" s="36" t="n">
        <v>0.6404392121036413</v>
      </c>
      <c r="G297" s="36" t="n">
        <v>0.2015349753923832</v>
      </c>
      <c r="H297" s="37">
        <f>SUM(B297:G297)</f>
        <v/>
      </c>
      <c r="I297" s="25">
        <f>B297/$H297</f>
        <v/>
      </c>
      <c r="J297" s="25">
        <f>C297/$H297</f>
        <v/>
      </c>
      <c r="K297" s="25">
        <f>D297/$H297</f>
        <v/>
      </c>
      <c r="L297" s="25">
        <f>E297/$H297</f>
        <v/>
      </c>
      <c r="M297" s="25">
        <f>F297/$H297</f>
        <v/>
      </c>
      <c r="N297" s="25">
        <f>G297/$H297</f>
        <v/>
      </c>
      <c r="O297" s="25">
        <f>SUM(MMULT(I297:N297,'07 Annualised Inputs'!$D$7:$D$12))</f>
        <v/>
      </c>
      <c r="P297" s="25">
        <f>SQRT(SUMPRODUCT(MMULT(I297:N297,'07 Annualised Inputs'!$B$17:$G$22),I297:N297))</f>
        <v/>
      </c>
      <c r="Q297" s="37">
        <f>(O297-'02 Config'!$B$10)/P297</f>
        <v/>
      </c>
    </row>
    <row r="298">
      <c r="A298" s="12" t="n">
        <v>293</v>
      </c>
      <c r="B298" s="36" t="n">
        <v>0.8880586950148697</v>
      </c>
      <c r="C298" s="36" t="n">
        <v>0.8117523712192651</v>
      </c>
      <c r="D298" s="36" t="n">
        <v>0.3495636114520339</v>
      </c>
      <c r="E298" s="36" t="n">
        <v>0.5786092968125244</v>
      </c>
      <c r="F298" s="36" t="n">
        <v>0.1410272999500146</v>
      </c>
      <c r="G298" s="36" t="n">
        <v>0.972346247933598</v>
      </c>
      <c r="H298" s="37">
        <f>SUM(B298:G298)</f>
        <v/>
      </c>
      <c r="I298" s="25">
        <f>B298/$H298</f>
        <v/>
      </c>
      <c r="J298" s="25">
        <f>C298/$H298</f>
        <v/>
      </c>
      <c r="K298" s="25">
        <f>D298/$H298</f>
        <v/>
      </c>
      <c r="L298" s="25">
        <f>E298/$H298</f>
        <v/>
      </c>
      <c r="M298" s="25">
        <f>F298/$H298</f>
        <v/>
      </c>
      <c r="N298" s="25">
        <f>G298/$H298</f>
        <v/>
      </c>
      <c r="O298" s="25">
        <f>SUM(MMULT(I298:N298,'07 Annualised Inputs'!$D$7:$D$12))</f>
        <v/>
      </c>
      <c r="P298" s="25">
        <f>SQRT(SUMPRODUCT(MMULT(I298:N298,'07 Annualised Inputs'!$B$17:$G$22),I298:N298))</f>
        <v/>
      </c>
      <c r="Q298" s="37">
        <f>(O298-'02 Config'!$B$10)/P298</f>
        <v/>
      </c>
    </row>
    <row r="299">
      <c r="A299" s="12" t="n">
        <v>294</v>
      </c>
      <c r="B299" s="36" t="n">
        <v>0.9028926876302835</v>
      </c>
      <c r="C299" s="36" t="n">
        <v>0.9218975064992004</v>
      </c>
      <c r="D299" s="36" t="n">
        <v>0.3321630477034516</v>
      </c>
      <c r="E299" s="36" t="n">
        <v>0.1691347073828557</v>
      </c>
      <c r="F299" s="36" t="n">
        <v>0.2117721634663103</v>
      </c>
      <c r="G299" s="36" t="n">
        <v>0.09000139104508986</v>
      </c>
      <c r="H299" s="37">
        <f>SUM(B299:G299)</f>
        <v/>
      </c>
      <c r="I299" s="25">
        <f>B299/$H299</f>
        <v/>
      </c>
      <c r="J299" s="25">
        <f>C299/$H299</f>
        <v/>
      </c>
      <c r="K299" s="25">
        <f>D299/$H299</f>
        <v/>
      </c>
      <c r="L299" s="25">
        <f>E299/$H299</f>
        <v/>
      </c>
      <c r="M299" s="25">
        <f>F299/$H299</f>
        <v/>
      </c>
      <c r="N299" s="25">
        <f>G299/$H299</f>
        <v/>
      </c>
      <c r="O299" s="25">
        <f>SUM(MMULT(I299:N299,'07 Annualised Inputs'!$D$7:$D$12))</f>
        <v/>
      </c>
      <c r="P299" s="25">
        <f>SQRT(SUMPRODUCT(MMULT(I299:N299,'07 Annualised Inputs'!$B$17:$G$22),I299:N299))</f>
        <v/>
      </c>
      <c r="Q299" s="37">
        <f>(O299-'02 Config'!$B$10)/P299</f>
        <v/>
      </c>
    </row>
    <row r="300">
      <c r="A300" s="12" t="n">
        <v>295</v>
      </c>
      <c r="B300" s="36" t="n">
        <v>0.1201106301013843</v>
      </c>
      <c r="C300" s="36" t="n">
        <v>0.07130453418484539</v>
      </c>
      <c r="D300" s="36" t="n">
        <v>0.9898230692048735</v>
      </c>
      <c r="E300" s="36" t="n">
        <v>0.07405768336907359</v>
      </c>
      <c r="F300" s="36" t="n">
        <v>0.1325420809514136</v>
      </c>
      <c r="G300" s="36" t="n">
        <v>0.8272545955907364</v>
      </c>
      <c r="H300" s="37">
        <f>SUM(B300:G300)</f>
        <v/>
      </c>
      <c r="I300" s="25">
        <f>B300/$H300</f>
        <v/>
      </c>
      <c r="J300" s="25">
        <f>C300/$H300</f>
        <v/>
      </c>
      <c r="K300" s="25">
        <f>D300/$H300</f>
        <v/>
      </c>
      <c r="L300" s="25">
        <f>E300/$H300</f>
        <v/>
      </c>
      <c r="M300" s="25">
        <f>F300/$H300</f>
        <v/>
      </c>
      <c r="N300" s="25">
        <f>G300/$H300</f>
        <v/>
      </c>
      <c r="O300" s="25">
        <f>SUM(MMULT(I300:N300,'07 Annualised Inputs'!$D$7:$D$12))</f>
        <v/>
      </c>
      <c r="P300" s="25">
        <f>SQRT(SUMPRODUCT(MMULT(I300:N300,'07 Annualised Inputs'!$B$17:$G$22),I300:N300))</f>
        <v/>
      </c>
      <c r="Q300" s="37">
        <f>(O300-'02 Config'!$B$10)/P300</f>
        <v/>
      </c>
    </row>
    <row r="301">
      <c r="A301" s="12" t="n">
        <v>296</v>
      </c>
      <c r="B301" s="36" t="n">
        <v>0.5802402167429431</v>
      </c>
      <c r="C301" s="36" t="n">
        <v>0.7744172045693324</v>
      </c>
      <c r="D301" s="36" t="n">
        <v>0.630912007772655</v>
      </c>
      <c r="E301" s="36" t="n">
        <v>0.882175070328948</v>
      </c>
      <c r="F301" s="36" t="n">
        <v>0.6384675277647406</v>
      </c>
      <c r="G301" s="36" t="n">
        <v>0.5221250929031509</v>
      </c>
      <c r="H301" s="37">
        <f>SUM(B301:G301)</f>
        <v/>
      </c>
      <c r="I301" s="25">
        <f>B301/$H301</f>
        <v/>
      </c>
      <c r="J301" s="25">
        <f>C301/$H301</f>
        <v/>
      </c>
      <c r="K301" s="25">
        <f>D301/$H301</f>
        <v/>
      </c>
      <c r="L301" s="25">
        <f>E301/$H301</f>
        <v/>
      </c>
      <c r="M301" s="25">
        <f>F301/$H301</f>
        <v/>
      </c>
      <c r="N301" s="25">
        <f>G301/$H301</f>
        <v/>
      </c>
      <c r="O301" s="25">
        <f>SUM(MMULT(I301:N301,'07 Annualised Inputs'!$D$7:$D$12))</f>
        <v/>
      </c>
      <c r="P301" s="25">
        <f>SQRT(SUMPRODUCT(MMULT(I301:N301,'07 Annualised Inputs'!$B$17:$G$22),I301:N301))</f>
        <v/>
      </c>
      <c r="Q301" s="37">
        <f>(O301-'02 Config'!$B$10)/P301</f>
        <v/>
      </c>
    </row>
    <row r="302">
      <c r="A302" s="12" t="n">
        <v>297</v>
      </c>
      <c r="B302" s="36" t="n">
        <v>0.7127496937612997</v>
      </c>
      <c r="C302" s="36" t="n">
        <v>0.4473927517921095</v>
      </c>
      <c r="D302" s="36" t="n">
        <v>0.3460638229047347</v>
      </c>
      <c r="E302" s="36" t="n">
        <v>0.4676524524502125</v>
      </c>
      <c r="F302" s="36" t="n">
        <v>0.1697141050985607</v>
      </c>
      <c r="G302" s="36" t="n">
        <v>0.7965717298026914</v>
      </c>
      <c r="H302" s="37">
        <f>SUM(B302:G302)</f>
        <v/>
      </c>
      <c r="I302" s="25">
        <f>B302/$H302</f>
        <v/>
      </c>
      <c r="J302" s="25">
        <f>C302/$H302</f>
        <v/>
      </c>
      <c r="K302" s="25">
        <f>D302/$H302</f>
        <v/>
      </c>
      <c r="L302" s="25">
        <f>E302/$H302</f>
        <v/>
      </c>
      <c r="M302" s="25">
        <f>F302/$H302</f>
        <v/>
      </c>
      <c r="N302" s="25">
        <f>G302/$H302</f>
        <v/>
      </c>
      <c r="O302" s="25">
        <f>SUM(MMULT(I302:N302,'07 Annualised Inputs'!$D$7:$D$12))</f>
        <v/>
      </c>
      <c r="P302" s="25">
        <f>SQRT(SUMPRODUCT(MMULT(I302:N302,'07 Annualised Inputs'!$B$17:$G$22),I302:N302))</f>
        <v/>
      </c>
      <c r="Q302" s="37">
        <f>(O302-'02 Config'!$B$10)/P302</f>
        <v/>
      </c>
    </row>
    <row r="303">
      <c r="A303" s="12" t="n">
        <v>298</v>
      </c>
      <c r="B303" s="36" t="n">
        <v>0.2607037813359446</v>
      </c>
      <c r="C303" s="36" t="n">
        <v>0.1535315463370475</v>
      </c>
      <c r="D303" s="36" t="n">
        <v>0.2463522417832268</v>
      </c>
      <c r="E303" s="36" t="n">
        <v>0.8420701517722398</v>
      </c>
      <c r="F303" s="36" t="n">
        <v>0.3302012955977314</v>
      </c>
      <c r="G303" s="36" t="n">
        <v>0.6860498695059002</v>
      </c>
      <c r="H303" s="37">
        <f>SUM(B303:G303)</f>
        <v/>
      </c>
      <c r="I303" s="25">
        <f>B303/$H303</f>
        <v/>
      </c>
      <c r="J303" s="25">
        <f>C303/$H303</f>
        <v/>
      </c>
      <c r="K303" s="25">
        <f>D303/$H303</f>
        <v/>
      </c>
      <c r="L303" s="25">
        <f>E303/$H303</f>
        <v/>
      </c>
      <c r="M303" s="25">
        <f>F303/$H303</f>
        <v/>
      </c>
      <c r="N303" s="25">
        <f>G303/$H303</f>
        <v/>
      </c>
      <c r="O303" s="25">
        <f>SUM(MMULT(I303:N303,'07 Annualised Inputs'!$D$7:$D$12))</f>
        <v/>
      </c>
      <c r="P303" s="25">
        <f>SQRT(SUMPRODUCT(MMULT(I303:N303,'07 Annualised Inputs'!$B$17:$G$22),I303:N303))</f>
        <v/>
      </c>
      <c r="Q303" s="37">
        <f>(O303-'02 Config'!$B$10)/P303</f>
        <v/>
      </c>
    </row>
    <row r="304">
      <c r="A304" s="12" t="n">
        <v>299</v>
      </c>
      <c r="B304" s="36" t="n">
        <v>0.8564096306557393</v>
      </c>
      <c r="C304" s="36" t="n">
        <v>0.07774466692504212</v>
      </c>
      <c r="D304" s="36" t="n">
        <v>0.7650244051780429</v>
      </c>
      <c r="E304" s="36" t="n">
        <v>0.30766546637903</v>
      </c>
      <c r="F304" s="36" t="n">
        <v>0.2166223641840427</v>
      </c>
      <c r="G304" s="36" t="n">
        <v>0.6889014524529722</v>
      </c>
      <c r="H304" s="37">
        <f>SUM(B304:G304)</f>
        <v/>
      </c>
      <c r="I304" s="25">
        <f>B304/$H304</f>
        <v/>
      </c>
      <c r="J304" s="25">
        <f>C304/$H304</f>
        <v/>
      </c>
      <c r="K304" s="25">
        <f>D304/$H304</f>
        <v/>
      </c>
      <c r="L304" s="25">
        <f>E304/$H304</f>
        <v/>
      </c>
      <c r="M304" s="25">
        <f>F304/$H304</f>
        <v/>
      </c>
      <c r="N304" s="25">
        <f>G304/$H304</f>
        <v/>
      </c>
      <c r="O304" s="25">
        <f>SUM(MMULT(I304:N304,'07 Annualised Inputs'!$D$7:$D$12))</f>
        <v/>
      </c>
      <c r="P304" s="25">
        <f>SQRT(SUMPRODUCT(MMULT(I304:N304,'07 Annualised Inputs'!$B$17:$G$22),I304:N304))</f>
        <v/>
      </c>
      <c r="Q304" s="37">
        <f>(O304-'02 Config'!$B$10)/P304</f>
        <v/>
      </c>
    </row>
    <row r="305">
      <c r="A305" s="12" t="n">
        <v>300</v>
      </c>
      <c r="B305" s="36" t="n">
        <v>0.9097966227332338</v>
      </c>
      <c r="C305" s="36" t="n">
        <v>0.2950192087123954</v>
      </c>
      <c r="D305" s="36" t="n">
        <v>0.568833805384319</v>
      </c>
      <c r="E305" s="36" t="n">
        <v>0.2898341138494915</v>
      </c>
      <c r="F305" s="36" t="n">
        <v>0.5542855857264279</v>
      </c>
      <c r="G305" s="36" t="n">
        <v>0.6218620306543405</v>
      </c>
      <c r="H305" s="37">
        <f>SUM(B305:G305)</f>
        <v/>
      </c>
      <c r="I305" s="25">
        <f>B305/$H305</f>
        <v/>
      </c>
      <c r="J305" s="25">
        <f>C305/$H305</f>
        <v/>
      </c>
      <c r="K305" s="25">
        <f>D305/$H305</f>
        <v/>
      </c>
      <c r="L305" s="25">
        <f>E305/$H305</f>
        <v/>
      </c>
      <c r="M305" s="25">
        <f>F305/$H305</f>
        <v/>
      </c>
      <c r="N305" s="25">
        <f>G305/$H305</f>
        <v/>
      </c>
      <c r="O305" s="25">
        <f>SUM(MMULT(I305:N305,'07 Annualised Inputs'!$D$7:$D$12))</f>
        <v/>
      </c>
      <c r="P305" s="25">
        <f>SQRT(SUMPRODUCT(MMULT(I305:N305,'07 Annualised Inputs'!$B$17:$G$22),I305:N305))</f>
        <v/>
      </c>
      <c r="Q305" s="37">
        <f>(O305-'02 Config'!$B$10)/P305</f>
        <v/>
      </c>
    </row>
    <row r="306">
      <c r="A306" s="12" t="n">
        <v>301</v>
      </c>
      <c r="B306" s="36" t="n">
        <v>0.6103353887901798</v>
      </c>
      <c r="C306" s="36" t="n">
        <v>0.6235463696427459</v>
      </c>
      <c r="D306" s="36" t="n">
        <v>0.1350797922175241</v>
      </c>
      <c r="E306" s="36" t="n">
        <v>0.6935404695867196</v>
      </c>
      <c r="F306" s="36" t="n">
        <v>0.6747503563802233</v>
      </c>
      <c r="G306" s="36" t="n">
        <v>0.6825881222168831</v>
      </c>
      <c r="H306" s="37">
        <f>SUM(B306:G306)</f>
        <v/>
      </c>
      <c r="I306" s="25">
        <f>B306/$H306</f>
        <v/>
      </c>
      <c r="J306" s="25">
        <f>C306/$H306</f>
        <v/>
      </c>
      <c r="K306" s="25">
        <f>D306/$H306</f>
        <v/>
      </c>
      <c r="L306" s="25">
        <f>E306/$H306</f>
        <v/>
      </c>
      <c r="M306" s="25">
        <f>F306/$H306</f>
        <v/>
      </c>
      <c r="N306" s="25">
        <f>G306/$H306</f>
        <v/>
      </c>
      <c r="O306" s="25">
        <f>SUM(MMULT(I306:N306,'07 Annualised Inputs'!$D$7:$D$12))</f>
        <v/>
      </c>
      <c r="P306" s="25">
        <f>SQRT(SUMPRODUCT(MMULT(I306:N306,'07 Annualised Inputs'!$B$17:$G$22),I306:N306))</f>
        <v/>
      </c>
      <c r="Q306" s="37">
        <f>(O306-'02 Config'!$B$10)/P306</f>
        <v/>
      </c>
    </row>
    <row r="307">
      <c r="A307" s="12" t="n">
        <v>302</v>
      </c>
      <c r="B307" s="36" t="n">
        <v>0.07407055273870633</v>
      </c>
      <c r="C307" s="36" t="n">
        <v>0.4468388424141526</v>
      </c>
      <c r="D307" s="36" t="n">
        <v>0.4090351320457297</v>
      </c>
      <c r="E307" s="36" t="n">
        <v>0.08671148364319914</v>
      </c>
      <c r="F307" s="36" t="n">
        <v>0.2223679278968107</v>
      </c>
      <c r="G307" s="36" t="n">
        <v>0.4409626317980367</v>
      </c>
      <c r="H307" s="37">
        <f>SUM(B307:G307)</f>
        <v/>
      </c>
      <c r="I307" s="25">
        <f>B307/$H307</f>
        <v/>
      </c>
      <c r="J307" s="25">
        <f>C307/$H307</f>
        <v/>
      </c>
      <c r="K307" s="25">
        <f>D307/$H307</f>
        <v/>
      </c>
      <c r="L307" s="25">
        <f>E307/$H307</f>
        <v/>
      </c>
      <c r="M307" s="25">
        <f>F307/$H307</f>
        <v/>
      </c>
      <c r="N307" s="25">
        <f>G307/$H307</f>
        <v/>
      </c>
      <c r="O307" s="25">
        <f>SUM(MMULT(I307:N307,'07 Annualised Inputs'!$D$7:$D$12))</f>
        <v/>
      </c>
      <c r="P307" s="25">
        <f>SQRT(SUMPRODUCT(MMULT(I307:N307,'07 Annualised Inputs'!$B$17:$G$22),I307:N307))</f>
        <v/>
      </c>
      <c r="Q307" s="37">
        <f>(O307-'02 Config'!$B$10)/P307</f>
        <v/>
      </c>
    </row>
    <row r="308">
      <c r="A308" s="12" t="n">
        <v>303</v>
      </c>
      <c r="B308" s="36" t="n">
        <v>0.7429063098580823</v>
      </c>
      <c r="C308" s="36" t="n">
        <v>0.2370620769846632</v>
      </c>
      <c r="D308" s="36" t="n">
        <v>0.8297499101249115</v>
      </c>
      <c r="E308" s="36" t="n">
        <v>0.5457982857394634</v>
      </c>
      <c r="F308" s="36" t="n">
        <v>0.7604216851846175</v>
      </c>
      <c r="G308" s="36" t="n">
        <v>0.4725559833368571</v>
      </c>
      <c r="H308" s="37">
        <f>SUM(B308:G308)</f>
        <v/>
      </c>
      <c r="I308" s="25">
        <f>B308/$H308</f>
        <v/>
      </c>
      <c r="J308" s="25">
        <f>C308/$H308</f>
        <v/>
      </c>
      <c r="K308" s="25">
        <f>D308/$H308</f>
        <v/>
      </c>
      <c r="L308" s="25">
        <f>E308/$H308</f>
        <v/>
      </c>
      <c r="M308" s="25">
        <f>F308/$H308</f>
        <v/>
      </c>
      <c r="N308" s="25">
        <f>G308/$H308</f>
        <v/>
      </c>
      <c r="O308" s="25">
        <f>SUM(MMULT(I308:N308,'07 Annualised Inputs'!$D$7:$D$12))</f>
        <v/>
      </c>
      <c r="P308" s="25">
        <f>SQRT(SUMPRODUCT(MMULT(I308:N308,'07 Annualised Inputs'!$B$17:$G$22),I308:N308))</f>
        <v/>
      </c>
      <c r="Q308" s="37">
        <f>(O308-'02 Config'!$B$10)/P308</f>
        <v/>
      </c>
    </row>
    <row r="309">
      <c r="A309" s="12" t="n">
        <v>304</v>
      </c>
      <c r="B309" s="36" t="n">
        <v>0.4991942254222234</v>
      </c>
      <c r="C309" s="36" t="n">
        <v>0.6197193893796402</v>
      </c>
      <c r="D309" s="36" t="n">
        <v>0.9279706081658242</v>
      </c>
      <c r="E309" s="36" t="n">
        <v>0.49181258141291</v>
      </c>
      <c r="F309" s="36" t="n">
        <v>0.528657538108291</v>
      </c>
      <c r="G309" s="36" t="n">
        <v>0.6019969635275295</v>
      </c>
      <c r="H309" s="37">
        <f>SUM(B309:G309)</f>
        <v/>
      </c>
      <c r="I309" s="25">
        <f>B309/$H309</f>
        <v/>
      </c>
      <c r="J309" s="25">
        <f>C309/$H309</f>
        <v/>
      </c>
      <c r="K309" s="25">
        <f>D309/$H309</f>
        <v/>
      </c>
      <c r="L309" s="25">
        <f>E309/$H309</f>
        <v/>
      </c>
      <c r="M309" s="25">
        <f>F309/$H309</f>
        <v/>
      </c>
      <c r="N309" s="25">
        <f>G309/$H309</f>
        <v/>
      </c>
      <c r="O309" s="25">
        <f>SUM(MMULT(I309:N309,'07 Annualised Inputs'!$D$7:$D$12))</f>
        <v/>
      </c>
      <c r="P309" s="25">
        <f>SQRT(SUMPRODUCT(MMULT(I309:N309,'07 Annualised Inputs'!$B$17:$G$22),I309:N309))</f>
        <v/>
      </c>
      <c r="Q309" s="37">
        <f>(O309-'02 Config'!$B$10)/P309</f>
        <v/>
      </c>
    </row>
    <row r="310">
      <c r="A310" s="12" t="n">
        <v>305</v>
      </c>
      <c r="B310" s="36" t="n">
        <v>0.7375151372977258</v>
      </c>
      <c r="C310" s="36" t="n">
        <v>0.07185033548623432</v>
      </c>
      <c r="D310" s="36" t="n">
        <v>0.5156874385219721</v>
      </c>
      <c r="E310" s="36" t="n">
        <v>0.4815915892060435</v>
      </c>
      <c r="F310" s="36" t="n">
        <v>0.9216849842375704</v>
      </c>
      <c r="G310" s="36" t="n">
        <v>0.4935065804363411</v>
      </c>
      <c r="H310" s="37">
        <f>SUM(B310:G310)</f>
        <v/>
      </c>
      <c r="I310" s="25">
        <f>B310/$H310</f>
        <v/>
      </c>
      <c r="J310" s="25">
        <f>C310/$H310</f>
        <v/>
      </c>
      <c r="K310" s="25">
        <f>D310/$H310</f>
        <v/>
      </c>
      <c r="L310" s="25">
        <f>E310/$H310</f>
        <v/>
      </c>
      <c r="M310" s="25">
        <f>F310/$H310</f>
        <v/>
      </c>
      <c r="N310" s="25">
        <f>G310/$H310</f>
        <v/>
      </c>
      <c r="O310" s="25">
        <f>SUM(MMULT(I310:N310,'07 Annualised Inputs'!$D$7:$D$12))</f>
        <v/>
      </c>
      <c r="P310" s="25">
        <f>SQRT(SUMPRODUCT(MMULT(I310:N310,'07 Annualised Inputs'!$B$17:$G$22),I310:N310))</f>
        <v/>
      </c>
      <c r="Q310" s="37">
        <f>(O310-'02 Config'!$B$10)/P310</f>
        <v/>
      </c>
    </row>
    <row r="311">
      <c r="A311" s="12" t="n">
        <v>306</v>
      </c>
      <c r="B311" s="36" t="n">
        <v>0.468320534694331</v>
      </c>
      <c r="C311" s="36" t="n">
        <v>0.962199988534702</v>
      </c>
      <c r="D311" s="36" t="n">
        <v>0.4505764636008815</v>
      </c>
      <c r="E311" s="36" t="n">
        <v>0.1808844303220903</v>
      </c>
      <c r="F311" s="36" t="n">
        <v>0.2169161228057883</v>
      </c>
      <c r="G311" s="36" t="n">
        <v>0.09518753833697413</v>
      </c>
      <c r="H311" s="37">
        <f>SUM(B311:G311)</f>
        <v/>
      </c>
      <c r="I311" s="25">
        <f>B311/$H311</f>
        <v/>
      </c>
      <c r="J311" s="25">
        <f>C311/$H311</f>
        <v/>
      </c>
      <c r="K311" s="25">
        <f>D311/$H311</f>
        <v/>
      </c>
      <c r="L311" s="25">
        <f>E311/$H311</f>
        <v/>
      </c>
      <c r="M311" s="25">
        <f>F311/$H311</f>
        <v/>
      </c>
      <c r="N311" s="25">
        <f>G311/$H311</f>
        <v/>
      </c>
      <c r="O311" s="25">
        <f>SUM(MMULT(I311:N311,'07 Annualised Inputs'!$D$7:$D$12))</f>
        <v/>
      </c>
      <c r="P311" s="25">
        <f>SQRT(SUMPRODUCT(MMULT(I311:N311,'07 Annualised Inputs'!$B$17:$G$22),I311:N311))</f>
        <v/>
      </c>
      <c r="Q311" s="37">
        <f>(O311-'02 Config'!$B$10)/P311</f>
        <v/>
      </c>
    </row>
    <row r="312">
      <c r="A312" s="12" t="n">
        <v>307</v>
      </c>
      <c r="B312" s="36" t="n">
        <v>0.0005681292589444498</v>
      </c>
      <c r="C312" s="36" t="n">
        <v>0.4319456610004819</v>
      </c>
      <c r="D312" s="36" t="n">
        <v>0.7692425812982214</v>
      </c>
      <c r="E312" s="36" t="n">
        <v>0.7334664427998359</v>
      </c>
      <c r="F312" s="36" t="n">
        <v>0.0321490878028502</v>
      </c>
      <c r="G312" s="36" t="n">
        <v>0.5699829035940329</v>
      </c>
      <c r="H312" s="37">
        <f>SUM(B312:G312)</f>
        <v/>
      </c>
      <c r="I312" s="25">
        <f>B312/$H312</f>
        <v/>
      </c>
      <c r="J312" s="25">
        <f>C312/$H312</f>
        <v/>
      </c>
      <c r="K312" s="25">
        <f>D312/$H312</f>
        <v/>
      </c>
      <c r="L312" s="25">
        <f>E312/$H312</f>
        <v/>
      </c>
      <c r="M312" s="25">
        <f>F312/$H312</f>
        <v/>
      </c>
      <c r="N312" s="25">
        <f>G312/$H312</f>
        <v/>
      </c>
      <c r="O312" s="25">
        <f>SUM(MMULT(I312:N312,'07 Annualised Inputs'!$D$7:$D$12))</f>
        <v/>
      </c>
      <c r="P312" s="25">
        <f>SQRT(SUMPRODUCT(MMULT(I312:N312,'07 Annualised Inputs'!$B$17:$G$22),I312:N312))</f>
        <v/>
      </c>
      <c r="Q312" s="37">
        <f>(O312-'02 Config'!$B$10)/P312</f>
        <v/>
      </c>
    </row>
    <row r="313">
      <c r="A313" s="12" t="n">
        <v>308</v>
      </c>
      <c r="B313" s="36" t="n">
        <v>0.154283125413476</v>
      </c>
      <c r="C313" s="36" t="n">
        <v>0.9410762847646973</v>
      </c>
      <c r="D313" s="36" t="n">
        <v>0.1673649996441793</v>
      </c>
      <c r="E313" s="36" t="n">
        <v>0.6266392176974815</v>
      </c>
      <c r="F313" s="36" t="n">
        <v>0.3262383621640568</v>
      </c>
      <c r="G313" s="36" t="n">
        <v>0.6415613259643522</v>
      </c>
      <c r="H313" s="37">
        <f>SUM(B313:G313)</f>
        <v/>
      </c>
      <c r="I313" s="25">
        <f>B313/$H313</f>
        <v/>
      </c>
      <c r="J313" s="25">
        <f>C313/$H313</f>
        <v/>
      </c>
      <c r="K313" s="25">
        <f>D313/$H313</f>
        <v/>
      </c>
      <c r="L313" s="25">
        <f>E313/$H313</f>
        <v/>
      </c>
      <c r="M313" s="25">
        <f>F313/$H313</f>
        <v/>
      </c>
      <c r="N313" s="25">
        <f>G313/$H313</f>
        <v/>
      </c>
      <c r="O313" s="25">
        <f>SUM(MMULT(I313:N313,'07 Annualised Inputs'!$D$7:$D$12))</f>
        <v/>
      </c>
      <c r="P313" s="25">
        <f>SQRT(SUMPRODUCT(MMULT(I313:N313,'07 Annualised Inputs'!$B$17:$G$22),I313:N313))</f>
        <v/>
      </c>
      <c r="Q313" s="37">
        <f>(O313-'02 Config'!$B$10)/P313</f>
        <v/>
      </c>
    </row>
    <row r="314">
      <c r="A314" s="12" t="n">
        <v>309</v>
      </c>
      <c r="B314" s="36" t="n">
        <v>0.4122585964640751</v>
      </c>
      <c r="C314" s="36" t="n">
        <v>0.7596430523063947</v>
      </c>
      <c r="D314" s="36" t="n">
        <v>0.2306791253278578</v>
      </c>
      <c r="E314" s="36" t="n">
        <v>0.9057918529142601</v>
      </c>
      <c r="F314" s="36" t="n">
        <v>0.5002096493133521</v>
      </c>
      <c r="G314" s="36" t="n">
        <v>0.7560931477128529</v>
      </c>
      <c r="H314" s="37">
        <f>SUM(B314:G314)</f>
        <v/>
      </c>
      <c r="I314" s="25">
        <f>B314/$H314</f>
        <v/>
      </c>
      <c r="J314" s="25">
        <f>C314/$H314</f>
        <v/>
      </c>
      <c r="K314" s="25">
        <f>D314/$H314</f>
        <v/>
      </c>
      <c r="L314" s="25">
        <f>E314/$H314</f>
        <v/>
      </c>
      <c r="M314" s="25">
        <f>F314/$H314</f>
        <v/>
      </c>
      <c r="N314" s="25">
        <f>G314/$H314</f>
        <v/>
      </c>
      <c r="O314" s="25">
        <f>SUM(MMULT(I314:N314,'07 Annualised Inputs'!$D$7:$D$12))</f>
        <v/>
      </c>
      <c r="P314" s="25">
        <f>SQRT(SUMPRODUCT(MMULT(I314:N314,'07 Annualised Inputs'!$B$17:$G$22),I314:N314))</f>
        <v/>
      </c>
      <c r="Q314" s="37">
        <f>(O314-'02 Config'!$B$10)/P314</f>
        <v/>
      </c>
    </row>
    <row r="315">
      <c r="A315" s="12" t="n">
        <v>310</v>
      </c>
      <c r="B315" s="36" t="n">
        <v>0.8497301914012271</v>
      </c>
      <c r="C315" s="36" t="n">
        <v>0.9988286109548049</v>
      </c>
      <c r="D315" s="36" t="n">
        <v>0.2239456655939582</v>
      </c>
      <c r="E315" s="36" t="n">
        <v>0.2868924135634549</v>
      </c>
      <c r="F315" s="36" t="n">
        <v>0.2504330867318882</v>
      </c>
      <c r="G315" s="36" t="n">
        <v>0.2628713321597826</v>
      </c>
      <c r="H315" s="37">
        <f>SUM(B315:G315)</f>
        <v/>
      </c>
      <c r="I315" s="25">
        <f>B315/$H315</f>
        <v/>
      </c>
      <c r="J315" s="25">
        <f>C315/$H315</f>
        <v/>
      </c>
      <c r="K315" s="25">
        <f>D315/$H315</f>
        <v/>
      </c>
      <c r="L315" s="25">
        <f>E315/$H315</f>
        <v/>
      </c>
      <c r="M315" s="25">
        <f>F315/$H315</f>
        <v/>
      </c>
      <c r="N315" s="25">
        <f>G315/$H315</f>
        <v/>
      </c>
      <c r="O315" s="25">
        <f>SUM(MMULT(I315:N315,'07 Annualised Inputs'!$D$7:$D$12))</f>
        <v/>
      </c>
      <c r="P315" s="25">
        <f>SQRT(SUMPRODUCT(MMULT(I315:N315,'07 Annualised Inputs'!$B$17:$G$22),I315:N315))</f>
        <v/>
      </c>
      <c r="Q315" s="37">
        <f>(O315-'02 Config'!$B$10)/P315</f>
        <v/>
      </c>
    </row>
    <row r="316">
      <c r="A316" s="12" t="n">
        <v>311</v>
      </c>
      <c r="B316" s="36" t="n">
        <v>0.5824447415393774</v>
      </c>
      <c r="C316" s="36" t="n">
        <v>0.993522523145843</v>
      </c>
      <c r="D316" s="36" t="n">
        <v>0.9902780870927544</v>
      </c>
      <c r="E316" s="36" t="n">
        <v>0.5267732313623077</v>
      </c>
      <c r="F316" s="36" t="n">
        <v>0.6390272102646738</v>
      </c>
      <c r="G316" s="36" t="n">
        <v>0.859970543701606</v>
      </c>
      <c r="H316" s="37">
        <f>SUM(B316:G316)</f>
        <v/>
      </c>
      <c r="I316" s="25">
        <f>B316/$H316</f>
        <v/>
      </c>
      <c r="J316" s="25">
        <f>C316/$H316</f>
        <v/>
      </c>
      <c r="K316" s="25">
        <f>D316/$H316</f>
        <v/>
      </c>
      <c r="L316" s="25">
        <f>E316/$H316</f>
        <v/>
      </c>
      <c r="M316" s="25">
        <f>F316/$H316</f>
        <v/>
      </c>
      <c r="N316" s="25">
        <f>G316/$H316</f>
        <v/>
      </c>
      <c r="O316" s="25">
        <f>SUM(MMULT(I316:N316,'07 Annualised Inputs'!$D$7:$D$12))</f>
        <v/>
      </c>
      <c r="P316" s="25">
        <f>SQRT(SUMPRODUCT(MMULT(I316:N316,'07 Annualised Inputs'!$B$17:$G$22),I316:N316))</f>
        <v/>
      </c>
      <c r="Q316" s="37">
        <f>(O316-'02 Config'!$B$10)/P316</f>
        <v/>
      </c>
    </row>
    <row r="317">
      <c r="A317" s="12" t="n">
        <v>312</v>
      </c>
      <c r="B317" s="36" t="n">
        <v>0.9329334584535052</v>
      </c>
      <c r="C317" s="36" t="n">
        <v>0.2038606273295439</v>
      </c>
      <c r="D317" s="36" t="n">
        <v>0.5285417289424529</v>
      </c>
      <c r="E317" s="36" t="n">
        <v>0.8328370546615123</v>
      </c>
      <c r="F317" s="36" t="n">
        <v>0.3032020766345916</v>
      </c>
      <c r="G317" s="36" t="n">
        <v>0.4398090424804667</v>
      </c>
      <c r="H317" s="37">
        <f>SUM(B317:G317)</f>
        <v/>
      </c>
      <c r="I317" s="25">
        <f>B317/$H317</f>
        <v/>
      </c>
      <c r="J317" s="25">
        <f>C317/$H317</f>
        <v/>
      </c>
      <c r="K317" s="25">
        <f>D317/$H317</f>
        <v/>
      </c>
      <c r="L317" s="25">
        <f>E317/$H317</f>
        <v/>
      </c>
      <c r="M317" s="25">
        <f>F317/$H317</f>
        <v/>
      </c>
      <c r="N317" s="25">
        <f>G317/$H317</f>
        <v/>
      </c>
      <c r="O317" s="25">
        <f>SUM(MMULT(I317:N317,'07 Annualised Inputs'!$D$7:$D$12))</f>
        <v/>
      </c>
      <c r="P317" s="25">
        <f>SQRT(SUMPRODUCT(MMULT(I317:N317,'07 Annualised Inputs'!$B$17:$G$22),I317:N317))</f>
        <v/>
      </c>
      <c r="Q317" s="37">
        <f>(O317-'02 Config'!$B$10)/P317</f>
        <v/>
      </c>
    </row>
    <row r="318">
      <c r="A318" s="12" t="n">
        <v>313</v>
      </c>
      <c r="B318" s="36" t="n">
        <v>0.985621101512008</v>
      </c>
      <c r="C318" s="36" t="n">
        <v>0.985046696720871</v>
      </c>
      <c r="D318" s="36" t="n">
        <v>0.9061068107651816</v>
      </c>
      <c r="E318" s="36" t="n">
        <v>0.7984483448280576</v>
      </c>
      <c r="F318" s="36" t="n">
        <v>0.2691305007228058</v>
      </c>
      <c r="G318" s="36" t="n">
        <v>0.3208500740671875</v>
      </c>
      <c r="H318" s="37">
        <f>SUM(B318:G318)</f>
        <v/>
      </c>
      <c r="I318" s="25">
        <f>B318/$H318</f>
        <v/>
      </c>
      <c r="J318" s="25">
        <f>C318/$H318</f>
        <v/>
      </c>
      <c r="K318" s="25">
        <f>D318/$H318</f>
        <v/>
      </c>
      <c r="L318" s="25">
        <f>E318/$H318</f>
        <v/>
      </c>
      <c r="M318" s="25">
        <f>F318/$H318</f>
        <v/>
      </c>
      <c r="N318" s="25">
        <f>G318/$H318</f>
        <v/>
      </c>
      <c r="O318" s="25">
        <f>SUM(MMULT(I318:N318,'07 Annualised Inputs'!$D$7:$D$12))</f>
        <v/>
      </c>
      <c r="P318" s="25">
        <f>SQRT(SUMPRODUCT(MMULT(I318:N318,'07 Annualised Inputs'!$B$17:$G$22),I318:N318))</f>
        <v/>
      </c>
      <c r="Q318" s="37">
        <f>(O318-'02 Config'!$B$10)/P318</f>
        <v/>
      </c>
    </row>
    <row r="319">
      <c r="A319" s="12" t="n">
        <v>314</v>
      </c>
      <c r="B319" s="36" t="n">
        <v>0.5472828412048747</v>
      </c>
      <c r="C319" s="36" t="n">
        <v>0.5607773745620122</v>
      </c>
      <c r="D319" s="36" t="n">
        <v>0.505502819357067</v>
      </c>
      <c r="E319" s="36" t="n">
        <v>0.6366702799163061</v>
      </c>
      <c r="F319" s="36" t="n">
        <v>0.4083230226329888</v>
      </c>
      <c r="G319" s="36" t="n">
        <v>0.7491741573155329</v>
      </c>
      <c r="H319" s="37">
        <f>SUM(B319:G319)</f>
        <v/>
      </c>
      <c r="I319" s="25">
        <f>B319/$H319</f>
        <v/>
      </c>
      <c r="J319" s="25">
        <f>C319/$H319</f>
        <v/>
      </c>
      <c r="K319" s="25">
        <f>D319/$H319</f>
        <v/>
      </c>
      <c r="L319" s="25">
        <f>E319/$H319</f>
        <v/>
      </c>
      <c r="M319" s="25">
        <f>F319/$H319</f>
        <v/>
      </c>
      <c r="N319" s="25">
        <f>G319/$H319</f>
        <v/>
      </c>
      <c r="O319" s="25">
        <f>SUM(MMULT(I319:N319,'07 Annualised Inputs'!$D$7:$D$12))</f>
        <v/>
      </c>
      <c r="P319" s="25">
        <f>SQRT(SUMPRODUCT(MMULT(I319:N319,'07 Annualised Inputs'!$B$17:$G$22),I319:N319))</f>
        <v/>
      </c>
      <c r="Q319" s="37">
        <f>(O319-'02 Config'!$B$10)/P319</f>
        <v/>
      </c>
    </row>
    <row r="320">
      <c r="A320" s="12" t="n">
        <v>315</v>
      </c>
      <c r="B320" s="36" t="n">
        <v>0.3335499264783554</v>
      </c>
      <c r="C320" s="36" t="n">
        <v>0.3306769969463526</v>
      </c>
      <c r="D320" s="36" t="n">
        <v>0.127225961891828</v>
      </c>
      <c r="E320" s="36" t="n">
        <v>0.1887122100289192</v>
      </c>
      <c r="F320" s="36" t="n">
        <v>0.8505208789213576</v>
      </c>
      <c r="G320" s="36" t="n">
        <v>0.4462823385804415</v>
      </c>
      <c r="H320" s="37">
        <f>SUM(B320:G320)</f>
        <v/>
      </c>
      <c r="I320" s="25">
        <f>B320/$H320</f>
        <v/>
      </c>
      <c r="J320" s="25">
        <f>C320/$H320</f>
        <v/>
      </c>
      <c r="K320" s="25">
        <f>D320/$H320</f>
        <v/>
      </c>
      <c r="L320" s="25">
        <f>E320/$H320</f>
        <v/>
      </c>
      <c r="M320" s="25">
        <f>F320/$H320</f>
        <v/>
      </c>
      <c r="N320" s="25">
        <f>G320/$H320</f>
        <v/>
      </c>
      <c r="O320" s="25">
        <f>SUM(MMULT(I320:N320,'07 Annualised Inputs'!$D$7:$D$12))</f>
        <v/>
      </c>
      <c r="P320" s="25">
        <f>SQRT(SUMPRODUCT(MMULT(I320:N320,'07 Annualised Inputs'!$B$17:$G$22),I320:N320))</f>
        <v/>
      </c>
      <c r="Q320" s="37">
        <f>(O320-'02 Config'!$B$10)/P320</f>
        <v/>
      </c>
    </row>
    <row r="321">
      <c r="A321" s="12" t="n">
        <v>316</v>
      </c>
      <c r="B321" s="36" t="n">
        <v>0.2278677865528338</v>
      </c>
      <c r="C321" s="36" t="n">
        <v>0.7593411000223874</v>
      </c>
      <c r="D321" s="36" t="n">
        <v>0.5539811258168594</v>
      </c>
      <c r="E321" s="36" t="n">
        <v>0.02115601142329349</v>
      </c>
      <c r="F321" s="36" t="n">
        <v>0.3163614573367152</v>
      </c>
      <c r="G321" s="36" t="n">
        <v>0.177001411121341</v>
      </c>
      <c r="H321" s="37">
        <f>SUM(B321:G321)</f>
        <v/>
      </c>
      <c r="I321" s="25">
        <f>B321/$H321</f>
        <v/>
      </c>
      <c r="J321" s="25">
        <f>C321/$H321</f>
        <v/>
      </c>
      <c r="K321" s="25">
        <f>D321/$H321</f>
        <v/>
      </c>
      <c r="L321" s="25">
        <f>E321/$H321</f>
        <v/>
      </c>
      <c r="M321" s="25">
        <f>F321/$H321</f>
        <v/>
      </c>
      <c r="N321" s="25">
        <f>G321/$H321</f>
        <v/>
      </c>
      <c r="O321" s="25">
        <f>SUM(MMULT(I321:N321,'07 Annualised Inputs'!$D$7:$D$12))</f>
        <v/>
      </c>
      <c r="P321" s="25">
        <f>SQRT(SUMPRODUCT(MMULT(I321:N321,'07 Annualised Inputs'!$B$17:$G$22),I321:N321))</f>
        <v/>
      </c>
      <c r="Q321" s="37">
        <f>(O321-'02 Config'!$B$10)/P321</f>
        <v/>
      </c>
    </row>
    <row r="322">
      <c r="A322" s="12" t="n">
        <v>317</v>
      </c>
      <c r="B322" s="36" t="n">
        <v>0.6558728609828406</v>
      </c>
      <c r="C322" s="36" t="n">
        <v>0.2750310406302529</v>
      </c>
      <c r="D322" s="36" t="n">
        <v>0.06494677920994363</v>
      </c>
      <c r="E322" s="36" t="n">
        <v>0.05493498919766926</v>
      </c>
      <c r="F322" s="36" t="n">
        <v>0.5817272979587149</v>
      </c>
      <c r="G322" s="36" t="n">
        <v>0.02172345570408962</v>
      </c>
      <c r="H322" s="37">
        <f>SUM(B322:G322)</f>
        <v/>
      </c>
      <c r="I322" s="25">
        <f>B322/$H322</f>
        <v/>
      </c>
      <c r="J322" s="25">
        <f>C322/$H322</f>
        <v/>
      </c>
      <c r="K322" s="25">
        <f>D322/$H322</f>
        <v/>
      </c>
      <c r="L322" s="25">
        <f>E322/$H322</f>
        <v/>
      </c>
      <c r="M322" s="25">
        <f>F322/$H322</f>
        <v/>
      </c>
      <c r="N322" s="25">
        <f>G322/$H322</f>
        <v/>
      </c>
      <c r="O322" s="25">
        <f>SUM(MMULT(I322:N322,'07 Annualised Inputs'!$D$7:$D$12))</f>
        <v/>
      </c>
      <c r="P322" s="25">
        <f>SQRT(SUMPRODUCT(MMULT(I322:N322,'07 Annualised Inputs'!$B$17:$G$22),I322:N322))</f>
        <v/>
      </c>
      <c r="Q322" s="37">
        <f>(O322-'02 Config'!$B$10)/P322</f>
        <v/>
      </c>
    </row>
    <row r="323">
      <c r="A323" s="12" t="n">
        <v>318</v>
      </c>
      <c r="B323" s="36" t="n">
        <v>0.8487921131360887</v>
      </c>
      <c r="C323" s="36" t="n">
        <v>0.1553971192572756</v>
      </c>
      <c r="D323" s="36" t="n">
        <v>0.6065663351954298</v>
      </c>
      <c r="E323" s="36" t="n">
        <v>0.4446880280107457</v>
      </c>
      <c r="F323" s="36" t="n">
        <v>0.4428515212319025</v>
      </c>
      <c r="G323" s="36" t="n">
        <v>0.07179714236004586</v>
      </c>
      <c r="H323" s="37">
        <f>SUM(B323:G323)</f>
        <v/>
      </c>
      <c r="I323" s="25">
        <f>B323/$H323</f>
        <v/>
      </c>
      <c r="J323" s="25">
        <f>C323/$H323</f>
        <v/>
      </c>
      <c r="K323" s="25">
        <f>D323/$H323</f>
        <v/>
      </c>
      <c r="L323" s="25">
        <f>E323/$H323</f>
        <v/>
      </c>
      <c r="M323" s="25">
        <f>F323/$H323</f>
        <v/>
      </c>
      <c r="N323" s="25">
        <f>G323/$H323</f>
        <v/>
      </c>
      <c r="O323" s="25">
        <f>SUM(MMULT(I323:N323,'07 Annualised Inputs'!$D$7:$D$12))</f>
        <v/>
      </c>
      <c r="P323" s="25">
        <f>SQRT(SUMPRODUCT(MMULT(I323:N323,'07 Annualised Inputs'!$B$17:$G$22),I323:N323))</f>
        <v/>
      </c>
      <c r="Q323" s="37">
        <f>(O323-'02 Config'!$B$10)/P323</f>
        <v/>
      </c>
    </row>
    <row r="324">
      <c r="A324" s="12" t="n">
        <v>319</v>
      </c>
      <c r="B324" s="36" t="n">
        <v>0.8027522502122156</v>
      </c>
      <c r="C324" s="36" t="n">
        <v>0.8930524847532526</v>
      </c>
      <c r="D324" s="36" t="n">
        <v>0.01101666738422846</v>
      </c>
      <c r="E324" s="36" t="n">
        <v>0.1786041756971177</v>
      </c>
      <c r="F324" s="36" t="n">
        <v>0.9039041887954788</v>
      </c>
      <c r="G324" s="36" t="n">
        <v>0.5494936128000582</v>
      </c>
      <c r="H324" s="37">
        <f>SUM(B324:G324)</f>
        <v/>
      </c>
      <c r="I324" s="25">
        <f>B324/$H324</f>
        <v/>
      </c>
      <c r="J324" s="25">
        <f>C324/$H324</f>
        <v/>
      </c>
      <c r="K324" s="25">
        <f>D324/$H324</f>
        <v/>
      </c>
      <c r="L324" s="25">
        <f>E324/$H324</f>
        <v/>
      </c>
      <c r="M324" s="25">
        <f>F324/$H324</f>
        <v/>
      </c>
      <c r="N324" s="25">
        <f>G324/$H324</f>
        <v/>
      </c>
      <c r="O324" s="25">
        <f>SUM(MMULT(I324:N324,'07 Annualised Inputs'!$D$7:$D$12))</f>
        <v/>
      </c>
      <c r="P324" s="25">
        <f>SQRT(SUMPRODUCT(MMULT(I324:N324,'07 Annualised Inputs'!$B$17:$G$22),I324:N324))</f>
        <v/>
      </c>
      <c r="Q324" s="37">
        <f>(O324-'02 Config'!$B$10)/P324</f>
        <v/>
      </c>
    </row>
    <row r="325">
      <c r="A325" s="12" t="n">
        <v>320</v>
      </c>
      <c r="B325" s="36" t="n">
        <v>0.1500395782482101</v>
      </c>
      <c r="C325" s="36" t="n">
        <v>0.2027904526091588</v>
      </c>
      <c r="D325" s="36" t="n">
        <v>0.6599862442371142</v>
      </c>
      <c r="E325" s="36" t="n">
        <v>0.724816822246873</v>
      </c>
      <c r="F325" s="36" t="n">
        <v>0.5994268085799352</v>
      </c>
      <c r="G325" s="36" t="n">
        <v>0.9531483799125258</v>
      </c>
      <c r="H325" s="37">
        <f>SUM(B325:G325)</f>
        <v/>
      </c>
      <c r="I325" s="25">
        <f>B325/$H325</f>
        <v/>
      </c>
      <c r="J325" s="25">
        <f>C325/$H325</f>
        <v/>
      </c>
      <c r="K325" s="25">
        <f>D325/$H325</f>
        <v/>
      </c>
      <c r="L325" s="25">
        <f>E325/$H325</f>
        <v/>
      </c>
      <c r="M325" s="25">
        <f>F325/$H325</f>
        <v/>
      </c>
      <c r="N325" s="25">
        <f>G325/$H325</f>
        <v/>
      </c>
      <c r="O325" s="25">
        <f>SUM(MMULT(I325:N325,'07 Annualised Inputs'!$D$7:$D$12))</f>
        <v/>
      </c>
      <c r="P325" s="25">
        <f>SQRT(SUMPRODUCT(MMULT(I325:N325,'07 Annualised Inputs'!$B$17:$G$22),I325:N325))</f>
        <v/>
      </c>
      <c r="Q325" s="37">
        <f>(O325-'02 Config'!$B$10)/P325</f>
        <v/>
      </c>
    </row>
    <row r="326">
      <c r="A326" s="12" t="n">
        <v>321</v>
      </c>
      <c r="B326" s="36" t="n">
        <v>0.494063603661777</v>
      </c>
      <c r="C326" s="36" t="n">
        <v>0.3002719121425267</v>
      </c>
      <c r="D326" s="36" t="n">
        <v>0.4772329099757965</v>
      </c>
      <c r="E326" s="36" t="n">
        <v>0.359666293666611</v>
      </c>
      <c r="F326" s="36" t="n">
        <v>0.2244158926746863</v>
      </c>
      <c r="G326" s="36" t="n">
        <v>0.04596324934014007</v>
      </c>
      <c r="H326" s="37">
        <f>SUM(B326:G326)</f>
        <v/>
      </c>
      <c r="I326" s="25">
        <f>B326/$H326</f>
        <v/>
      </c>
      <c r="J326" s="25">
        <f>C326/$H326</f>
        <v/>
      </c>
      <c r="K326" s="25">
        <f>D326/$H326</f>
        <v/>
      </c>
      <c r="L326" s="25">
        <f>E326/$H326</f>
        <v/>
      </c>
      <c r="M326" s="25">
        <f>F326/$H326</f>
        <v/>
      </c>
      <c r="N326" s="25">
        <f>G326/$H326</f>
        <v/>
      </c>
      <c r="O326" s="25">
        <f>SUM(MMULT(I326:N326,'07 Annualised Inputs'!$D$7:$D$12))</f>
        <v/>
      </c>
      <c r="P326" s="25">
        <f>SQRT(SUMPRODUCT(MMULT(I326:N326,'07 Annualised Inputs'!$B$17:$G$22),I326:N326))</f>
        <v/>
      </c>
      <c r="Q326" s="37">
        <f>(O326-'02 Config'!$B$10)/P326</f>
        <v/>
      </c>
    </row>
    <row r="327">
      <c r="A327" s="12" t="n">
        <v>322</v>
      </c>
      <c r="B327" s="36" t="n">
        <v>0.3522124935651242</v>
      </c>
      <c r="C327" s="36" t="n">
        <v>0.7114093477097423</v>
      </c>
      <c r="D327" s="36" t="n">
        <v>0.01843780287519381</v>
      </c>
      <c r="E327" s="36" t="n">
        <v>0.4391785132059347</v>
      </c>
      <c r="F327" s="36" t="n">
        <v>0.6440094014498684</v>
      </c>
      <c r="G327" s="36" t="n">
        <v>0.6104041091743072</v>
      </c>
      <c r="H327" s="37">
        <f>SUM(B327:G327)</f>
        <v/>
      </c>
      <c r="I327" s="25">
        <f>B327/$H327</f>
        <v/>
      </c>
      <c r="J327" s="25">
        <f>C327/$H327</f>
        <v/>
      </c>
      <c r="K327" s="25">
        <f>D327/$H327</f>
        <v/>
      </c>
      <c r="L327" s="25">
        <f>E327/$H327</f>
        <v/>
      </c>
      <c r="M327" s="25">
        <f>F327/$H327</f>
        <v/>
      </c>
      <c r="N327" s="25">
        <f>G327/$H327</f>
        <v/>
      </c>
      <c r="O327" s="25">
        <f>SUM(MMULT(I327:N327,'07 Annualised Inputs'!$D$7:$D$12))</f>
        <v/>
      </c>
      <c r="P327" s="25">
        <f>SQRT(SUMPRODUCT(MMULT(I327:N327,'07 Annualised Inputs'!$B$17:$G$22),I327:N327))</f>
        <v/>
      </c>
      <c r="Q327" s="37">
        <f>(O327-'02 Config'!$B$10)/P327</f>
        <v/>
      </c>
    </row>
    <row r="328">
      <c r="A328" s="12" t="n">
        <v>323</v>
      </c>
      <c r="B328" s="36" t="n">
        <v>0.7766484358887159</v>
      </c>
      <c r="C328" s="36" t="n">
        <v>0.8105197156597975</v>
      </c>
      <c r="D328" s="36" t="n">
        <v>0.7117058209193878</v>
      </c>
      <c r="E328" s="36" t="n">
        <v>0.1027976961447494</v>
      </c>
      <c r="F328" s="36" t="n">
        <v>0.4750224440043607</v>
      </c>
      <c r="G328" s="36" t="n">
        <v>0.6034059574876086</v>
      </c>
      <c r="H328" s="37">
        <f>SUM(B328:G328)</f>
        <v/>
      </c>
      <c r="I328" s="25">
        <f>B328/$H328</f>
        <v/>
      </c>
      <c r="J328" s="25">
        <f>C328/$H328</f>
        <v/>
      </c>
      <c r="K328" s="25">
        <f>D328/$H328</f>
        <v/>
      </c>
      <c r="L328" s="25">
        <f>E328/$H328</f>
        <v/>
      </c>
      <c r="M328" s="25">
        <f>F328/$H328</f>
        <v/>
      </c>
      <c r="N328" s="25">
        <f>G328/$H328</f>
        <v/>
      </c>
      <c r="O328" s="25">
        <f>SUM(MMULT(I328:N328,'07 Annualised Inputs'!$D$7:$D$12))</f>
        <v/>
      </c>
      <c r="P328" s="25">
        <f>SQRT(SUMPRODUCT(MMULT(I328:N328,'07 Annualised Inputs'!$B$17:$G$22),I328:N328))</f>
        <v/>
      </c>
      <c r="Q328" s="37">
        <f>(O328-'02 Config'!$B$10)/P328</f>
        <v/>
      </c>
    </row>
    <row r="329">
      <c r="A329" s="12" t="n">
        <v>324</v>
      </c>
      <c r="B329" s="36" t="n">
        <v>0.2455660388094516</v>
      </c>
      <c r="C329" s="36" t="n">
        <v>0.04255181764677651</v>
      </c>
      <c r="D329" s="36" t="n">
        <v>0.2235903208760469</v>
      </c>
      <c r="E329" s="36" t="n">
        <v>0.4548944017326388</v>
      </c>
      <c r="F329" s="36" t="n">
        <v>0.4139303190546009</v>
      </c>
      <c r="G329" s="36" t="n">
        <v>0.1766669813271616</v>
      </c>
      <c r="H329" s="37">
        <f>SUM(B329:G329)</f>
        <v/>
      </c>
      <c r="I329" s="25">
        <f>B329/$H329</f>
        <v/>
      </c>
      <c r="J329" s="25">
        <f>C329/$H329</f>
        <v/>
      </c>
      <c r="K329" s="25">
        <f>D329/$H329</f>
        <v/>
      </c>
      <c r="L329" s="25">
        <f>E329/$H329</f>
        <v/>
      </c>
      <c r="M329" s="25">
        <f>F329/$H329</f>
        <v/>
      </c>
      <c r="N329" s="25">
        <f>G329/$H329</f>
        <v/>
      </c>
      <c r="O329" s="25">
        <f>SUM(MMULT(I329:N329,'07 Annualised Inputs'!$D$7:$D$12))</f>
        <v/>
      </c>
      <c r="P329" s="25">
        <f>SQRT(SUMPRODUCT(MMULT(I329:N329,'07 Annualised Inputs'!$B$17:$G$22),I329:N329))</f>
        <v/>
      </c>
      <c r="Q329" s="37">
        <f>(O329-'02 Config'!$B$10)/P329</f>
        <v/>
      </c>
    </row>
    <row r="330">
      <c r="A330" s="12" t="n">
        <v>325</v>
      </c>
      <c r="B330" s="36" t="n">
        <v>0.8244155426834928</v>
      </c>
      <c r="C330" s="36" t="n">
        <v>0.9256866687367246</v>
      </c>
      <c r="D330" s="36" t="n">
        <v>0.2013483190527152</v>
      </c>
      <c r="E330" s="36" t="n">
        <v>0.9295729155672217</v>
      </c>
      <c r="F330" s="36" t="n">
        <v>0.01786095917518082</v>
      </c>
      <c r="G330" s="36" t="n">
        <v>0.9249624727069454</v>
      </c>
      <c r="H330" s="37">
        <f>SUM(B330:G330)</f>
        <v/>
      </c>
      <c r="I330" s="25">
        <f>B330/$H330</f>
        <v/>
      </c>
      <c r="J330" s="25">
        <f>C330/$H330</f>
        <v/>
      </c>
      <c r="K330" s="25">
        <f>D330/$H330</f>
        <v/>
      </c>
      <c r="L330" s="25">
        <f>E330/$H330</f>
        <v/>
      </c>
      <c r="M330" s="25">
        <f>F330/$H330</f>
        <v/>
      </c>
      <c r="N330" s="25">
        <f>G330/$H330</f>
        <v/>
      </c>
      <c r="O330" s="25">
        <f>SUM(MMULT(I330:N330,'07 Annualised Inputs'!$D$7:$D$12))</f>
        <v/>
      </c>
      <c r="P330" s="25">
        <f>SQRT(SUMPRODUCT(MMULT(I330:N330,'07 Annualised Inputs'!$B$17:$G$22),I330:N330))</f>
        <v/>
      </c>
      <c r="Q330" s="37">
        <f>(O330-'02 Config'!$B$10)/P330</f>
        <v/>
      </c>
    </row>
    <row r="331">
      <c r="A331" s="12" t="n">
        <v>326</v>
      </c>
      <c r="B331" s="36" t="n">
        <v>0.9519287900809079</v>
      </c>
      <c r="C331" s="36" t="n">
        <v>0.0120518630159252</v>
      </c>
      <c r="D331" s="36" t="n">
        <v>0.7630192967767481</v>
      </c>
      <c r="E331" s="36" t="n">
        <v>0.9702015725698434</v>
      </c>
      <c r="F331" s="36" t="n">
        <v>0.9059022188177783</v>
      </c>
      <c r="G331" s="36" t="n">
        <v>0.970710161196213</v>
      </c>
      <c r="H331" s="37">
        <f>SUM(B331:G331)</f>
        <v/>
      </c>
      <c r="I331" s="25">
        <f>B331/$H331</f>
        <v/>
      </c>
      <c r="J331" s="25">
        <f>C331/$H331</f>
        <v/>
      </c>
      <c r="K331" s="25">
        <f>D331/$H331</f>
        <v/>
      </c>
      <c r="L331" s="25">
        <f>E331/$H331</f>
        <v/>
      </c>
      <c r="M331" s="25">
        <f>F331/$H331</f>
        <v/>
      </c>
      <c r="N331" s="25">
        <f>G331/$H331</f>
        <v/>
      </c>
      <c r="O331" s="25">
        <f>SUM(MMULT(I331:N331,'07 Annualised Inputs'!$D$7:$D$12))</f>
        <v/>
      </c>
      <c r="P331" s="25">
        <f>SQRT(SUMPRODUCT(MMULT(I331:N331,'07 Annualised Inputs'!$B$17:$G$22),I331:N331))</f>
        <v/>
      </c>
      <c r="Q331" s="37">
        <f>(O331-'02 Config'!$B$10)/P331</f>
        <v/>
      </c>
    </row>
    <row r="332">
      <c r="A332" s="12" t="n">
        <v>327</v>
      </c>
      <c r="B332" s="36" t="n">
        <v>0.5503235056976393</v>
      </c>
      <c r="C332" s="36" t="n">
        <v>0.07815613988538828</v>
      </c>
      <c r="D332" s="36" t="n">
        <v>0.8497891978050361</v>
      </c>
      <c r="E332" s="36" t="n">
        <v>0.6138282558090116</v>
      </c>
      <c r="F332" s="36" t="n">
        <v>0.6147367441882891</v>
      </c>
      <c r="G332" s="36" t="n">
        <v>0.4172536098586862</v>
      </c>
      <c r="H332" s="37">
        <f>SUM(B332:G332)</f>
        <v/>
      </c>
      <c r="I332" s="25">
        <f>B332/$H332</f>
        <v/>
      </c>
      <c r="J332" s="25">
        <f>C332/$H332</f>
        <v/>
      </c>
      <c r="K332" s="25">
        <f>D332/$H332</f>
        <v/>
      </c>
      <c r="L332" s="25">
        <f>E332/$H332</f>
        <v/>
      </c>
      <c r="M332" s="25">
        <f>F332/$H332</f>
        <v/>
      </c>
      <c r="N332" s="25">
        <f>G332/$H332</f>
        <v/>
      </c>
      <c r="O332" s="25">
        <f>SUM(MMULT(I332:N332,'07 Annualised Inputs'!$D$7:$D$12))</f>
        <v/>
      </c>
      <c r="P332" s="25">
        <f>SQRT(SUMPRODUCT(MMULT(I332:N332,'07 Annualised Inputs'!$B$17:$G$22),I332:N332))</f>
        <v/>
      </c>
      <c r="Q332" s="37">
        <f>(O332-'02 Config'!$B$10)/P332</f>
        <v/>
      </c>
    </row>
    <row r="333">
      <c r="A333" s="12" t="n">
        <v>328</v>
      </c>
      <c r="B333" s="36" t="n">
        <v>0.5718419765211091</v>
      </c>
      <c r="C333" s="36" t="n">
        <v>0.1535797790861145</v>
      </c>
      <c r="D333" s="36" t="n">
        <v>0.7397700265661503</v>
      </c>
      <c r="E333" s="36" t="n">
        <v>0.07501730735154233</v>
      </c>
      <c r="F333" s="36" t="n">
        <v>0.729780767043792</v>
      </c>
      <c r="G333" s="36" t="n">
        <v>0.848978422624854</v>
      </c>
      <c r="H333" s="37">
        <f>SUM(B333:G333)</f>
        <v/>
      </c>
      <c r="I333" s="25">
        <f>B333/$H333</f>
        <v/>
      </c>
      <c r="J333" s="25">
        <f>C333/$H333</f>
        <v/>
      </c>
      <c r="K333" s="25">
        <f>D333/$H333</f>
        <v/>
      </c>
      <c r="L333" s="25">
        <f>E333/$H333</f>
        <v/>
      </c>
      <c r="M333" s="25">
        <f>F333/$H333</f>
        <v/>
      </c>
      <c r="N333" s="25">
        <f>G333/$H333</f>
        <v/>
      </c>
      <c r="O333" s="25">
        <f>SUM(MMULT(I333:N333,'07 Annualised Inputs'!$D$7:$D$12))</f>
        <v/>
      </c>
      <c r="P333" s="25">
        <f>SQRT(SUMPRODUCT(MMULT(I333:N333,'07 Annualised Inputs'!$B$17:$G$22),I333:N333))</f>
        <v/>
      </c>
      <c r="Q333" s="37">
        <f>(O333-'02 Config'!$B$10)/P333</f>
        <v/>
      </c>
    </row>
    <row r="334">
      <c r="A334" s="12" t="n">
        <v>329</v>
      </c>
      <c r="B334" s="36" t="n">
        <v>0.4724686775644882</v>
      </c>
      <c r="C334" s="36" t="n">
        <v>0.5098303660570493</v>
      </c>
      <c r="D334" s="36" t="n">
        <v>0.3122142729220783</v>
      </c>
      <c r="E334" s="36" t="n">
        <v>0.9694585837255876</v>
      </c>
      <c r="F334" s="36" t="n">
        <v>0.7331244745595453</v>
      </c>
      <c r="G334" s="36" t="n">
        <v>0.368988553300345</v>
      </c>
      <c r="H334" s="37">
        <f>SUM(B334:G334)</f>
        <v/>
      </c>
      <c r="I334" s="25">
        <f>B334/$H334</f>
        <v/>
      </c>
      <c r="J334" s="25">
        <f>C334/$H334</f>
        <v/>
      </c>
      <c r="K334" s="25">
        <f>D334/$H334</f>
        <v/>
      </c>
      <c r="L334" s="25">
        <f>E334/$H334</f>
        <v/>
      </c>
      <c r="M334" s="25">
        <f>F334/$H334</f>
        <v/>
      </c>
      <c r="N334" s="25">
        <f>G334/$H334</f>
        <v/>
      </c>
      <c r="O334" s="25">
        <f>SUM(MMULT(I334:N334,'07 Annualised Inputs'!$D$7:$D$12))</f>
        <v/>
      </c>
      <c r="P334" s="25">
        <f>SQRT(SUMPRODUCT(MMULT(I334:N334,'07 Annualised Inputs'!$B$17:$G$22),I334:N334))</f>
        <v/>
      </c>
      <c r="Q334" s="37">
        <f>(O334-'02 Config'!$B$10)/P334</f>
        <v/>
      </c>
    </row>
    <row r="335">
      <c r="A335" s="12" t="n">
        <v>330</v>
      </c>
      <c r="B335" s="36" t="n">
        <v>0.1748073862330051</v>
      </c>
      <c r="C335" s="36" t="n">
        <v>0.2195795922020913</v>
      </c>
      <c r="D335" s="36" t="n">
        <v>0.46392228611005</v>
      </c>
      <c r="E335" s="36" t="n">
        <v>0.9425684003143379</v>
      </c>
      <c r="F335" s="36" t="n">
        <v>0.7341463457609181</v>
      </c>
      <c r="G335" s="36" t="n">
        <v>0.2152437481791498</v>
      </c>
      <c r="H335" s="37">
        <f>SUM(B335:G335)</f>
        <v/>
      </c>
      <c r="I335" s="25">
        <f>B335/$H335</f>
        <v/>
      </c>
      <c r="J335" s="25">
        <f>C335/$H335</f>
        <v/>
      </c>
      <c r="K335" s="25">
        <f>D335/$H335</f>
        <v/>
      </c>
      <c r="L335" s="25">
        <f>E335/$H335</f>
        <v/>
      </c>
      <c r="M335" s="25">
        <f>F335/$H335</f>
        <v/>
      </c>
      <c r="N335" s="25">
        <f>G335/$H335</f>
        <v/>
      </c>
      <c r="O335" s="25">
        <f>SUM(MMULT(I335:N335,'07 Annualised Inputs'!$D$7:$D$12))</f>
        <v/>
      </c>
      <c r="P335" s="25">
        <f>SQRT(SUMPRODUCT(MMULT(I335:N335,'07 Annualised Inputs'!$B$17:$G$22),I335:N335))</f>
        <v/>
      </c>
      <c r="Q335" s="37">
        <f>(O335-'02 Config'!$B$10)/P335</f>
        <v/>
      </c>
    </row>
    <row r="336">
      <c r="A336" s="12" t="n">
        <v>331</v>
      </c>
      <c r="B336" s="36" t="n">
        <v>0.8595611334188981</v>
      </c>
      <c r="C336" s="36" t="n">
        <v>0.3782005230096811</v>
      </c>
      <c r="D336" s="36" t="n">
        <v>0.8517221827525187</v>
      </c>
      <c r="E336" s="36" t="n">
        <v>0.2416995979811309</v>
      </c>
      <c r="F336" s="36" t="n">
        <v>0.6186606119363176</v>
      </c>
      <c r="G336" s="36" t="n">
        <v>0.9266704880812819</v>
      </c>
      <c r="H336" s="37">
        <f>SUM(B336:G336)</f>
        <v/>
      </c>
      <c r="I336" s="25">
        <f>B336/$H336</f>
        <v/>
      </c>
      <c r="J336" s="25">
        <f>C336/$H336</f>
        <v/>
      </c>
      <c r="K336" s="25">
        <f>D336/$H336</f>
        <v/>
      </c>
      <c r="L336" s="25">
        <f>E336/$H336</f>
        <v/>
      </c>
      <c r="M336" s="25">
        <f>F336/$H336</f>
        <v/>
      </c>
      <c r="N336" s="25">
        <f>G336/$H336</f>
        <v/>
      </c>
      <c r="O336" s="25">
        <f>SUM(MMULT(I336:N336,'07 Annualised Inputs'!$D$7:$D$12))</f>
        <v/>
      </c>
      <c r="P336" s="25">
        <f>SQRT(SUMPRODUCT(MMULT(I336:N336,'07 Annualised Inputs'!$B$17:$G$22),I336:N336))</f>
        <v/>
      </c>
      <c r="Q336" s="37">
        <f>(O336-'02 Config'!$B$10)/P336</f>
        <v/>
      </c>
    </row>
    <row r="337">
      <c r="A337" s="12" t="n">
        <v>332</v>
      </c>
      <c r="B337" s="36" t="n">
        <v>0.2578940091477941</v>
      </c>
      <c r="C337" s="36" t="n">
        <v>0.6929265905858549</v>
      </c>
      <c r="D337" s="36" t="n">
        <v>0.9873126199571438</v>
      </c>
      <c r="E337" s="36" t="n">
        <v>0.1505982872430035</v>
      </c>
      <c r="F337" s="36" t="n">
        <v>0.0884022907006744</v>
      </c>
      <c r="G337" s="36" t="n">
        <v>0.6741951924448162</v>
      </c>
      <c r="H337" s="37">
        <f>SUM(B337:G337)</f>
        <v/>
      </c>
      <c r="I337" s="25">
        <f>B337/$H337</f>
        <v/>
      </c>
      <c r="J337" s="25">
        <f>C337/$H337</f>
        <v/>
      </c>
      <c r="K337" s="25">
        <f>D337/$H337</f>
        <v/>
      </c>
      <c r="L337" s="25">
        <f>E337/$H337</f>
        <v/>
      </c>
      <c r="M337" s="25">
        <f>F337/$H337</f>
        <v/>
      </c>
      <c r="N337" s="25">
        <f>G337/$H337</f>
        <v/>
      </c>
      <c r="O337" s="25">
        <f>SUM(MMULT(I337:N337,'07 Annualised Inputs'!$D$7:$D$12))</f>
        <v/>
      </c>
      <c r="P337" s="25">
        <f>SQRT(SUMPRODUCT(MMULT(I337:N337,'07 Annualised Inputs'!$B$17:$G$22),I337:N337))</f>
        <v/>
      </c>
      <c r="Q337" s="37">
        <f>(O337-'02 Config'!$B$10)/P337</f>
        <v/>
      </c>
    </row>
    <row r="338">
      <c r="A338" s="12" t="n">
        <v>333</v>
      </c>
      <c r="B338" s="36" t="n">
        <v>0.3397359477490304</v>
      </c>
      <c r="C338" s="36" t="n">
        <v>0.07124447736659112</v>
      </c>
      <c r="D338" s="36" t="n">
        <v>0.4753056178836041</v>
      </c>
      <c r="E338" s="36" t="n">
        <v>0.7537706796439557</v>
      </c>
      <c r="F338" s="36" t="n">
        <v>0.2851224004151888</v>
      </c>
      <c r="G338" s="36" t="n">
        <v>0.3350468775051347</v>
      </c>
      <c r="H338" s="37">
        <f>SUM(B338:G338)</f>
        <v/>
      </c>
      <c r="I338" s="25">
        <f>B338/$H338</f>
        <v/>
      </c>
      <c r="J338" s="25">
        <f>C338/$H338</f>
        <v/>
      </c>
      <c r="K338" s="25">
        <f>D338/$H338</f>
        <v/>
      </c>
      <c r="L338" s="25">
        <f>E338/$H338</f>
        <v/>
      </c>
      <c r="M338" s="25">
        <f>F338/$H338</f>
        <v/>
      </c>
      <c r="N338" s="25">
        <f>G338/$H338</f>
        <v/>
      </c>
      <c r="O338" s="25">
        <f>SUM(MMULT(I338:N338,'07 Annualised Inputs'!$D$7:$D$12))</f>
        <v/>
      </c>
      <c r="P338" s="25">
        <f>SQRT(SUMPRODUCT(MMULT(I338:N338,'07 Annualised Inputs'!$B$17:$G$22),I338:N338))</f>
        <v/>
      </c>
      <c r="Q338" s="37">
        <f>(O338-'02 Config'!$B$10)/P338</f>
        <v/>
      </c>
    </row>
    <row r="339">
      <c r="A339" s="12" t="n">
        <v>334</v>
      </c>
      <c r="B339" s="36" t="n">
        <v>0.8456994006469721</v>
      </c>
      <c r="C339" s="36" t="n">
        <v>0.5200719122614881</v>
      </c>
      <c r="D339" s="36" t="n">
        <v>0.8427319688064721</v>
      </c>
      <c r="E339" s="36" t="n">
        <v>0.4463894921437095</v>
      </c>
      <c r="F339" s="36" t="n">
        <v>0.9529751615601034</v>
      </c>
      <c r="G339" s="36" t="n">
        <v>0.6507945897177367</v>
      </c>
      <c r="H339" s="37">
        <f>SUM(B339:G339)</f>
        <v/>
      </c>
      <c r="I339" s="25">
        <f>B339/$H339</f>
        <v/>
      </c>
      <c r="J339" s="25">
        <f>C339/$H339</f>
        <v/>
      </c>
      <c r="K339" s="25">
        <f>D339/$H339</f>
        <v/>
      </c>
      <c r="L339" s="25">
        <f>E339/$H339</f>
        <v/>
      </c>
      <c r="M339" s="25">
        <f>F339/$H339</f>
        <v/>
      </c>
      <c r="N339" s="25">
        <f>G339/$H339</f>
        <v/>
      </c>
      <c r="O339" s="25">
        <f>SUM(MMULT(I339:N339,'07 Annualised Inputs'!$D$7:$D$12))</f>
        <v/>
      </c>
      <c r="P339" s="25">
        <f>SQRT(SUMPRODUCT(MMULT(I339:N339,'07 Annualised Inputs'!$B$17:$G$22),I339:N339))</f>
        <v/>
      </c>
      <c r="Q339" s="37">
        <f>(O339-'02 Config'!$B$10)/P339</f>
        <v/>
      </c>
    </row>
    <row r="340">
      <c r="A340" s="12" t="n">
        <v>335</v>
      </c>
      <c r="B340" s="36" t="n">
        <v>0.1158988653192494</v>
      </c>
      <c r="C340" s="36" t="n">
        <v>0.8850929882268007</v>
      </c>
      <c r="D340" s="36" t="n">
        <v>0.4892651908307978</v>
      </c>
      <c r="E340" s="36" t="n">
        <v>0.141638967972905</v>
      </c>
      <c r="F340" s="36" t="n">
        <v>0.1526901338414207</v>
      </c>
      <c r="G340" s="36" t="n">
        <v>0.6875339351098718</v>
      </c>
      <c r="H340" s="37">
        <f>SUM(B340:G340)</f>
        <v/>
      </c>
      <c r="I340" s="25">
        <f>B340/$H340</f>
        <v/>
      </c>
      <c r="J340" s="25">
        <f>C340/$H340</f>
        <v/>
      </c>
      <c r="K340" s="25">
        <f>D340/$H340</f>
        <v/>
      </c>
      <c r="L340" s="25">
        <f>E340/$H340</f>
        <v/>
      </c>
      <c r="M340" s="25">
        <f>F340/$H340</f>
        <v/>
      </c>
      <c r="N340" s="25">
        <f>G340/$H340</f>
        <v/>
      </c>
      <c r="O340" s="25">
        <f>SUM(MMULT(I340:N340,'07 Annualised Inputs'!$D$7:$D$12))</f>
        <v/>
      </c>
      <c r="P340" s="25">
        <f>SQRT(SUMPRODUCT(MMULT(I340:N340,'07 Annualised Inputs'!$B$17:$G$22),I340:N340))</f>
        <v/>
      </c>
      <c r="Q340" s="37">
        <f>(O340-'02 Config'!$B$10)/P340</f>
        <v/>
      </c>
    </row>
    <row r="341">
      <c r="A341" s="12" t="n">
        <v>336</v>
      </c>
      <c r="B341" s="36" t="n">
        <v>0.04737250672948978</v>
      </c>
      <c r="C341" s="36" t="n">
        <v>0.2865937649138133</v>
      </c>
      <c r="D341" s="36" t="n">
        <v>0.1397875904698681</v>
      </c>
      <c r="E341" s="36" t="n">
        <v>0.4410774296172842</v>
      </c>
      <c r="F341" s="36" t="n">
        <v>0.4143537719943613</v>
      </c>
      <c r="G341" s="36" t="n">
        <v>0.5218764346888559</v>
      </c>
      <c r="H341" s="37">
        <f>SUM(B341:G341)</f>
        <v/>
      </c>
      <c r="I341" s="25">
        <f>B341/$H341</f>
        <v/>
      </c>
      <c r="J341" s="25">
        <f>C341/$H341</f>
        <v/>
      </c>
      <c r="K341" s="25">
        <f>D341/$H341</f>
        <v/>
      </c>
      <c r="L341" s="25">
        <f>E341/$H341</f>
        <v/>
      </c>
      <c r="M341" s="25">
        <f>F341/$H341</f>
        <v/>
      </c>
      <c r="N341" s="25">
        <f>G341/$H341</f>
        <v/>
      </c>
      <c r="O341" s="25">
        <f>SUM(MMULT(I341:N341,'07 Annualised Inputs'!$D$7:$D$12))</f>
        <v/>
      </c>
      <c r="P341" s="25">
        <f>SQRT(SUMPRODUCT(MMULT(I341:N341,'07 Annualised Inputs'!$B$17:$G$22),I341:N341))</f>
        <v/>
      </c>
      <c r="Q341" s="37">
        <f>(O341-'02 Config'!$B$10)/P341</f>
        <v/>
      </c>
    </row>
    <row r="342">
      <c r="A342" s="12" t="n">
        <v>337</v>
      </c>
      <c r="B342" s="36" t="n">
        <v>0.2796363291025302</v>
      </c>
      <c r="C342" s="36" t="n">
        <v>0.0320435893781772</v>
      </c>
      <c r="D342" s="36" t="n">
        <v>0.6143861065351858</v>
      </c>
      <c r="E342" s="36" t="n">
        <v>0.3737180028823514</v>
      </c>
      <c r="F342" s="36" t="n">
        <v>0.6513349987400464</v>
      </c>
      <c r="G342" s="36" t="n">
        <v>0.1086669708042685</v>
      </c>
      <c r="H342" s="37">
        <f>SUM(B342:G342)</f>
        <v/>
      </c>
      <c r="I342" s="25">
        <f>B342/$H342</f>
        <v/>
      </c>
      <c r="J342" s="25">
        <f>C342/$H342</f>
        <v/>
      </c>
      <c r="K342" s="25">
        <f>D342/$H342</f>
        <v/>
      </c>
      <c r="L342" s="25">
        <f>E342/$H342</f>
        <v/>
      </c>
      <c r="M342" s="25">
        <f>F342/$H342</f>
        <v/>
      </c>
      <c r="N342" s="25">
        <f>G342/$H342</f>
        <v/>
      </c>
      <c r="O342" s="25">
        <f>SUM(MMULT(I342:N342,'07 Annualised Inputs'!$D$7:$D$12))</f>
        <v/>
      </c>
      <c r="P342" s="25">
        <f>SQRT(SUMPRODUCT(MMULT(I342:N342,'07 Annualised Inputs'!$B$17:$G$22),I342:N342))</f>
        <v/>
      </c>
      <c r="Q342" s="37">
        <f>(O342-'02 Config'!$B$10)/P342</f>
        <v/>
      </c>
    </row>
    <row r="343">
      <c r="A343" s="12" t="n">
        <v>338</v>
      </c>
      <c r="B343" s="36" t="n">
        <v>0.01377735529405033</v>
      </c>
      <c r="C343" s="36" t="n">
        <v>0.2482942478852928</v>
      </c>
      <c r="D343" s="36" t="n">
        <v>0.4565473229940522</v>
      </c>
      <c r="E343" s="36" t="n">
        <v>0.3940719741684673</v>
      </c>
      <c r="F343" s="36" t="n">
        <v>0.8103025552734664</v>
      </c>
      <c r="G343" s="36" t="n">
        <v>0.377837644192824</v>
      </c>
      <c r="H343" s="37">
        <f>SUM(B343:G343)</f>
        <v/>
      </c>
      <c r="I343" s="25">
        <f>B343/$H343</f>
        <v/>
      </c>
      <c r="J343" s="25">
        <f>C343/$H343</f>
        <v/>
      </c>
      <c r="K343" s="25">
        <f>D343/$H343</f>
        <v/>
      </c>
      <c r="L343" s="25">
        <f>E343/$H343</f>
        <v/>
      </c>
      <c r="M343" s="25">
        <f>F343/$H343</f>
        <v/>
      </c>
      <c r="N343" s="25">
        <f>G343/$H343</f>
        <v/>
      </c>
      <c r="O343" s="25">
        <f>SUM(MMULT(I343:N343,'07 Annualised Inputs'!$D$7:$D$12))</f>
        <v/>
      </c>
      <c r="P343" s="25">
        <f>SQRT(SUMPRODUCT(MMULT(I343:N343,'07 Annualised Inputs'!$B$17:$G$22),I343:N343))</f>
        <v/>
      </c>
      <c r="Q343" s="37">
        <f>(O343-'02 Config'!$B$10)/P343</f>
        <v/>
      </c>
    </row>
    <row r="344">
      <c r="A344" s="12" t="n">
        <v>339</v>
      </c>
      <c r="B344" s="36" t="n">
        <v>0.5304411796030789</v>
      </c>
      <c r="C344" s="36" t="n">
        <v>0.5935155924421922</v>
      </c>
      <c r="D344" s="36" t="n">
        <v>0.0218313916458116</v>
      </c>
      <c r="E344" s="36" t="n">
        <v>0.515133376846189</v>
      </c>
      <c r="F344" s="36" t="n">
        <v>0.3448312593988379</v>
      </c>
      <c r="G344" s="36" t="n">
        <v>0.4212801276832546</v>
      </c>
      <c r="H344" s="37">
        <f>SUM(B344:G344)</f>
        <v/>
      </c>
      <c r="I344" s="25">
        <f>B344/$H344</f>
        <v/>
      </c>
      <c r="J344" s="25">
        <f>C344/$H344</f>
        <v/>
      </c>
      <c r="K344" s="25">
        <f>D344/$H344</f>
        <v/>
      </c>
      <c r="L344" s="25">
        <f>E344/$H344</f>
        <v/>
      </c>
      <c r="M344" s="25">
        <f>F344/$H344</f>
        <v/>
      </c>
      <c r="N344" s="25">
        <f>G344/$H344</f>
        <v/>
      </c>
      <c r="O344" s="25">
        <f>SUM(MMULT(I344:N344,'07 Annualised Inputs'!$D$7:$D$12))</f>
        <v/>
      </c>
      <c r="P344" s="25">
        <f>SQRT(SUMPRODUCT(MMULT(I344:N344,'07 Annualised Inputs'!$B$17:$G$22),I344:N344))</f>
        <v/>
      </c>
      <c r="Q344" s="37">
        <f>(O344-'02 Config'!$B$10)/P344</f>
        <v/>
      </c>
    </row>
    <row r="345">
      <c r="A345" s="12" t="n">
        <v>340</v>
      </c>
      <c r="B345" s="36" t="n">
        <v>0.1002873984952503</v>
      </c>
      <c r="C345" s="36" t="n">
        <v>0.7828205656486452</v>
      </c>
      <c r="D345" s="36" t="n">
        <v>0.9424042508085225</v>
      </c>
      <c r="E345" s="36" t="n">
        <v>0.02226882062960001</v>
      </c>
      <c r="F345" s="36" t="n">
        <v>0.6013727628113479</v>
      </c>
      <c r="G345" s="36" t="n">
        <v>0.7638440672883581</v>
      </c>
      <c r="H345" s="37">
        <f>SUM(B345:G345)</f>
        <v/>
      </c>
      <c r="I345" s="25">
        <f>B345/$H345</f>
        <v/>
      </c>
      <c r="J345" s="25">
        <f>C345/$H345</f>
        <v/>
      </c>
      <c r="K345" s="25">
        <f>D345/$H345</f>
        <v/>
      </c>
      <c r="L345" s="25">
        <f>E345/$H345</f>
        <v/>
      </c>
      <c r="M345" s="25">
        <f>F345/$H345</f>
        <v/>
      </c>
      <c r="N345" s="25">
        <f>G345/$H345</f>
        <v/>
      </c>
      <c r="O345" s="25">
        <f>SUM(MMULT(I345:N345,'07 Annualised Inputs'!$D$7:$D$12))</f>
        <v/>
      </c>
      <c r="P345" s="25">
        <f>SQRT(SUMPRODUCT(MMULT(I345:N345,'07 Annualised Inputs'!$B$17:$G$22),I345:N345))</f>
        <v/>
      </c>
      <c r="Q345" s="37">
        <f>(O345-'02 Config'!$B$10)/P345</f>
        <v/>
      </c>
    </row>
    <row r="346">
      <c r="A346" s="12" t="n">
        <v>341</v>
      </c>
      <c r="B346" s="36" t="n">
        <v>0.2848075886498894</v>
      </c>
      <c r="C346" s="36" t="n">
        <v>0.7875555848632168</v>
      </c>
      <c r="D346" s="36" t="n">
        <v>0.6323550507663013</v>
      </c>
      <c r="E346" s="36" t="n">
        <v>0.92916263227107</v>
      </c>
      <c r="F346" s="36" t="n">
        <v>0.9810048113537728</v>
      </c>
      <c r="G346" s="36" t="n">
        <v>0.0423461139987048</v>
      </c>
      <c r="H346" s="37">
        <f>SUM(B346:G346)</f>
        <v/>
      </c>
      <c r="I346" s="25">
        <f>B346/$H346</f>
        <v/>
      </c>
      <c r="J346" s="25">
        <f>C346/$H346</f>
        <v/>
      </c>
      <c r="K346" s="25">
        <f>D346/$H346</f>
        <v/>
      </c>
      <c r="L346" s="25">
        <f>E346/$H346</f>
        <v/>
      </c>
      <c r="M346" s="25">
        <f>F346/$H346</f>
        <v/>
      </c>
      <c r="N346" s="25">
        <f>G346/$H346</f>
        <v/>
      </c>
      <c r="O346" s="25">
        <f>SUM(MMULT(I346:N346,'07 Annualised Inputs'!$D$7:$D$12))</f>
        <v/>
      </c>
      <c r="P346" s="25">
        <f>SQRT(SUMPRODUCT(MMULT(I346:N346,'07 Annualised Inputs'!$B$17:$G$22),I346:N346))</f>
        <v/>
      </c>
      <c r="Q346" s="37">
        <f>(O346-'02 Config'!$B$10)/P346</f>
        <v/>
      </c>
    </row>
    <row r="347">
      <c r="A347" s="12" t="n">
        <v>342</v>
      </c>
      <c r="B347" s="36" t="n">
        <v>0.4449377610270062</v>
      </c>
      <c r="C347" s="36" t="n">
        <v>0.5469877875782182</v>
      </c>
      <c r="D347" s="36" t="n">
        <v>0.1467432332076525</v>
      </c>
      <c r="E347" s="36" t="n">
        <v>0.3362858304273617</v>
      </c>
      <c r="F347" s="36" t="n">
        <v>0.9876474477564617</v>
      </c>
      <c r="G347" s="36" t="n">
        <v>0.01623045634247144</v>
      </c>
      <c r="H347" s="37">
        <f>SUM(B347:G347)</f>
        <v/>
      </c>
      <c r="I347" s="25">
        <f>B347/$H347</f>
        <v/>
      </c>
      <c r="J347" s="25">
        <f>C347/$H347</f>
        <v/>
      </c>
      <c r="K347" s="25">
        <f>D347/$H347</f>
        <v/>
      </c>
      <c r="L347" s="25">
        <f>E347/$H347</f>
        <v/>
      </c>
      <c r="M347" s="25">
        <f>F347/$H347</f>
        <v/>
      </c>
      <c r="N347" s="25">
        <f>G347/$H347</f>
        <v/>
      </c>
      <c r="O347" s="25">
        <f>SUM(MMULT(I347:N347,'07 Annualised Inputs'!$D$7:$D$12))</f>
        <v/>
      </c>
      <c r="P347" s="25">
        <f>SQRT(SUMPRODUCT(MMULT(I347:N347,'07 Annualised Inputs'!$B$17:$G$22),I347:N347))</f>
        <v/>
      </c>
      <c r="Q347" s="37">
        <f>(O347-'02 Config'!$B$10)/P347</f>
        <v/>
      </c>
    </row>
    <row r="348">
      <c r="A348" s="12" t="n">
        <v>343</v>
      </c>
      <c r="B348" s="36" t="n">
        <v>0.4525079315243841</v>
      </c>
      <c r="C348" s="36" t="n">
        <v>0.8426546217181962</v>
      </c>
      <c r="D348" s="36" t="n">
        <v>0.3239012627192884</v>
      </c>
      <c r="E348" s="36" t="n">
        <v>0.4797985027551533</v>
      </c>
      <c r="F348" s="36" t="n">
        <v>0.97804574578798</v>
      </c>
      <c r="G348" s="36" t="n">
        <v>0.4748768364757039</v>
      </c>
      <c r="H348" s="37">
        <f>SUM(B348:G348)</f>
        <v/>
      </c>
      <c r="I348" s="25">
        <f>B348/$H348</f>
        <v/>
      </c>
      <c r="J348" s="25">
        <f>C348/$H348</f>
        <v/>
      </c>
      <c r="K348" s="25">
        <f>D348/$H348</f>
        <v/>
      </c>
      <c r="L348" s="25">
        <f>E348/$H348</f>
        <v/>
      </c>
      <c r="M348" s="25">
        <f>F348/$H348</f>
        <v/>
      </c>
      <c r="N348" s="25">
        <f>G348/$H348</f>
        <v/>
      </c>
      <c r="O348" s="25">
        <f>SUM(MMULT(I348:N348,'07 Annualised Inputs'!$D$7:$D$12))</f>
        <v/>
      </c>
      <c r="P348" s="25">
        <f>SQRT(SUMPRODUCT(MMULT(I348:N348,'07 Annualised Inputs'!$B$17:$G$22),I348:N348))</f>
        <v/>
      </c>
      <c r="Q348" s="37">
        <f>(O348-'02 Config'!$B$10)/P348</f>
        <v/>
      </c>
    </row>
    <row r="349">
      <c r="A349" s="12" t="n">
        <v>344</v>
      </c>
      <c r="B349" s="36" t="n">
        <v>0.130921312146499</v>
      </c>
      <c r="C349" s="36" t="n">
        <v>0.05172149166639106</v>
      </c>
      <c r="D349" s="36" t="n">
        <v>0.9454165724399485</v>
      </c>
      <c r="E349" s="36" t="n">
        <v>0.2658094132750657</v>
      </c>
      <c r="F349" s="36" t="n">
        <v>0.5040639065645509</v>
      </c>
      <c r="G349" s="36" t="n">
        <v>0.09070176608996861</v>
      </c>
      <c r="H349" s="37">
        <f>SUM(B349:G349)</f>
        <v/>
      </c>
      <c r="I349" s="25">
        <f>B349/$H349</f>
        <v/>
      </c>
      <c r="J349" s="25">
        <f>C349/$H349</f>
        <v/>
      </c>
      <c r="K349" s="25">
        <f>D349/$H349</f>
        <v/>
      </c>
      <c r="L349" s="25">
        <f>E349/$H349</f>
        <v/>
      </c>
      <c r="M349" s="25">
        <f>F349/$H349</f>
        <v/>
      </c>
      <c r="N349" s="25">
        <f>G349/$H349</f>
        <v/>
      </c>
      <c r="O349" s="25">
        <f>SUM(MMULT(I349:N349,'07 Annualised Inputs'!$D$7:$D$12))</f>
        <v/>
      </c>
      <c r="P349" s="25">
        <f>SQRT(SUMPRODUCT(MMULT(I349:N349,'07 Annualised Inputs'!$B$17:$G$22),I349:N349))</f>
        <v/>
      </c>
      <c r="Q349" s="37">
        <f>(O349-'02 Config'!$B$10)/P349</f>
        <v/>
      </c>
    </row>
    <row r="350">
      <c r="A350" s="12" t="n">
        <v>345</v>
      </c>
      <c r="B350" s="36" t="n">
        <v>0.4236551205506051</v>
      </c>
      <c r="C350" s="36" t="n">
        <v>0.9301055192501241</v>
      </c>
      <c r="D350" s="36" t="n">
        <v>0.5024129936309384</v>
      </c>
      <c r="E350" s="36" t="n">
        <v>0.9711351518023279</v>
      </c>
      <c r="F350" s="36" t="n">
        <v>0.2588356372373997</v>
      </c>
      <c r="G350" s="36" t="n">
        <v>0.5045452397039372</v>
      </c>
      <c r="H350" s="37">
        <f>SUM(B350:G350)</f>
        <v/>
      </c>
      <c r="I350" s="25">
        <f>B350/$H350</f>
        <v/>
      </c>
      <c r="J350" s="25">
        <f>C350/$H350</f>
        <v/>
      </c>
      <c r="K350" s="25">
        <f>D350/$H350</f>
        <v/>
      </c>
      <c r="L350" s="25">
        <f>E350/$H350</f>
        <v/>
      </c>
      <c r="M350" s="25">
        <f>F350/$H350</f>
        <v/>
      </c>
      <c r="N350" s="25">
        <f>G350/$H350</f>
        <v/>
      </c>
      <c r="O350" s="25">
        <f>SUM(MMULT(I350:N350,'07 Annualised Inputs'!$D$7:$D$12))</f>
        <v/>
      </c>
      <c r="P350" s="25">
        <f>SQRT(SUMPRODUCT(MMULT(I350:N350,'07 Annualised Inputs'!$B$17:$G$22),I350:N350))</f>
        <v/>
      </c>
      <c r="Q350" s="37">
        <f>(O350-'02 Config'!$B$10)/P350</f>
        <v/>
      </c>
    </row>
    <row r="351">
      <c r="A351" s="12" t="n">
        <v>346</v>
      </c>
      <c r="B351" s="36" t="n">
        <v>0.8595307918093252</v>
      </c>
      <c r="C351" s="36" t="n">
        <v>0.4482523545537438</v>
      </c>
      <c r="D351" s="36" t="n">
        <v>0.2794873735701896</v>
      </c>
      <c r="E351" s="36" t="n">
        <v>0.8554753634178817</v>
      </c>
      <c r="F351" s="36" t="n">
        <v>0.389889468872609</v>
      </c>
      <c r="G351" s="36" t="n">
        <v>0.5307232910602341</v>
      </c>
      <c r="H351" s="37">
        <f>SUM(B351:G351)</f>
        <v/>
      </c>
      <c r="I351" s="25">
        <f>B351/$H351</f>
        <v/>
      </c>
      <c r="J351" s="25">
        <f>C351/$H351</f>
        <v/>
      </c>
      <c r="K351" s="25">
        <f>D351/$H351</f>
        <v/>
      </c>
      <c r="L351" s="25">
        <f>E351/$H351</f>
        <v/>
      </c>
      <c r="M351" s="25">
        <f>F351/$H351</f>
        <v/>
      </c>
      <c r="N351" s="25">
        <f>G351/$H351</f>
        <v/>
      </c>
      <c r="O351" s="25">
        <f>SUM(MMULT(I351:N351,'07 Annualised Inputs'!$D$7:$D$12))</f>
        <v/>
      </c>
      <c r="P351" s="25">
        <f>SQRT(SUMPRODUCT(MMULT(I351:N351,'07 Annualised Inputs'!$B$17:$G$22),I351:N351))</f>
        <v/>
      </c>
      <c r="Q351" s="37">
        <f>(O351-'02 Config'!$B$10)/P351</f>
        <v/>
      </c>
    </row>
    <row r="352">
      <c r="A352" s="12" t="n">
        <v>347</v>
      </c>
      <c r="B352" s="36" t="n">
        <v>0.9765270664151456</v>
      </c>
      <c r="C352" s="36" t="n">
        <v>0.1864832947558639</v>
      </c>
      <c r="D352" s="36" t="n">
        <v>0.3014006367201857</v>
      </c>
      <c r="E352" s="36" t="n">
        <v>0.03106960006983994</v>
      </c>
      <c r="F352" s="36" t="n">
        <v>0.3918377099100527</v>
      </c>
      <c r="G352" s="36" t="n">
        <v>0.2001834305848595</v>
      </c>
      <c r="H352" s="37">
        <f>SUM(B352:G352)</f>
        <v/>
      </c>
      <c r="I352" s="25">
        <f>B352/$H352</f>
        <v/>
      </c>
      <c r="J352" s="25">
        <f>C352/$H352</f>
        <v/>
      </c>
      <c r="K352" s="25">
        <f>D352/$H352</f>
        <v/>
      </c>
      <c r="L352" s="25">
        <f>E352/$H352</f>
        <v/>
      </c>
      <c r="M352" s="25">
        <f>F352/$H352</f>
        <v/>
      </c>
      <c r="N352" s="25">
        <f>G352/$H352</f>
        <v/>
      </c>
      <c r="O352" s="25">
        <f>SUM(MMULT(I352:N352,'07 Annualised Inputs'!$D$7:$D$12))</f>
        <v/>
      </c>
      <c r="P352" s="25">
        <f>SQRT(SUMPRODUCT(MMULT(I352:N352,'07 Annualised Inputs'!$B$17:$G$22),I352:N352))</f>
        <v/>
      </c>
      <c r="Q352" s="37">
        <f>(O352-'02 Config'!$B$10)/P352</f>
        <v/>
      </c>
    </row>
    <row r="353">
      <c r="A353" s="12" t="n">
        <v>348</v>
      </c>
      <c r="B353" s="36" t="n">
        <v>0.6800349354078914</v>
      </c>
      <c r="C353" s="36" t="n">
        <v>0.1813214587658524</v>
      </c>
      <c r="D353" s="36" t="n">
        <v>0.6748127524058697</v>
      </c>
      <c r="E353" s="36" t="n">
        <v>0.2634754281893177</v>
      </c>
      <c r="F353" s="36" t="n">
        <v>0.3552178341211998</v>
      </c>
      <c r="G353" s="36" t="n">
        <v>0.3488606520463975</v>
      </c>
      <c r="H353" s="37">
        <f>SUM(B353:G353)</f>
        <v/>
      </c>
      <c r="I353" s="25">
        <f>B353/$H353</f>
        <v/>
      </c>
      <c r="J353" s="25">
        <f>C353/$H353</f>
        <v/>
      </c>
      <c r="K353" s="25">
        <f>D353/$H353</f>
        <v/>
      </c>
      <c r="L353" s="25">
        <f>E353/$H353</f>
        <v/>
      </c>
      <c r="M353" s="25">
        <f>F353/$H353</f>
        <v/>
      </c>
      <c r="N353" s="25">
        <f>G353/$H353</f>
        <v/>
      </c>
      <c r="O353" s="25">
        <f>SUM(MMULT(I353:N353,'07 Annualised Inputs'!$D$7:$D$12))</f>
        <v/>
      </c>
      <c r="P353" s="25">
        <f>SQRT(SUMPRODUCT(MMULT(I353:N353,'07 Annualised Inputs'!$B$17:$G$22),I353:N353))</f>
        <v/>
      </c>
      <c r="Q353" s="37">
        <f>(O353-'02 Config'!$B$10)/P353</f>
        <v/>
      </c>
    </row>
    <row r="354">
      <c r="A354" s="12" t="n">
        <v>349</v>
      </c>
      <c r="B354" s="36" t="n">
        <v>0.7167517501636094</v>
      </c>
      <c r="C354" s="36" t="n">
        <v>0.4665092631383431</v>
      </c>
      <c r="D354" s="36" t="n">
        <v>0.3612988988526831</v>
      </c>
      <c r="E354" s="36" t="n">
        <v>0.8526227190394499</v>
      </c>
      <c r="F354" s="36" t="n">
        <v>0.5719506256412027</v>
      </c>
      <c r="G354" s="36" t="n">
        <v>0.2138308212779978</v>
      </c>
      <c r="H354" s="37">
        <f>SUM(B354:G354)</f>
        <v/>
      </c>
      <c r="I354" s="25">
        <f>B354/$H354</f>
        <v/>
      </c>
      <c r="J354" s="25">
        <f>C354/$H354</f>
        <v/>
      </c>
      <c r="K354" s="25">
        <f>D354/$H354</f>
        <v/>
      </c>
      <c r="L354" s="25">
        <f>E354/$H354</f>
        <v/>
      </c>
      <c r="M354" s="25">
        <f>F354/$H354</f>
        <v/>
      </c>
      <c r="N354" s="25">
        <f>G354/$H354</f>
        <v/>
      </c>
      <c r="O354" s="25">
        <f>SUM(MMULT(I354:N354,'07 Annualised Inputs'!$D$7:$D$12))</f>
        <v/>
      </c>
      <c r="P354" s="25">
        <f>SQRT(SUMPRODUCT(MMULT(I354:N354,'07 Annualised Inputs'!$B$17:$G$22),I354:N354))</f>
        <v/>
      </c>
      <c r="Q354" s="37">
        <f>(O354-'02 Config'!$B$10)/P354</f>
        <v/>
      </c>
    </row>
    <row r="355">
      <c r="A355" s="12" t="n">
        <v>350</v>
      </c>
      <c r="B355" s="36" t="n">
        <v>0.9000912781436826</v>
      </c>
      <c r="C355" s="36" t="n">
        <v>0.3426502960336406</v>
      </c>
      <c r="D355" s="36" t="n">
        <v>0.03897937753732039</v>
      </c>
      <c r="E355" s="36" t="n">
        <v>0.4946002239744529</v>
      </c>
      <c r="F355" s="36" t="n">
        <v>0.1239380544408778</v>
      </c>
      <c r="G355" s="36" t="n">
        <v>0.2384664437157425</v>
      </c>
      <c r="H355" s="37">
        <f>SUM(B355:G355)</f>
        <v/>
      </c>
      <c r="I355" s="25">
        <f>B355/$H355</f>
        <v/>
      </c>
      <c r="J355" s="25">
        <f>C355/$H355</f>
        <v/>
      </c>
      <c r="K355" s="25">
        <f>D355/$H355</f>
        <v/>
      </c>
      <c r="L355" s="25">
        <f>E355/$H355</f>
        <v/>
      </c>
      <c r="M355" s="25">
        <f>F355/$H355</f>
        <v/>
      </c>
      <c r="N355" s="25">
        <f>G355/$H355</f>
        <v/>
      </c>
      <c r="O355" s="25">
        <f>SUM(MMULT(I355:N355,'07 Annualised Inputs'!$D$7:$D$12))</f>
        <v/>
      </c>
      <c r="P355" s="25">
        <f>SQRT(SUMPRODUCT(MMULT(I355:N355,'07 Annualised Inputs'!$B$17:$G$22),I355:N355))</f>
        <v/>
      </c>
      <c r="Q355" s="37">
        <f>(O355-'02 Config'!$B$10)/P355</f>
        <v/>
      </c>
    </row>
    <row r="356">
      <c r="A356" s="12" t="n">
        <v>351</v>
      </c>
      <c r="B356" s="36" t="n">
        <v>0.7471108726874111</v>
      </c>
      <c r="C356" s="36" t="n">
        <v>0.1307518133763186</v>
      </c>
      <c r="D356" s="36" t="n">
        <v>0.8069442243540357</v>
      </c>
      <c r="E356" s="36" t="n">
        <v>0.9369072881309537</v>
      </c>
      <c r="F356" s="36" t="n">
        <v>0.6065321004079447</v>
      </c>
      <c r="G356" s="36" t="n">
        <v>0.7103591920228293</v>
      </c>
      <c r="H356" s="37">
        <f>SUM(B356:G356)</f>
        <v/>
      </c>
      <c r="I356" s="25">
        <f>B356/$H356</f>
        <v/>
      </c>
      <c r="J356" s="25">
        <f>C356/$H356</f>
        <v/>
      </c>
      <c r="K356" s="25">
        <f>D356/$H356</f>
        <v/>
      </c>
      <c r="L356" s="25">
        <f>E356/$H356</f>
        <v/>
      </c>
      <c r="M356" s="25">
        <f>F356/$H356</f>
        <v/>
      </c>
      <c r="N356" s="25">
        <f>G356/$H356</f>
        <v/>
      </c>
      <c r="O356" s="25">
        <f>SUM(MMULT(I356:N356,'07 Annualised Inputs'!$D$7:$D$12))</f>
        <v/>
      </c>
      <c r="P356" s="25">
        <f>SQRT(SUMPRODUCT(MMULT(I356:N356,'07 Annualised Inputs'!$B$17:$G$22),I356:N356))</f>
        <v/>
      </c>
      <c r="Q356" s="37">
        <f>(O356-'02 Config'!$B$10)/P356</f>
        <v/>
      </c>
    </row>
    <row r="357">
      <c r="A357" s="12" t="n">
        <v>352</v>
      </c>
      <c r="B357" s="36" t="n">
        <v>0.7135866099074174</v>
      </c>
      <c r="C357" s="36" t="n">
        <v>0.9928079572704449</v>
      </c>
      <c r="D357" s="36" t="n">
        <v>0.3415382622016229</v>
      </c>
      <c r="E357" s="36" t="n">
        <v>0.1628565512427025</v>
      </c>
      <c r="F357" s="36" t="n">
        <v>0.5191672349143215</v>
      </c>
      <c r="G357" s="36" t="n">
        <v>0.5332498098317082</v>
      </c>
      <c r="H357" s="37">
        <f>SUM(B357:G357)</f>
        <v/>
      </c>
      <c r="I357" s="25">
        <f>B357/$H357</f>
        <v/>
      </c>
      <c r="J357" s="25">
        <f>C357/$H357</f>
        <v/>
      </c>
      <c r="K357" s="25">
        <f>D357/$H357</f>
        <v/>
      </c>
      <c r="L357" s="25">
        <f>E357/$H357</f>
        <v/>
      </c>
      <c r="M357" s="25">
        <f>F357/$H357</f>
        <v/>
      </c>
      <c r="N357" s="25">
        <f>G357/$H357</f>
        <v/>
      </c>
      <c r="O357" s="25">
        <f>SUM(MMULT(I357:N357,'07 Annualised Inputs'!$D$7:$D$12))</f>
        <v/>
      </c>
      <c r="P357" s="25">
        <f>SQRT(SUMPRODUCT(MMULT(I357:N357,'07 Annualised Inputs'!$B$17:$G$22),I357:N357))</f>
        <v/>
      </c>
      <c r="Q357" s="37">
        <f>(O357-'02 Config'!$B$10)/P357</f>
        <v/>
      </c>
    </row>
    <row r="358">
      <c r="A358" s="12" t="n">
        <v>353</v>
      </c>
      <c r="B358" s="36" t="n">
        <v>0.1779124882961445</v>
      </c>
      <c r="C358" s="36" t="n">
        <v>0.6131094189941395</v>
      </c>
      <c r="D358" s="36" t="n">
        <v>0.01412473347682397</v>
      </c>
      <c r="E358" s="36" t="n">
        <v>0.9276684024542216</v>
      </c>
      <c r="F358" s="36" t="n">
        <v>0.2645742778212616</v>
      </c>
      <c r="G358" s="36" t="n">
        <v>0.03956020839019181</v>
      </c>
      <c r="H358" s="37">
        <f>SUM(B358:G358)</f>
        <v/>
      </c>
      <c r="I358" s="25">
        <f>B358/$H358</f>
        <v/>
      </c>
      <c r="J358" s="25">
        <f>C358/$H358</f>
        <v/>
      </c>
      <c r="K358" s="25">
        <f>D358/$H358</f>
        <v/>
      </c>
      <c r="L358" s="25">
        <f>E358/$H358</f>
        <v/>
      </c>
      <c r="M358" s="25">
        <f>F358/$H358</f>
        <v/>
      </c>
      <c r="N358" s="25">
        <f>G358/$H358</f>
        <v/>
      </c>
      <c r="O358" s="25">
        <f>SUM(MMULT(I358:N358,'07 Annualised Inputs'!$D$7:$D$12))</f>
        <v/>
      </c>
      <c r="P358" s="25">
        <f>SQRT(SUMPRODUCT(MMULT(I358:N358,'07 Annualised Inputs'!$B$17:$G$22),I358:N358))</f>
        <v/>
      </c>
      <c r="Q358" s="37">
        <f>(O358-'02 Config'!$B$10)/P358</f>
        <v/>
      </c>
    </row>
    <row r="359">
      <c r="A359" s="12" t="n">
        <v>354</v>
      </c>
      <c r="B359" s="36" t="n">
        <v>0.108249441474857</v>
      </c>
      <c r="C359" s="36" t="n">
        <v>0.2402489482796417</v>
      </c>
      <c r="D359" s="36" t="n">
        <v>0.2739061686060452</v>
      </c>
      <c r="E359" s="36" t="n">
        <v>0.03280999949772867</v>
      </c>
      <c r="F359" s="36" t="n">
        <v>0.2793548121937292</v>
      </c>
      <c r="G359" s="36" t="n">
        <v>0.1929417364934821</v>
      </c>
      <c r="H359" s="37">
        <f>SUM(B359:G359)</f>
        <v/>
      </c>
      <c r="I359" s="25">
        <f>B359/$H359</f>
        <v/>
      </c>
      <c r="J359" s="25">
        <f>C359/$H359</f>
        <v/>
      </c>
      <c r="K359" s="25">
        <f>D359/$H359</f>
        <v/>
      </c>
      <c r="L359" s="25">
        <f>E359/$H359</f>
        <v/>
      </c>
      <c r="M359" s="25">
        <f>F359/$H359</f>
        <v/>
      </c>
      <c r="N359" s="25">
        <f>G359/$H359</f>
        <v/>
      </c>
      <c r="O359" s="25">
        <f>SUM(MMULT(I359:N359,'07 Annualised Inputs'!$D$7:$D$12))</f>
        <v/>
      </c>
      <c r="P359" s="25">
        <f>SQRT(SUMPRODUCT(MMULT(I359:N359,'07 Annualised Inputs'!$B$17:$G$22),I359:N359))</f>
        <v/>
      </c>
      <c r="Q359" s="37">
        <f>(O359-'02 Config'!$B$10)/P359</f>
        <v/>
      </c>
    </row>
    <row r="360">
      <c r="A360" s="12" t="n">
        <v>355</v>
      </c>
      <c r="B360" s="36" t="n">
        <v>0.3786209274345186</v>
      </c>
      <c r="C360" s="36" t="n">
        <v>0.3851677373559692</v>
      </c>
      <c r="D360" s="36" t="n">
        <v>0.3390077406028791</v>
      </c>
      <c r="E360" s="36" t="n">
        <v>0.327923883530704</v>
      </c>
      <c r="F360" s="36" t="n">
        <v>0.08973127774125123</v>
      </c>
      <c r="G360" s="36" t="n">
        <v>0.02520494712616217</v>
      </c>
      <c r="H360" s="37">
        <f>SUM(B360:G360)</f>
        <v/>
      </c>
      <c r="I360" s="25">
        <f>B360/$H360</f>
        <v/>
      </c>
      <c r="J360" s="25">
        <f>C360/$H360</f>
        <v/>
      </c>
      <c r="K360" s="25">
        <f>D360/$H360</f>
        <v/>
      </c>
      <c r="L360" s="25">
        <f>E360/$H360</f>
        <v/>
      </c>
      <c r="M360" s="25">
        <f>F360/$H360</f>
        <v/>
      </c>
      <c r="N360" s="25">
        <f>G360/$H360</f>
        <v/>
      </c>
      <c r="O360" s="25">
        <f>SUM(MMULT(I360:N360,'07 Annualised Inputs'!$D$7:$D$12))</f>
        <v/>
      </c>
      <c r="P360" s="25">
        <f>SQRT(SUMPRODUCT(MMULT(I360:N360,'07 Annualised Inputs'!$B$17:$G$22),I360:N360))</f>
        <v/>
      </c>
      <c r="Q360" s="37">
        <f>(O360-'02 Config'!$B$10)/P360</f>
        <v/>
      </c>
    </row>
    <row r="361">
      <c r="A361" s="12" t="n">
        <v>356</v>
      </c>
      <c r="B361" s="36" t="n">
        <v>0.2021143001564666</v>
      </c>
      <c r="C361" s="36" t="n">
        <v>0.7566494274166153</v>
      </c>
      <c r="D361" s="36" t="n">
        <v>0.9908097655511221</v>
      </c>
      <c r="E361" s="36" t="n">
        <v>0.928526175057329</v>
      </c>
      <c r="F361" s="36" t="n">
        <v>0.5042193555377686</v>
      </c>
      <c r="G361" s="36" t="n">
        <v>0.5318238557779342</v>
      </c>
      <c r="H361" s="37">
        <f>SUM(B361:G361)</f>
        <v/>
      </c>
      <c r="I361" s="25">
        <f>B361/$H361</f>
        <v/>
      </c>
      <c r="J361" s="25">
        <f>C361/$H361</f>
        <v/>
      </c>
      <c r="K361" s="25">
        <f>D361/$H361</f>
        <v/>
      </c>
      <c r="L361" s="25">
        <f>E361/$H361</f>
        <v/>
      </c>
      <c r="M361" s="25">
        <f>F361/$H361</f>
        <v/>
      </c>
      <c r="N361" s="25">
        <f>G361/$H361</f>
        <v/>
      </c>
      <c r="O361" s="25">
        <f>SUM(MMULT(I361:N361,'07 Annualised Inputs'!$D$7:$D$12))</f>
        <v/>
      </c>
      <c r="P361" s="25">
        <f>SQRT(SUMPRODUCT(MMULT(I361:N361,'07 Annualised Inputs'!$B$17:$G$22),I361:N361))</f>
        <v/>
      </c>
      <c r="Q361" s="37">
        <f>(O361-'02 Config'!$B$10)/P361</f>
        <v/>
      </c>
    </row>
    <row r="362">
      <c r="A362" s="12" t="n">
        <v>357</v>
      </c>
      <c r="B362" s="36" t="n">
        <v>0.3145815690358426</v>
      </c>
      <c r="C362" s="36" t="n">
        <v>0.7739394386376562</v>
      </c>
      <c r="D362" s="36" t="n">
        <v>0.7647566879326486</v>
      </c>
      <c r="E362" s="36" t="n">
        <v>0.8442723575824446</v>
      </c>
      <c r="F362" s="36" t="n">
        <v>0.8955045771968844</v>
      </c>
      <c r="G362" s="36" t="n">
        <v>0.4343492482252957</v>
      </c>
      <c r="H362" s="37">
        <f>SUM(B362:G362)</f>
        <v/>
      </c>
      <c r="I362" s="25">
        <f>B362/$H362</f>
        <v/>
      </c>
      <c r="J362" s="25">
        <f>C362/$H362</f>
        <v/>
      </c>
      <c r="K362" s="25">
        <f>D362/$H362</f>
        <v/>
      </c>
      <c r="L362" s="25">
        <f>E362/$H362</f>
        <v/>
      </c>
      <c r="M362" s="25">
        <f>F362/$H362</f>
        <v/>
      </c>
      <c r="N362" s="25">
        <f>G362/$H362</f>
        <v/>
      </c>
      <c r="O362" s="25">
        <f>SUM(MMULT(I362:N362,'07 Annualised Inputs'!$D$7:$D$12))</f>
        <v/>
      </c>
      <c r="P362" s="25">
        <f>SQRT(SUMPRODUCT(MMULT(I362:N362,'07 Annualised Inputs'!$B$17:$G$22),I362:N362))</f>
        <v/>
      </c>
      <c r="Q362" s="37">
        <f>(O362-'02 Config'!$B$10)/P362</f>
        <v/>
      </c>
    </row>
    <row r="363">
      <c r="A363" s="12" t="n">
        <v>358</v>
      </c>
      <c r="B363" s="36" t="n">
        <v>0.7668755681071976</v>
      </c>
      <c r="C363" s="36" t="n">
        <v>0.8063987287958786</v>
      </c>
      <c r="D363" s="36" t="n">
        <v>0.3084596224977502</v>
      </c>
      <c r="E363" s="36" t="n">
        <v>0.92924224400615</v>
      </c>
      <c r="F363" s="36" t="n">
        <v>0.09434150263965546</v>
      </c>
      <c r="G363" s="36" t="n">
        <v>0.9942691791632828</v>
      </c>
      <c r="H363" s="37">
        <f>SUM(B363:G363)</f>
        <v/>
      </c>
      <c r="I363" s="25">
        <f>B363/$H363</f>
        <v/>
      </c>
      <c r="J363" s="25">
        <f>C363/$H363</f>
        <v/>
      </c>
      <c r="K363" s="25">
        <f>D363/$H363</f>
        <v/>
      </c>
      <c r="L363" s="25">
        <f>E363/$H363</f>
        <v/>
      </c>
      <c r="M363" s="25">
        <f>F363/$H363</f>
        <v/>
      </c>
      <c r="N363" s="25">
        <f>G363/$H363</f>
        <v/>
      </c>
      <c r="O363" s="25">
        <f>SUM(MMULT(I363:N363,'07 Annualised Inputs'!$D$7:$D$12))</f>
        <v/>
      </c>
      <c r="P363" s="25">
        <f>SQRT(SUMPRODUCT(MMULT(I363:N363,'07 Annualised Inputs'!$B$17:$G$22),I363:N363))</f>
        <v/>
      </c>
      <c r="Q363" s="37">
        <f>(O363-'02 Config'!$B$10)/P363</f>
        <v/>
      </c>
    </row>
    <row r="364">
      <c r="A364" s="12" t="n">
        <v>359</v>
      </c>
      <c r="B364" s="36" t="n">
        <v>0.7700907181588694</v>
      </c>
      <c r="C364" s="36" t="n">
        <v>0.09327090532432725</v>
      </c>
      <c r="D364" s="36" t="n">
        <v>0.6562296481050006</v>
      </c>
      <c r="E364" s="36" t="n">
        <v>0.03417941092826016</v>
      </c>
      <c r="F364" s="36" t="n">
        <v>0.7701869494441829</v>
      </c>
      <c r="G364" s="36" t="n">
        <v>0.7992229216590553</v>
      </c>
      <c r="H364" s="37">
        <f>SUM(B364:G364)</f>
        <v/>
      </c>
      <c r="I364" s="25">
        <f>B364/$H364</f>
        <v/>
      </c>
      <c r="J364" s="25">
        <f>C364/$H364</f>
        <v/>
      </c>
      <c r="K364" s="25">
        <f>D364/$H364</f>
        <v/>
      </c>
      <c r="L364" s="25">
        <f>E364/$H364</f>
        <v/>
      </c>
      <c r="M364" s="25">
        <f>F364/$H364</f>
        <v/>
      </c>
      <c r="N364" s="25">
        <f>G364/$H364</f>
        <v/>
      </c>
      <c r="O364" s="25">
        <f>SUM(MMULT(I364:N364,'07 Annualised Inputs'!$D$7:$D$12))</f>
        <v/>
      </c>
      <c r="P364" s="25">
        <f>SQRT(SUMPRODUCT(MMULT(I364:N364,'07 Annualised Inputs'!$B$17:$G$22),I364:N364))</f>
        <v/>
      </c>
      <c r="Q364" s="37">
        <f>(O364-'02 Config'!$B$10)/P364</f>
        <v/>
      </c>
    </row>
    <row r="365">
      <c r="A365" s="12" t="n">
        <v>360</v>
      </c>
      <c r="B365" s="36" t="n">
        <v>0.6024102530914477</v>
      </c>
      <c r="C365" s="36" t="n">
        <v>0.8568603919165705</v>
      </c>
      <c r="D365" s="36" t="n">
        <v>0.0978832802148597</v>
      </c>
      <c r="E365" s="36" t="n">
        <v>0.2759238420408132</v>
      </c>
      <c r="F365" s="36" t="n">
        <v>0.4141775215926705</v>
      </c>
      <c r="G365" s="36" t="n">
        <v>0.04245795282809828</v>
      </c>
      <c r="H365" s="37">
        <f>SUM(B365:G365)</f>
        <v/>
      </c>
      <c r="I365" s="25">
        <f>B365/$H365</f>
        <v/>
      </c>
      <c r="J365" s="25">
        <f>C365/$H365</f>
        <v/>
      </c>
      <c r="K365" s="25">
        <f>D365/$H365</f>
        <v/>
      </c>
      <c r="L365" s="25">
        <f>E365/$H365</f>
        <v/>
      </c>
      <c r="M365" s="25">
        <f>F365/$H365</f>
        <v/>
      </c>
      <c r="N365" s="25">
        <f>G365/$H365</f>
        <v/>
      </c>
      <c r="O365" s="25">
        <f>SUM(MMULT(I365:N365,'07 Annualised Inputs'!$D$7:$D$12))</f>
        <v/>
      </c>
      <c r="P365" s="25">
        <f>SQRT(SUMPRODUCT(MMULT(I365:N365,'07 Annualised Inputs'!$B$17:$G$22),I365:N365))</f>
        <v/>
      </c>
      <c r="Q365" s="37">
        <f>(O365-'02 Config'!$B$10)/P365</f>
        <v/>
      </c>
    </row>
    <row r="366">
      <c r="A366" s="12" t="n">
        <v>361</v>
      </c>
      <c r="B366" s="36" t="n">
        <v>0.4482160875711662</v>
      </c>
      <c r="C366" s="36" t="n">
        <v>0.265213456112566</v>
      </c>
      <c r="D366" s="36" t="n">
        <v>0.392735012101753</v>
      </c>
      <c r="E366" s="36" t="n">
        <v>0.4251026319923065</v>
      </c>
      <c r="F366" s="36" t="n">
        <v>0.8794117334876851</v>
      </c>
      <c r="G366" s="36" t="n">
        <v>0.2703409705276391</v>
      </c>
      <c r="H366" s="37">
        <f>SUM(B366:G366)</f>
        <v/>
      </c>
      <c r="I366" s="25">
        <f>B366/$H366</f>
        <v/>
      </c>
      <c r="J366" s="25">
        <f>C366/$H366</f>
        <v/>
      </c>
      <c r="K366" s="25">
        <f>D366/$H366</f>
        <v/>
      </c>
      <c r="L366" s="25">
        <f>E366/$H366</f>
        <v/>
      </c>
      <c r="M366" s="25">
        <f>F366/$H366</f>
        <v/>
      </c>
      <c r="N366" s="25">
        <f>G366/$H366</f>
        <v/>
      </c>
      <c r="O366" s="25">
        <f>SUM(MMULT(I366:N366,'07 Annualised Inputs'!$D$7:$D$12))</f>
        <v/>
      </c>
      <c r="P366" s="25">
        <f>SQRT(SUMPRODUCT(MMULT(I366:N366,'07 Annualised Inputs'!$B$17:$G$22),I366:N366))</f>
        <v/>
      </c>
      <c r="Q366" s="37">
        <f>(O366-'02 Config'!$B$10)/P366</f>
        <v/>
      </c>
    </row>
    <row r="367">
      <c r="A367" s="12" t="n">
        <v>362</v>
      </c>
      <c r="B367" s="36" t="n">
        <v>0.893743128716272</v>
      </c>
      <c r="C367" s="36" t="n">
        <v>0.4259709648128492</v>
      </c>
      <c r="D367" s="36" t="n">
        <v>0.327807720693986</v>
      </c>
      <c r="E367" s="36" t="n">
        <v>0.502512049335146</v>
      </c>
      <c r="F367" s="36" t="n">
        <v>0.4177432863628396</v>
      </c>
      <c r="G367" s="36" t="n">
        <v>0.2573723130551461</v>
      </c>
      <c r="H367" s="37">
        <f>SUM(B367:G367)</f>
        <v/>
      </c>
      <c r="I367" s="25">
        <f>B367/$H367</f>
        <v/>
      </c>
      <c r="J367" s="25">
        <f>C367/$H367</f>
        <v/>
      </c>
      <c r="K367" s="25">
        <f>D367/$H367</f>
        <v/>
      </c>
      <c r="L367" s="25">
        <f>E367/$H367</f>
        <v/>
      </c>
      <c r="M367" s="25">
        <f>F367/$H367</f>
        <v/>
      </c>
      <c r="N367" s="25">
        <f>G367/$H367</f>
        <v/>
      </c>
      <c r="O367" s="25">
        <f>SUM(MMULT(I367:N367,'07 Annualised Inputs'!$D$7:$D$12))</f>
        <v/>
      </c>
      <c r="P367" s="25">
        <f>SQRT(SUMPRODUCT(MMULT(I367:N367,'07 Annualised Inputs'!$B$17:$G$22),I367:N367))</f>
        <v/>
      </c>
      <c r="Q367" s="37">
        <f>(O367-'02 Config'!$B$10)/P367</f>
        <v/>
      </c>
    </row>
    <row r="368">
      <c r="A368" s="12" t="n">
        <v>363</v>
      </c>
      <c r="B368" s="36" t="n">
        <v>0.5026793247960669</v>
      </c>
      <c r="C368" s="36" t="n">
        <v>0.1518017330788313</v>
      </c>
      <c r="D368" s="36" t="n">
        <v>0.3519299430229661</v>
      </c>
      <c r="E368" s="36" t="n">
        <v>0.5657902193740906</v>
      </c>
      <c r="F368" s="36" t="n">
        <v>0.4134082443898586</v>
      </c>
      <c r="G368" s="36" t="n">
        <v>0.8239123610507965</v>
      </c>
      <c r="H368" s="37">
        <f>SUM(B368:G368)</f>
        <v/>
      </c>
      <c r="I368" s="25">
        <f>B368/$H368</f>
        <v/>
      </c>
      <c r="J368" s="25">
        <f>C368/$H368</f>
        <v/>
      </c>
      <c r="K368" s="25">
        <f>D368/$H368</f>
        <v/>
      </c>
      <c r="L368" s="25">
        <f>E368/$H368</f>
        <v/>
      </c>
      <c r="M368" s="25">
        <f>F368/$H368</f>
        <v/>
      </c>
      <c r="N368" s="25">
        <f>G368/$H368</f>
        <v/>
      </c>
      <c r="O368" s="25">
        <f>SUM(MMULT(I368:N368,'07 Annualised Inputs'!$D$7:$D$12))</f>
        <v/>
      </c>
      <c r="P368" s="25">
        <f>SQRT(SUMPRODUCT(MMULT(I368:N368,'07 Annualised Inputs'!$B$17:$G$22),I368:N368))</f>
        <v/>
      </c>
      <c r="Q368" s="37">
        <f>(O368-'02 Config'!$B$10)/P368</f>
        <v/>
      </c>
    </row>
    <row r="369">
      <c r="A369" s="12" t="n">
        <v>364</v>
      </c>
      <c r="B369" s="36" t="n">
        <v>0.2567217615351662</v>
      </c>
      <c r="C369" s="36" t="n">
        <v>0.9697715788310101</v>
      </c>
      <c r="D369" s="36" t="n">
        <v>0.7847220208513513</v>
      </c>
      <c r="E369" s="36" t="n">
        <v>0.9675930259974722</v>
      </c>
      <c r="F369" s="36" t="n">
        <v>0.8381365548303041</v>
      </c>
      <c r="G369" s="36" t="n">
        <v>0.1421039258516427</v>
      </c>
      <c r="H369" s="37">
        <f>SUM(B369:G369)</f>
        <v/>
      </c>
      <c r="I369" s="25">
        <f>B369/$H369</f>
        <v/>
      </c>
      <c r="J369" s="25">
        <f>C369/$H369</f>
        <v/>
      </c>
      <c r="K369" s="25">
        <f>D369/$H369</f>
        <v/>
      </c>
      <c r="L369" s="25">
        <f>E369/$H369</f>
        <v/>
      </c>
      <c r="M369" s="25">
        <f>F369/$H369</f>
        <v/>
      </c>
      <c r="N369" s="25">
        <f>G369/$H369</f>
        <v/>
      </c>
      <c r="O369" s="25">
        <f>SUM(MMULT(I369:N369,'07 Annualised Inputs'!$D$7:$D$12))</f>
        <v/>
      </c>
      <c r="P369" s="25">
        <f>SQRT(SUMPRODUCT(MMULT(I369:N369,'07 Annualised Inputs'!$B$17:$G$22),I369:N369))</f>
        <v/>
      </c>
      <c r="Q369" s="37">
        <f>(O369-'02 Config'!$B$10)/P369</f>
        <v/>
      </c>
    </row>
    <row r="370">
      <c r="A370" s="12" t="n">
        <v>365</v>
      </c>
      <c r="B370" s="36" t="n">
        <v>0.5264600906350138</v>
      </c>
      <c r="C370" s="36" t="n">
        <v>0.1699785211957857</v>
      </c>
      <c r="D370" s="36" t="n">
        <v>0.8182273526272573</v>
      </c>
      <c r="E370" s="36" t="n">
        <v>0.5841621491832959</v>
      </c>
      <c r="F370" s="36" t="n">
        <v>0.2634493143569058</v>
      </c>
      <c r="G370" s="36" t="n">
        <v>0.9295989720071713</v>
      </c>
      <c r="H370" s="37">
        <f>SUM(B370:G370)</f>
        <v/>
      </c>
      <c r="I370" s="25">
        <f>B370/$H370</f>
        <v/>
      </c>
      <c r="J370" s="25">
        <f>C370/$H370</f>
        <v/>
      </c>
      <c r="K370" s="25">
        <f>D370/$H370</f>
        <v/>
      </c>
      <c r="L370" s="25">
        <f>E370/$H370</f>
        <v/>
      </c>
      <c r="M370" s="25">
        <f>F370/$H370</f>
        <v/>
      </c>
      <c r="N370" s="25">
        <f>G370/$H370</f>
        <v/>
      </c>
      <c r="O370" s="25">
        <f>SUM(MMULT(I370:N370,'07 Annualised Inputs'!$D$7:$D$12))</f>
        <v/>
      </c>
      <c r="P370" s="25">
        <f>SQRT(SUMPRODUCT(MMULT(I370:N370,'07 Annualised Inputs'!$B$17:$G$22),I370:N370))</f>
        <v/>
      </c>
      <c r="Q370" s="37">
        <f>(O370-'02 Config'!$B$10)/P370</f>
        <v/>
      </c>
    </row>
    <row r="371">
      <c r="A371" s="12" t="n">
        <v>366</v>
      </c>
      <c r="B371" s="36" t="n">
        <v>0.1151860533142607</v>
      </c>
      <c r="C371" s="36" t="n">
        <v>0.563862403471314</v>
      </c>
      <c r="D371" s="36" t="n">
        <v>0.7210405546667255</v>
      </c>
      <c r="E371" s="36" t="n">
        <v>0.05884853733243178</v>
      </c>
      <c r="F371" s="36" t="n">
        <v>0.5978560332062036</v>
      </c>
      <c r="G371" s="36" t="n">
        <v>0.8159012154630941</v>
      </c>
      <c r="H371" s="37">
        <f>SUM(B371:G371)</f>
        <v/>
      </c>
      <c r="I371" s="25">
        <f>B371/$H371</f>
        <v/>
      </c>
      <c r="J371" s="25">
        <f>C371/$H371</f>
        <v/>
      </c>
      <c r="K371" s="25">
        <f>D371/$H371</f>
        <v/>
      </c>
      <c r="L371" s="25">
        <f>E371/$H371</f>
        <v/>
      </c>
      <c r="M371" s="25">
        <f>F371/$H371</f>
        <v/>
      </c>
      <c r="N371" s="25">
        <f>G371/$H371</f>
        <v/>
      </c>
      <c r="O371" s="25">
        <f>SUM(MMULT(I371:N371,'07 Annualised Inputs'!$D$7:$D$12))</f>
        <v/>
      </c>
      <c r="P371" s="25">
        <f>SQRT(SUMPRODUCT(MMULT(I371:N371,'07 Annualised Inputs'!$B$17:$G$22),I371:N371))</f>
        <v/>
      </c>
      <c r="Q371" s="37">
        <f>(O371-'02 Config'!$B$10)/P371</f>
        <v/>
      </c>
    </row>
    <row r="372">
      <c r="A372" s="12" t="n">
        <v>367</v>
      </c>
      <c r="B372" s="36" t="n">
        <v>0.06752731441805337</v>
      </c>
      <c r="C372" s="36" t="n">
        <v>0.5122429711066271</v>
      </c>
      <c r="D372" s="36" t="n">
        <v>0.25855717814874</v>
      </c>
      <c r="E372" s="36" t="n">
        <v>0.6629244515369208</v>
      </c>
      <c r="F372" s="36" t="n">
        <v>0.1186773670788449</v>
      </c>
      <c r="G372" s="36" t="n">
        <v>0.9370514306705069</v>
      </c>
      <c r="H372" s="37">
        <f>SUM(B372:G372)</f>
        <v/>
      </c>
      <c r="I372" s="25">
        <f>B372/$H372</f>
        <v/>
      </c>
      <c r="J372" s="25">
        <f>C372/$H372</f>
        <v/>
      </c>
      <c r="K372" s="25">
        <f>D372/$H372</f>
        <v/>
      </c>
      <c r="L372" s="25">
        <f>E372/$H372</f>
        <v/>
      </c>
      <c r="M372" s="25">
        <f>F372/$H372</f>
        <v/>
      </c>
      <c r="N372" s="25">
        <f>G372/$H372</f>
        <v/>
      </c>
      <c r="O372" s="25">
        <f>SUM(MMULT(I372:N372,'07 Annualised Inputs'!$D$7:$D$12))</f>
        <v/>
      </c>
      <c r="P372" s="25">
        <f>SQRT(SUMPRODUCT(MMULT(I372:N372,'07 Annualised Inputs'!$B$17:$G$22),I372:N372))</f>
        <v/>
      </c>
      <c r="Q372" s="37">
        <f>(O372-'02 Config'!$B$10)/P372</f>
        <v/>
      </c>
    </row>
    <row r="373">
      <c r="A373" s="12" t="n">
        <v>368</v>
      </c>
      <c r="B373" s="36" t="n">
        <v>0.8947285817147318</v>
      </c>
      <c r="C373" s="36" t="n">
        <v>0.1859744198757092</v>
      </c>
      <c r="D373" s="36" t="n">
        <v>0.3232658843651046</v>
      </c>
      <c r="E373" s="36" t="n">
        <v>0.587634974653043</v>
      </c>
      <c r="F373" s="36" t="n">
        <v>0.7180623366342505</v>
      </c>
      <c r="G373" s="36" t="n">
        <v>0.4426560151602582</v>
      </c>
      <c r="H373" s="37">
        <f>SUM(B373:G373)</f>
        <v/>
      </c>
      <c r="I373" s="25">
        <f>B373/$H373</f>
        <v/>
      </c>
      <c r="J373" s="25">
        <f>C373/$H373</f>
        <v/>
      </c>
      <c r="K373" s="25">
        <f>D373/$H373</f>
        <v/>
      </c>
      <c r="L373" s="25">
        <f>E373/$H373</f>
        <v/>
      </c>
      <c r="M373" s="25">
        <f>F373/$H373</f>
        <v/>
      </c>
      <c r="N373" s="25">
        <f>G373/$H373</f>
        <v/>
      </c>
      <c r="O373" s="25">
        <f>SUM(MMULT(I373:N373,'07 Annualised Inputs'!$D$7:$D$12))</f>
        <v/>
      </c>
      <c r="P373" s="25">
        <f>SQRT(SUMPRODUCT(MMULT(I373:N373,'07 Annualised Inputs'!$B$17:$G$22),I373:N373))</f>
        <v/>
      </c>
      <c r="Q373" s="37">
        <f>(O373-'02 Config'!$B$10)/P373</f>
        <v/>
      </c>
    </row>
    <row r="374">
      <c r="A374" s="12" t="n">
        <v>369</v>
      </c>
      <c r="B374" s="36" t="n">
        <v>0.1562913219609751</v>
      </c>
      <c r="C374" s="36" t="n">
        <v>0.1041514938028716</v>
      </c>
      <c r="D374" s="36" t="n">
        <v>0.9997653369143439</v>
      </c>
      <c r="E374" s="36" t="n">
        <v>0.4553521214434872</v>
      </c>
      <c r="F374" s="36" t="n">
        <v>0.8725317491484982</v>
      </c>
      <c r="G374" s="36" t="n">
        <v>0.4823760046291145</v>
      </c>
      <c r="H374" s="37">
        <f>SUM(B374:G374)</f>
        <v/>
      </c>
      <c r="I374" s="25">
        <f>B374/$H374</f>
        <v/>
      </c>
      <c r="J374" s="25">
        <f>C374/$H374</f>
        <v/>
      </c>
      <c r="K374" s="25">
        <f>D374/$H374</f>
        <v/>
      </c>
      <c r="L374" s="25">
        <f>E374/$H374</f>
        <v/>
      </c>
      <c r="M374" s="25">
        <f>F374/$H374</f>
        <v/>
      </c>
      <c r="N374" s="25">
        <f>G374/$H374</f>
        <v/>
      </c>
      <c r="O374" s="25">
        <f>SUM(MMULT(I374:N374,'07 Annualised Inputs'!$D$7:$D$12))</f>
        <v/>
      </c>
      <c r="P374" s="25">
        <f>SQRT(SUMPRODUCT(MMULT(I374:N374,'07 Annualised Inputs'!$B$17:$G$22),I374:N374))</f>
        <v/>
      </c>
      <c r="Q374" s="37">
        <f>(O374-'02 Config'!$B$10)/P374</f>
        <v/>
      </c>
    </row>
    <row r="375">
      <c r="A375" s="12" t="n">
        <v>370</v>
      </c>
      <c r="B375" s="36" t="n">
        <v>0.9223576385460033</v>
      </c>
      <c r="C375" s="36" t="n">
        <v>0.0877593827715506</v>
      </c>
      <c r="D375" s="36" t="n">
        <v>0.114019191334551</v>
      </c>
      <c r="E375" s="36" t="n">
        <v>0.9296321877242243</v>
      </c>
      <c r="F375" s="36" t="n">
        <v>0.9474930450447849</v>
      </c>
      <c r="G375" s="36" t="n">
        <v>0.3147174474653633</v>
      </c>
      <c r="H375" s="37">
        <f>SUM(B375:G375)</f>
        <v/>
      </c>
      <c r="I375" s="25">
        <f>B375/$H375</f>
        <v/>
      </c>
      <c r="J375" s="25">
        <f>C375/$H375</f>
        <v/>
      </c>
      <c r="K375" s="25">
        <f>D375/$H375</f>
        <v/>
      </c>
      <c r="L375" s="25">
        <f>E375/$H375</f>
        <v/>
      </c>
      <c r="M375" s="25">
        <f>F375/$H375</f>
        <v/>
      </c>
      <c r="N375" s="25">
        <f>G375/$H375</f>
        <v/>
      </c>
      <c r="O375" s="25">
        <f>SUM(MMULT(I375:N375,'07 Annualised Inputs'!$D$7:$D$12))</f>
        <v/>
      </c>
      <c r="P375" s="25">
        <f>SQRT(SUMPRODUCT(MMULT(I375:N375,'07 Annualised Inputs'!$B$17:$G$22),I375:N375))</f>
        <v/>
      </c>
      <c r="Q375" s="37">
        <f>(O375-'02 Config'!$B$10)/P375</f>
        <v/>
      </c>
    </row>
    <row r="376">
      <c r="A376" s="12" t="n">
        <v>371</v>
      </c>
      <c r="B376" s="36" t="n">
        <v>0.3551648869938718</v>
      </c>
      <c r="C376" s="36" t="n">
        <v>0.452450234834758</v>
      </c>
      <c r="D376" s="36" t="n">
        <v>0.4161616800672908</v>
      </c>
      <c r="E376" s="36" t="n">
        <v>0.1900452159595967</v>
      </c>
      <c r="F376" s="36" t="n">
        <v>0.8983753839393745</v>
      </c>
      <c r="G376" s="36" t="n">
        <v>0.2533076007056437</v>
      </c>
      <c r="H376" s="37">
        <f>SUM(B376:G376)</f>
        <v/>
      </c>
      <c r="I376" s="25">
        <f>B376/$H376</f>
        <v/>
      </c>
      <c r="J376" s="25">
        <f>C376/$H376</f>
        <v/>
      </c>
      <c r="K376" s="25">
        <f>D376/$H376</f>
        <v/>
      </c>
      <c r="L376" s="25">
        <f>E376/$H376</f>
        <v/>
      </c>
      <c r="M376" s="25">
        <f>F376/$H376</f>
        <v/>
      </c>
      <c r="N376" s="25">
        <f>G376/$H376</f>
        <v/>
      </c>
      <c r="O376" s="25">
        <f>SUM(MMULT(I376:N376,'07 Annualised Inputs'!$D$7:$D$12))</f>
        <v/>
      </c>
      <c r="P376" s="25">
        <f>SQRT(SUMPRODUCT(MMULT(I376:N376,'07 Annualised Inputs'!$B$17:$G$22),I376:N376))</f>
        <v/>
      </c>
      <c r="Q376" s="37">
        <f>(O376-'02 Config'!$B$10)/P376</f>
        <v/>
      </c>
    </row>
    <row r="377">
      <c r="A377" s="12" t="n">
        <v>372</v>
      </c>
      <c r="B377" s="36" t="n">
        <v>0.7052724094776516</v>
      </c>
      <c r="C377" s="36" t="n">
        <v>0.06715567773497289</v>
      </c>
      <c r="D377" s="36" t="n">
        <v>0.03875133152842947</v>
      </c>
      <c r="E377" s="36" t="n">
        <v>0.6537304725769206</v>
      </c>
      <c r="F377" s="36" t="n">
        <v>0.3390158575732604</v>
      </c>
      <c r="G377" s="36" t="n">
        <v>0.6554593927200013</v>
      </c>
      <c r="H377" s="37">
        <f>SUM(B377:G377)</f>
        <v/>
      </c>
      <c r="I377" s="25">
        <f>B377/$H377</f>
        <v/>
      </c>
      <c r="J377" s="25">
        <f>C377/$H377</f>
        <v/>
      </c>
      <c r="K377" s="25">
        <f>D377/$H377</f>
        <v/>
      </c>
      <c r="L377" s="25">
        <f>E377/$H377</f>
        <v/>
      </c>
      <c r="M377" s="25">
        <f>F377/$H377</f>
        <v/>
      </c>
      <c r="N377" s="25">
        <f>G377/$H377</f>
        <v/>
      </c>
      <c r="O377" s="25">
        <f>SUM(MMULT(I377:N377,'07 Annualised Inputs'!$D$7:$D$12))</f>
        <v/>
      </c>
      <c r="P377" s="25">
        <f>SQRT(SUMPRODUCT(MMULT(I377:N377,'07 Annualised Inputs'!$B$17:$G$22),I377:N377))</f>
        <v/>
      </c>
      <c r="Q377" s="37">
        <f>(O377-'02 Config'!$B$10)/P377</f>
        <v/>
      </c>
    </row>
    <row r="378">
      <c r="A378" s="12" t="n">
        <v>373</v>
      </c>
      <c r="B378" s="36" t="n">
        <v>0.09402120216883036</v>
      </c>
      <c r="C378" s="36" t="n">
        <v>0.9498513799158633</v>
      </c>
      <c r="D378" s="36" t="n">
        <v>0.7485144668930954</v>
      </c>
      <c r="E378" s="36" t="n">
        <v>0.8762672330257992</v>
      </c>
      <c r="F378" s="36" t="n">
        <v>0.1364705540445109</v>
      </c>
      <c r="G378" s="36" t="n">
        <v>0.3201609688928694</v>
      </c>
      <c r="H378" s="37">
        <f>SUM(B378:G378)</f>
        <v/>
      </c>
      <c r="I378" s="25">
        <f>B378/$H378</f>
        <v/>
      </c>
      <c r="J378" s="25">
        <f>C378/$H378</f>
        <v/>
      </c>
      <c r="K378" s="25">
        <f>D378/$H378</f>
        <v/>
      </c>
      <c r="L378" s="25">
        <f>E378/$H378</f>
        <v/>
      </c>
      <c r="M378" s="25">
        <f>F378/$H378</f>
        <v/>
      </c>
      <c r="N378" s="25">
        <f>G378/$H378</f>
        <v/>
      </c>
      <c r="O378" s="25">
        <f>SUM(MMULT(I378:N378,'07 Annualised Inputs'!$D$7:$D$12))</f>
        <v/>
      </c>
      <c r="P378" s="25">
        <f>SQRT(SUMPRODUCT(MMULT(I378:N378,'07 Annualised Inputs'!$B$17:$G$22),I378:N378))</f>
        <v/>
      </c>
      <c r="Q378" s="37">
        <f>(O378-'02 Config'!$B$10)/P378</f>
        <v/>
      </c>
    </row>
    <row r="379">
      <c r="A379" s="12" t="n">
        <v>374</v>
      </c>
      <c r="B379" s="36" t="n">
        <v>0.3683441642063441</v>
      </c>
      <c r="C379" s="36" t="n">
        <v>0.5371726483268185</v>
      </c>
      <c r="D379" s="36" t="n">
        <v>0.2968684855074143</v>
      </c>
      <c r="E379" s="36" t="n">
        <v>0.06063074218940512</v>
      </c>
      <c r="F379" s="36" t="n">
        <v>0.3688783807374707</v>
      </c>
      <c r="G379" s="36" t="n">
        <v>0.2545493146272821</v>
      </c>
      <c r="H379" s="37">
        <f>SUM(B379:G379)</f>
        <v/>
      </c>
      <c r="I379" s="25">
        <f>B379/$H379</f>
        <v/>
      </c>
      <c r="J379" s="25">
        <f>C379/$H379</f>
        <v/>
      </c>
      <c r="K379" s="25">
        <f>D379/$H379</f>
        <v/>
      </c>
      <c r="L379" s="25">
        <f>E379/$H379</f>
        <v/>
      </c>
      <c r="M379" s="25">
        <f>F379/$H379</f>
        <v/>
      </c>
      <c r="N379" s="25">
        <f>G379/$H379</f>
        <v/>
      </c>
      <c r="O379" s="25">
        <f>SUM(MMULT(I379:N379,'07 Annualised Inputs'!$D$7:$D$12))</f>
        <v/>
      </c>
      <c r="P379" s="25">
        <f>SQRT(SUMPRODUCT(MMULT(I379:N379,'07 Annualised Inputs'!$B$17:$G$22),I379:N379))</f>
        <v/>
      </c>
      <c r="Q379" s="37">
        <f>(O379-'02 Config'!$B$10)/P379</f>
        <v/>
      </c>
    </row>
    <row r="380">
      <c r="A380" s="12" t="n">
        <v>375</v>
      </c>
      <c r="B380" s="36" t="n">
        <v>0.3859212914632149</v>
      </c>
      <c r="C380" s="36" t="n">
        <v>0.1969595426200262</v>
      </c>
      <c r="D380" s="36" t="n">
        <v>0.2618963745647355</v>
      </c>
      <c r="E380" s="36" t="n">
        <v>0.6269523404322688</v>
      </c>
      <c r="F380" s="36" t="n">
        <v>0.3881538345780651</v>
      </c>
      <c r="G380" s="36" t="n">
        <v>0.3453833931694921</v>
      </c>
      <c r="H380" s="37">
        <f>SUM(B380:G380)</f>
        <v/>
      </c>
      <c r="I380" s="25">
        <f>B380/$H380</f>
        <v/>
      </c>
      <c r="J380" s="25">
        <f>C380/$H380</f>
        <v/>
      </c>
      <c r="K380" s="25">
        <f>D380/$H380</f>
        <v/>
      </c>
      <c r="L380" s="25">
        <f>E380/$H380</f>
        <v/>
      </c>
      <c r="M380" s="25">
        <f>F380/$H380</f>
        <v/>
      </c>
      <c r="N380" s="25">
        <f>G380/$H380</f>
        <v/>
      </c>
      <c r="O380" s="25">
        <f>SUM(MMULT(I380:N380,'07 Annualised Inputs'!$D$7:$D$12))</f>
        <v/>
      </c>
      <c r="P380" s="25">
        <f>SQRT(SUMPRODUCT(MMULT(I380:N380,'07 Annualised Inputs'!$B$17:$G$22),I380:N380))</f>
        <v/>
      </c>
      <c r="Q380" s="37">
        <f>(O380-'02 Config'!$B$10)/P380</f>
        <v/>
      </c>
    </row>
    <row r="381">
      <c r="A381" s="12" t="n">
        <v>376</v>
      </c>
      <c r="B381" s="36" t="n">
        <v>0.5339056327223729</v>
      </c>
      <c r="C381" s="36" t="n">
        <v>0.7718605408439257</v>
      </c>
      <c r="D381" s="36" t="n">
        <v>0.3788679563479572</v>
      </c>
      <c r="E381" s="36" t="n">
        <v>0.5875194925558406</v>
      </c>
      <c r="F381" s="36" t="n">
        <v>0.9662026253681762</v>
      </c>
      <c r="G381" s="36" t="n">
        <v>0.5219801141180507</v>
      </c>
      <c r="H381" s="37">
        <f>SUM(B381:G381)</f>
        <v/>
      </c>
      <c r="I381" s="25">
        <f>B381/$H381</f>
        <v/>
      </c>
      <c r="J381" s="25">
        <f>C381/$H381</f>
        <v/>
      </c>
      <c r="K381" s="25">
        <f>D381/$H381</f>
        <v/>
      </c>
      <c r="L381" s="25">
        <f>E381/$H381</f>
        <v/>
      </c>
      <c r="M381" s="25">
        <f>F381/$H381</f>
        <v/>
      </c>
      <c r="N381" s="25">
        <f>G381/$H381</f>
        <v/>
      </c>
      <c r="O381" s="25">
        <f>SUM(MMULT(I381:N381,'07 Annualised Inputs'!$D$7:$D$12))</f>
        <v/>
      </c>
      <c r="P381" s="25">
        <f>SQRT(SUMPRODUCT(MMULT(I381:N381,'07 Annualised Inputs'!$B$17:$G$22),I381:N381))</f>
        <v/>
      </c>
      <c r="Q381" s="37">
        <f>(O381-'02 Config'!$B$10)/P381</f>
        <v/>
      </c>
    </row>
    <row r="382">
      <c r="A382" s="12" t="n">
        <v>377</v>
      </c>
      <c r="B382" s="36" t="n">
        <v>0.9097975765175444</v>
      </c>
      <c r="C382" s="36" t="n">
        <v>0.7936726242564269</v>
      </c>
      <c r="D382" s="36" t="n">
        <v>0.05871868165014971</v>
      </c>
      <c r="E382" s="36" t="n">
        <v>0.4290988714692568</v>
      </c>
      <c r="F382" s="36" t="n">
        <v>0.6983184078685881</v>
      </c>
      <c r="G382" s="36" t="n">
        <v>0.9867119124481999</v>
      </c>
      <c r="H382" s="37">
        <f>SUM(B382:G382)</f>
        <v/>
      </c>
      <c r="I382" s="25">
        <f>B382/$H382</f>
        <v/>
      </c>
      <c r="J382" s="25">
        <f>C382/$H382</f>
        <v/>
      </c>
      <c r="K382" s="25">
        <f>D382/$H382</f>
        <v/>
      </c>
      <c r="L382" s="25">
        <f>E382/$H382</f>
        <v/>
      </c>
      <c r="M382" s="25">
        <f>F382/$H382</f>
        <v/>
      </c>
      <c r="N382" s="25">
        <f>G382/$H382</f>
        <v/>
      </c>
      <c r="O382" s="25">
        <f>SUM(MMULT(I382:N382,'07 Annualised Inputs'!$D$7:$D$12))</f>
        <v/>
      </c>
      <c r="P382" s="25">
        <f>SQRT(SUMPRODUCT(MMULT(I382:N382,'07 Annualised Inputs'!$B$17:$G$22),I382:N382))</f>
        <v/>
      </c>
      <c r="Q382" s="37">
        <f>(O382-'02 Config'!$B$10)/P382</f>
        <v/>
      </c>
    </row>
    <row r="383">
      <c r="A383" s="12" t="n">
        <v>378</v>
      </c>
      <c r="B383" s="36" t="n">
        <v>0.4583762911615126</v>
      </c>
      <c r="C383" s="36" t="n">
        <v>0.09278545412673944</v>
      </c>
      <c r="D383" s="36" t="n">
        <v>0.5620091747128678</v>
      </c>
      <c r="E383" s="36" t="n">
        <v>0.1265637921239603</v>
      </c>
      <c r="F383" s="36" t="n">
        <v>0.7515195602793934</v>
      </c>
      <c r="G383" s="36" t="n">
        <v>0.5076769974617779</v>
      </c>
      <c r="H383" s="37">
        <f>SUM(B383:G383)</f>
        <v/>
      </c>
      <c r="I383" s="25">
        <f>B383/$H383</f>
        <v/>
      </c>
      <c r="J383" s="25">
        <f>C383/$H383</f>
        <v/>
      </c>
      <c r="K383" s="25">
        <f>D383/$H383</f>
        <v/>
      </c>
      <c r="L383" s="25">
        <f>E383/$H383</f>
        <v/>
      </c>
      <c r="M383" s="25">
        <f>F383/$H383</f>
        <v/>
      </c>
      <c r="N383" s="25">
        <f>G383/$H383</f>
        <v/>
      </c>
      <c r="O383" s="25">
        <f>SUM(MMULT(I383:N383,'07 Annualised Inputs'!$D$7:$D$12))</f>
        <v/>
      </c>
      <c r="P383" s="25">
        <f>SQRT(SUMPRODUCT(MMULT(I383:N383,'07 Annualised Inputs'!$B$17:$G$22),I383:N383))</f>
        <v/>
      </c>
      <c r="Q383" s="37">
        <f>(O383-'02 Config'!$B$10)/P383</f>
        <v/>
      </c>
    </row>
    <row r="384">
      <c r="A384" s="12" t="n">
        <v>379</v>
      </c>
      <c r="B384" s="36" t="n">
        <v>0.7234313683772865</v>
      </c>
      <c r="C384" s="36" t="n">
        <v>0.8693618268785237</v>
      </c>
      <c r="D384" s="36" t="n">
        <v>0.6289480171627772</v>
      </c>
      <c r="E384" s="36" t="n">
        <v>0.6124393292531816</v>
      </c>
      <c r="F384" s="36" t="n">
        <v>0.7545702954396313</v>
      </c>
      <c r="G384" s="36" t="n">
        <v>0.8424550014526674</v>
      </c>
      <c r="H384" s="37">
        <f>SUM(B384:G384)</f>
        <v/>
      </c>
      <c r="I384" s="25">
        <f>B384/$H384</f>
        <v/>
      </c>
      <c r="J384" s="25">
        <f>C384/$H384</f>
        <v/>
      </c>
      <c r="K384" s="25">
        <f>D384/$H384</f>
        <v/>
      </c>
      <c r="L384" s="25">
        <f>E384/$H384</f>
        <v/>
      </c>
      <c r="M384" s="25">
        <f>F384/$H384</f>
        <v/>
      </c>
      <c r="N384" s="25">
        <f>G384/$H384</f>
        <v/>
      </c>
      <c r="O384" s="25">
        <f>SUM(MMULT(I384:N384,'07 Annualised Inputs'!$D$7:$D$12))</f>
        <v/>
      </c>
      <c r="P384" s="25">
        <f>SQRT(SUMPRODUCT(MMULT(I384:N384,'07 Annualised Inputs'!$B$17:$G$22),I384:N384))</f>
        <v/>
      </c>
      <c r="Q384" s="37">
        <f>(O384-'02 Config'!$B$10)/P384</f>
        <v/>
      </c>
    </row>
    <row r="385">
      <c r="A385" s="12" t="n">
        <v>380</v>
      </c>
      <c r="B385" s="36" t="n">
        <v>0.8690537862770027</v>
      </c>
      <c r="C385" s="36" t="n">
        <v>0.0364301956828833</v>
      </c>
      <c r="D385" s="36" t="n">
        <v>0.5561902967977893</v>
      </c>
      <c r="E385" s="36" t="n">
        <v>0.2162693097975514</v>
      </c>
      <c r="F385" s="36" t="n">
        <v>0.8603458907817834</v>
      </c>
      <c r="G385" s="36" t="n">
        <v>0.6483976852033612</v>
      </c>
      <c r="H385" s="37">
        <f>SUM(B385:G385)</f>
        <v/>
      </c>
      <c r="I385" s="25">
        <f>B385/$H385</f>
        <v/>
      </c>
      <c r="J385" s="25">
        <f>C385/$H385</f>
        <v/>
      </c>
      <c r="K385" s="25">
        <f>D385/$H385</f>
        <v/>
      </c>
      <c r="L385" s="25">
        <f>E385/$H385</f>
        <v/>
      </c>
      <c r="M385" s="25">
        <f>F385/$H385</f>
        <v/>
      </c>
      <c r="N385" s="25">
        <f>G385/$H385</f>
        <v/>
      </c>
      <c r="O385" s="25">
        <f>SUM(MMULT(I385:N385,'07 Annualised Inputs'!$D$7:$D$12))</f>
        <v/>
      </c>
      <c r="P385" s="25">
        <f>SQRT(SUMPRODUCT(MMULT(I385:N385,'07 Annualised Inputs'!$B$17:$G$22),I385:N385))</f>
        <v/>
      </c>
      <c r="Q385" s="37">
        <f>(O385-'02 Config'!$B$10)/P385</f>
        <v/>
      </c>
    </row>
    <row r="386">
      <c r="A386" s="12" t="n">
        <v>381</v>
      </c>
      <c r="B386" s="36" t="n">
        <v>0.4202224790324381</v>
      </c>
      <c r="C386" s="36" t="n">
        <v>0.1881042281213513</v>
      </c>
      <c r="D386" s="36" t="n">
        <v>0.3390236259198265</v>
      </c>
      <c r="E386" s="36" t="n">
        <v>0.7037776945402245</v>
      </c>
      <c r="F386" s="36" t="n">
        <v>0.2043595452116388</v>
      </c>
      <c r="G386" s="36" t="n">
        <v>0.09358294533837275</v>
      </c>
      <c r="H386" s="37">
        <f>SUM(B386:G386)</f>
        <v/>
      </c>
      <c r="I386" s="25">
        <f>B386/$H386</f>
        <v/>
      </c>
      <c r="J386" s="25">
        <f>C386/$H386</f>
        <v/>
      </c>
      <c r="K386" s="25">
        <f>D386/$H386</f>
        <v/>
      </c>
      <c r="L386" s="25">
        <f>E386/$H386</f>
        <v/>
      </c>
      <c r="M386" s="25">
        <f>F386/$H386</f>
        <v/>
      </c>
      <c r="N386" s="25">
        <f>G386/$H386</f>
        <v/>
      </c>
      <c r="O386" s="25">
        <f>SUM(MMULT(I386:N386,'07 Annualised Inputs'!$D$7:$D$12))</f>
        <v/>
      </c>
      <c r="P386" s="25">
        <f>SQRT(SUMPRODUCT(MMULT(I386:N386,'07 Annualised Inputs'!$B$17:$G$22),I386:N386))</f>
        <v/>
      </c>
      <c r="Q386" s="37">
        <f>(O386-'02 Config'!$B$10)/P386</f>
        <v/>
      </c>
    </row>
    <row r="387">
      <c r="A387" s="12" t="n">
        <v>382</v>
      </c>
      <c r="B387" s="36" t="n">
        <v>0.888028758227551</v>
      </c>
      <c r="C387" s="36" t="n">
        <v>0.7642103495801168</v>
      </c>
      <c r="D387" s="36" t="n">
        <v>0.1997949306581326</v>
      </c>
      <c r="E387" s="36" t="n">
        <v>0.2923115434299917</v>
      </c>
      <c r="F387" s="36" t="n">
        <v>0.9720701771308857</v>
      </c>
      <c r="G387" s="36" t="n">
        <v>0.7081844867591174</v>
      </c>
      <c r="H387" s="37">
        <f>SUM(B387:G387)</f>
        <v/>
      </c>
      <c r="I387" s="25">
        <f>B387/$H387</f>
        <v/>
      </c>
      <c r="J387" s="25">
        <f>C387/$H387</f>
        <v/>
      </c>
      <c r="K387" s="25">
        <f>D387/$H387</f>
        <v/>
      </c>
      <c r="L387" s="25">
        <f>E387/$H387</f>
        <v/>
      </c>
      <c r="M387" s="25">
        <f>F387/$H387</f>
        <v/>
      </c>
      <c r="N387" s="25">
        <f>G387/$H387</f>
        <v/>
      </c>
      <c r="O387" s="25">
        <f>SUM(MMULT(I387:N387,'07 Annualised Inputs'!$D$7:$D$12))</f>
        <v/>
      </c>
      <c r="P387" s="25">
        <f>SQRT(SUMPRODUCT(MMULT(I387:N387,'07 Annualised Inputs'!$B$17:$G$22),I387:N387))</f>
        <v/>
      </c>
      <c r="Q387" s="37">
        <f>(O387-'02 Config'!$B$10)/P387</f>
        <v/>
      </c>
    </row>
    <row r="388">
      <c r="A388" s="12" t="n">
        <v>383</v>
      </c>
      <c r="B388" s="36" t="n">
        <v>0.6105220042138247</v>
      </c>
      <c r="C388" s="36" t="n">
        <v>0.3076284854241303</v>
      </c>
      <c r="D388" s="36" t="n">
        <v>0.2991251441665222</v>
      </c>
      <c r="E388" s="36" t="n">
        <v>0.03952361869023047</v>
      </c>
      <c r="F388" s="36" t="n">
        <v>0.7284818669019314</v>
      </c>
      <c r="G388" s="36" t="n">
        <v>0.04317522505688454</v>
      </c>
      <c r="H388" s="37">
        <f>SUM(B388:G388)</f>
        <v/>
      </c>
      <c r="I388" s="25">
        <f>B388/$H388</f>
        <v/>
      </c>
      <c r="J388" s="25">
        <f>C388/$H388</f>
        <v/>
      </c>
      <c r="K388" s="25">
        <f>D388/$H388</f>
        <v/>
      </c>
      <c r="L388" s="25">
        <f>E388/$H388</f>
        <v/>
      </c>
      <c r="M388" s="25">
        <f>F388/$H388</f>
        <v/>
      </c>
      <c r="N388" s="25">
        <f>G388/$H388</f>
        <v/>
      </c>
      <c r="O388" s="25">
        <f>SUM(MMULT(I388:N388,'07 Annualised Inputs'!$D$7:$D$12))</f>
        <v/>
      </c>
      <c r="P388" s="25">
        <f>SQRT(SUMPRODUCT(MMULT(I388:N388,'07 Annualised Inputs'!$B$17:$G$22),I388:N388))</f>
        <v/>
      </c>
      <c r="Q388" s="37">
        <f>(O388-'02 Config'!$B$10)/P388</f>
        <v/>
      </c>
    </row>
    <row r="389">
      <c r="A389" s="12" t="n">
        <v>384</v>
      </c>
      <c r="B389" s="36" t="n">
        <v>0.004857337777279036</v>
      </c>
      <c r="C389" s="36" t="n">
        <v>0.7294950878609792</v>
      </c>
      <c r="D389" s="36" t="n">
        <v>0.9488737571491254</v>
      </c>
      <c r="E389" s="36" t="n">
        <v>0.7565030477273105</v>
      </c>
      <c r="F389" s="36" t="n">
        <v>0.4716401906243787</v>
      </c>
      <c r="G389" s="36" t="n">
        <v>0.486045249560873</v>
      </c>
      <c r="H389" s="37">
        <f>SUM(B389:G389)</f>
        <v/>
      </c>
      <c r="I389" s="25">
        <f>B389/$H389</f>
        <v/>
      </c>
      <c r="J389" s="25">
        <f>C389/$H389</f>
        <v/>
      </c>
      <c r="K389" s="25">
        <f>D389/$H389</f>
        <v/>
      </c>
      <c r="L389" s="25">
        <f>E389/$H389</f>
        <v/>
      </c>
      <c r="M389" s="25">
        <f>F389/$H389</f>
        <v/>
      </c>
      <c r="N389" s="25">
        <f>G389/$H389</f>
        <v/>
      </c>
      <c r="O389" s="25">
        <f>SUM(MMULT(I389:N389,'07 Annualised Inputs'!$D$7:$D$12))</f>
        <v/>
      </c>
      <c r="P389" s="25">
        <f>SQRT(SUMPRODUCT(MMULT(I389:N389,'07 Annualised Inputs'!$B$17:$G$22),I389:N389))</f>
        <v/>
      </c>
      <c r="Q389" s="37">
        <f>(O389-'02 Config'!$B$10)/P389</f>
        <v/>
      </c>
    </row>
    <row r="390">
      <c r="A390" s="12" t="n">
        <v>385</v>
      </c>
      <c r="B390" s="36" t="n">
        <v>0.4361364226491053</v>
      </c>
      <c r="C390" s="36" t="n">
        <v>0.3246436671103337</v>
      </c>
      <c r="D390" s="36" t="n">
        <v>0.5217142141858402</v>
      </c>
      <c r="E390" s="36" t="n">
        <v>0.4311509571411151</v>
      </c>
      <c r="F390" s="36" t="n">
        <v>0.5981678800407747</v>
      </c>
      <c r="G390" s="36" t="n">
        <v>0.8981200805010945</v>
      </c>
      <c r="H390" s="37">
        <f>SUM(B390:G390)</f>
        <v/>
      </c>
      <c r="I390" s="25">
        <f>B390/$H390</f>
        <v/>
      </c>
      <c r="J390" s="25">
        <f>C390/$H390</f>
        <v/>
      </c>
      <c r="K390" s="25">
        <f>D390/$H390</f>
        <v/>
      </c>
      <c r="L390" s="25">
        <f>E390/$H390</f>
        <v/>
      </c>
      <c r="M390" s="25">
        <f>F390/$H390</f>
        <v/>
      </c>
      <c r="N390" s="25">
        <f>G390/$H390</f>
        <v/>
      </c>
      <c r="O390" s="25">
        <f>SUM(MMULT(I390:N390,'07 Annualised Inputs'!$D$7:$D$12))</f>
        <v/>
      </c>
      <c r="P390" s="25">
        <f>SQRT(SUMPRODUCT(MMULT(I390:N390,'07 Annualised Inputs'!$B$17:$G$22),I390:N390))</f>
        <v/>
      </c>
      <c r="Q390" s="37">
        <f>(O390-'02 Config'!$B$10)/P390</f>
        <v/>
      </c>
    </row>
    <row r="391">
      <c r="A391" s="12" t="n">
        <v>386</v>
      </c>
      <c r="B391" s="36" t="n">
        <v>0.9950094173238103</v>
      </c>
      <c r="C391" s="36" t="n">
        <v>0.07874328988291712</v>
      </c>
      <c r="D391" s="36" t="n">
        <v>0.3846834726613414</v>
      </c>
      <c r="E391" s="36" t="n">
        <v>0.1807061957668095</v>
      </c>
      <c r="F391" s="36" t="n">
        <v>0.3521204739255337</v>
      </c>
      <c r="G391" s="36" t="n">
        <v>0.287473018548423</v>
      </c>
      <c r="H391" s="37">
        <f>SUM(B391:G391)</f>
        <v/>
      </c>
      <c r="I391" s="25">
        <f>B391/$H391</f>
        <v/>
      </c>
      <c r="J391" s="25">
        <f>C391/$H391</f>
        <v/>
      </c>
      <c r="K391" s="25">
        <f>D391/$H391</f>
        <v/>
      </c>
      <c r="L391" s="25">
        <f>E391/$H391</f>
        <v/>
      </c>
      <c r="M391" s="25">
        <f>F391/$H391</f>
        <v/>
      </c>
      <c r="N391" s="25">
        <f>G391/$H391</f>
        <v/>
      </c>
      <c r="O391" s="25">
        <f>SUM(MMULT(I391:N391,'07 Annualised Inputs'!$D$7:$D$12))</f>
        <v/>
      </c>
      <c r="P391" s="25">
        <f>SQRT(SUMPRODUCT(MMULT(I391:N391,'07 Annualised Inputs'!$B$17:$G$22),I391:N391))</f>
        <v/>
      </c>
      <c r="Q391" s="37">
        <f>(O391-'02 Config'!$B$10)/P391</f>
        <v/>
      </c>
    </row>
    <row r="392">
      <c r="A392" s="12" t="n">
        <v>387</v>
      </c>
      <c r="B392" s="36" t="n">
        <v>0.1745371316267883</v>
      </c>
      <c r="C392" s="36" t="n">
        <v>0.7640760534212905</v>
      </c>
      <c r="D392" s="36" t="n">
        <v>0.4962887428292359</v>
      </c>
      <c r="E392" s="36" t="n">
        <v>0.9192455822172257</v>
      </c>
      <c r="F392" s="36" t="n">
        <v>0.03259244324701449</v>
      </c>
      <c r="G392" s="36" t="n">
        <v>0.06697801313198992</v>
      </c>
      <c r="H392" s="37">
        <f>SUM(B392:G392)</f>
        <v/>
      </c>
      <c r="I392" s="25">
        <f>B392/$H392</f>
        <v/>
      </c>
      <c r="J392" s="25">
        <f>C392/$H392</f>
        <v/>
      </c>
      <c r="K392" s="25">
        <f>D392/$H392</f>
        <v/>
      </c>
      <c r="L392" s="25">
        <f>E392/$H392</f>
        <v/>
      </c>
      <c r="M392" s="25">
        <f>F392/$H392</f>
        <v/>
      </c>
      <c r="N392" s="25">
        <f>G392/$H392</f>
        <v/>
      </c>
      <c r="O392" s="25">
        <f>SUM(MMULT(I392:N392,'07 Annualised Inputs'!$D$7:$D$12))</f>
        <v/>
      </c>
      <c r="P392" s="25">
        <f>SQRT(SUMPRODUCT(MMULT(I392:N392,'07 Annualised Inputs'!$B$17:$G$22),I392:N392))</f>
        <v/>
      </c>
      <c r="Q392" s="37">
        <f>(O392-'02 Config'!$B$10)/P392</f>
        <v/>
      </c>
    </row>
    <row r="393">
      <c r="A393" s="12" t="n">
        <v>388</v>
      </c>
      <c r="B393" s="36" t="n">
        <v>0.4032735829303441</v>
      </c>
      <c r="C393" s="36" t="n">
        <v>0.08027732040403712</v>
      </c>
      <c r="D393" s="36" t="n">
        <v>0.2627295964148335</v>
      </c>
      <c r="E393" s="36" t="n">
        <v>0.9860297430766236</v>
      </c>
      <c r="F393" s="36" t="n">
        <v>0.2089596074846141</v>
      </c>
      <c r="G393" s="36" t="n">
        <v>0.1981177414120907</v>
      </c>
      <c r="H393" s="37">
        <f>SUM(B393:G393)</f>
        <v/>
      </c>
      <c r="I393" s="25">
        <f>B393/$H393</f>
        <v/>
      </c>
      <c r="J393" s="25">
        <f>C393/$H393</f>
        <v/>
      </c>
      <c r="K393" s="25">
        <f>D393/$H393</f>
        <v/>
      </c>
      <c r="L393" s="25">
        <f>E393/$H393</f>
        <v/>
      </c>
      <c r="M393" s="25">
        <f>F393/$H393</f>
        <v/>
      </c>
      <c r="N393" s="25">
        <f>G393/$H393</f>
        <v/>
      </c>
      <c r="O393" s="25">
        <f>SUM(MMULT(I393:N393,'07 Annualised Inputs'!$D$7:$D$12))</f>
        <v/>
      </c>
      <c r="P393" s="25">
        <f>SQRT(SUMPRODUCT(MMULT(I393:N393,'07 Annualised Inputs'!$B$17:$G$22),I393:N393))</f>
        <v/>
      </c>
      <c r="Q393" s="37">
        <f>(O393-'02 Config'!$B$10)/P393</f>
        <v/>
      </c>
    </row>
    <row r="394">
      <c r="A394" s="12" t="n">
        <v>389</v>
      </c>
      <c r="B394" s="36" t="n">
        <v>0.5736406687957091</v>
      </c>
      <c r="C394" s="36" t="n">
        <v>0.4979982907931567</v>
      </c>
      <c r="D394" s="36" t="n">
        <v>0.5804382972028448</v>
      </c>
      <c r="E394" s="36" t="n">
        <v>0.3767352782085467</v>
      </c>
      <c r="F394" s="36" t="n">
        <v>0.8267623598949471</v>
      </c>
      <c r="G394" s="36" t="n">
        <v>0.1385805514424628</v>
      </c>
      <c r="H394" s="37">
        <f>SUM(B394:G394)</f>
        <v/>
      </c>
      <c r="I394" s="25">
        <f>B394/$H394</f>
        <v/>
      </c>
      <c r="J394" s="25">
        <f>C394/$H394</f>
        <v/>
      </c>
      <c r="K394" s="25">
        <f>D394/$H394</f>
        <v/>
      </c>
      <c r="L394" s="25">
        <f>E394/$H394</f>
        <v/>
      </c>
      <c r="M394" s="25">
        <f>F394/$H394</f>
        <v/>
      </c>
      <c r="N394" s="25">
        <f>G394/$H394</f>
        <v/>
      </c>
      <c r="O394" s="25">
        <f>SUM(MMULT(I394:N394,'07 Annualised Inputs'!$D$7:$D$12))</f>
        <v/>
      </c>
      <c r="P394" s="25">
        <f>SQRT(SUMPRODUCT(MMULT(I394:N394,'07 Annualised Inputs'!$B$17:$G$22),I394:N394))</f>
        <v/>
      </c>
      <c r="Q394" s="37">
        <f>(O394-'02 Config'!$B$10)/P394</f>
        <v/>
      </c>
    </row>
    <row r="395">
      <c r="A395" s="12" t="n">
        <v>390</v>
      </c>
      <c r="B395" s="36" t="n">
        <v>0.4283926458414656</v>
      </c>
      <c r="C395" s="36" t="n">
        <v>0.6897618484440871</v>
      </c>
      <c r="D395" s="36" t="n">
        <v>0.8682364402828997</v>
      </c>
      <c r="E395" s="36" t="n">
        <v>0.3695716063567577</v>
      </c>
      <c r="F395" s="36" t="n">
        <v>0.5677455990937528</v>
      </c>
      <c r="G395" s="36" t="n">
        <v>0.06913994500726151</v>
      </c>
      <c r="H395" s="37">
        <f>SUM(B395:G395)</f>
        <v/>
      </c>
      <c r="I395" s="25">
        <f>B395/$H395</f>
        <v/>
      </c>
      <c r="J395" s="25">
        <f>C395/$H395</f>
        <v/>
      </c>
      <c r="K395" s="25">
        <f>D395/$H395</f>
        <v/>
      </c>
      <c r="L395" s="25">
        <f>E395/$H395</f>
        <v/>
      </c>
      <c r="M395" s="25">
        <f>F395/$H395</f>
        <v/>
      </c>
      <c r="N395" s="25">
        <f>G395/$H395</f>
        <v/>
      </c>
      <c r="O395" s="25">
        <f>SUM(MMULT(I395:N395,'07 Annualised Inputs'!$D$7:$D$12))</f>
        <v/>
      </c>
      <c r="P395" s="25">
        <f>SQRT(SUMPRODUCT(MMULT(I395:N395,'07 Annualised Inputs'!$B$17:$G$22),I395:N395))</f>
        <v/>
      </c>
      <c r="Q395" s="37">
        <f>(O395-'02 Config'!$B$10)/P395</f>
        <v/>
      </c>
    </row>
    <row r="396">
      <c r="A396" s="12" t="n">
        <v>391</v>
      </c>
      <c r="B396" s="36" t="n">
        <v>0.1703190881118289</v>
      </c>
      <c r="C396" s="36" t="n">
        <v>0.06913816246611448</v>
      </c>
      <c r="D396" s="36" t="n">
        <v>0.7278808919985219</v>
      </c>
      <c r="E396" s="36" t="n">
        <v>0.2880599687221407</v>
      </c>
      <c r="F396" s="36" t="n">
        <v>0.7237452901918378</v>
      </c>
      <c r="G396" s="36" t="n">
        <v>0.06639827904327456</v>
      </c>
      <c r="H396" s="37">
        <f>SUM(B396:G396)</f>
        <v/>
      </c>
      <c r="I396" s="25">
        <f>B396/$H396</f>
        <v/>
      </c>
      <c r="J396" s="25">
        <f>C396/$H396</f>
        <v/>
      </c>
      <c r="K396" s="25">
        <f>D396/$H396</f>
        <v/>
      </c>
      <c r="L396" s="25">
        <f>E396/$H396</f>
        <v/>
      </c>
      <c r="M396" s="25">
        <f>F396/$H396</f>
        <v/>
      </c>
      <c r="N396" s="25">
        <f>G396/$H396</f>
        <v/>
      </c>
      <c r="O396" s="25">
        <f>SUM(MMULT(I396:N396,'07 Annualised Inputs'!$D$7:$D$12))</f>
        <v/>
      </c>
      <c r="P396" s="25">
        <f>SQRT(SUMPRODUCT(MMULT(I396:N396,'07 Annualised Inputs'!$B$17:$G$22),I396:N396))</f>
        <v/>
      </c>
      <c r="Q396" s="37">
        <f>(O396-'02 Config'!$B$10)/P396</f>
        <v/>
      </c>
    </row>
    <row r="397">
      <c r="A397" s="12" t="n">
        <v>392</v>
      </c>
      <c r="B397" s="36" t="n">
        <v>0.8625478004083255</v>
      </c>
      <c r="C397" s="36" t="n">
        <v>0.8355301981110916</v>
      </c>
      <c r="D397" s="36" t="n">
        <v>0.08892874305028264</v>
      </c>
      <c r="E397" s="36" t="n">
        <v>0.02375650645718652</v>
      </c>
      <c r="F397" s="36" t="n">
        <v>0.05628881298199118</v>
      </c>
      <c r="G397" s="36" t="n">
        <v>0.853630173146734</v>
      </c>
      <c r="H397" s="37">
        <f>SUM(B397:G397)</f>
        <v/>
      </c>
      <c r="I397" s="25">
        <f>B397/$H397</f>
        <v/>
      </c>
      <c r="J397" s="25">
        <f>C397/$H397</f>
        <v/>
      </c>
      <c r="K397" s="25">
        <f>D397/$H397</f>
        <v/>
      </c>
      <c r="L397" s="25">
        <f>E397/$H397</f>
        <v/>
      </c>
      <c r="M397" s="25">
        <f>F397/$H397</f>
        <v/>
      </c>
      <c r="N397" s="25">
        <f>G397/$H397</f>
        <v/>
      </c>
      <c r="O397" s="25">
        <f>SUM(MMULT(I397:N397,'07 Annualised Inputs'!$D$7:$D$12))</f>
        <v/>
      </c>
      <c r="P397" s="25">
        <f>SQRT(SUMPRODUCT(MMULT(I397:N397,'07 Annualised Inputs'!$B$17:$G$22),I397:N397))</f>
        <v/>
      </c>
      <c r="Q397" s="37">
        <f>(O397-'02 Config'!$B$10)/P397</f>
        <v/>
      </c>
    </row>
    <row r="398">
      <c r="A398" s="12" t="n">
        <v>393</v>
      </c>
      <c r="B398" s="36" t="n">
        <v>0.2347034890518958</v>
      </c>
      <c r="C398" s="36" t="n">
        <v>0.5482733178581887</v>
      </c>
      <c r="D398" s="36" t="n">
        <v>0.4262442031800567</v>
      </c>
      <c r="E398" s="36" t="n">
        <v>0.7955255262286021</v>
      </c>
      <c r="F398" s="36" t="n">
        <v>0.4888983014706706</v>
      </c>
      <c r="G398" s="36" t="n">
        <v>0.5006608406612697</v>
      </c>
      <c r="H398" s="37">
        <f>SUM(B398:G398)</f>
        <v/>
      </c>
      <c r="I398" s="25">
        <f>B398/$H398</f>
        <v/>
      </c>
      <c r="J398" s="25">
        <f>C398/$H398</f>
        <v/>
      </c>
      <c r="K398" s="25">
        <f>D398/$H398</f>
        <v/>
      </c>
      <c r="L398" s="25">
        <f>E398/$H398</f>
        <v/>
      </c>
      <c r="M398" s="25">
        <f>F398/$H398</f>
        <v/>
      </c>
      <c r="N398" s="25">
        <f>G398/$H398</f>
        <v/>
      </c>
      <c r="O398" s="25">
        <f>SUM(MMULT(I398:N398,'07 Annualised Inputs'!$D$7:$D$12))</f>
        <v/>
      </c>
      <c r="P398" s="25">
        <f>SQRT(SUMPRODUCT(MMULT(I398:N398,'07 Annualised Inputs'!$B$17:$G$22),I398:N398))</f>
        <v/>
      </c>
      <c r="Q398" s="37">
        <f>(O398-'02 Config'!$B$10)/P398</f>
        <v/>
      </c>
    </row>
    <row r="399">
      <c r="A399" s="12" t="n">
        <v>394</v>
      </c>
      <c r="B399" s="36" t="n">
        <v>0.9890919394999024</v>
      </c>
      <c r="C399" s="36" t="n">
        <v>0.1501295567492571</v>
      </c>
      <c r="D399" s="36" t="n">
        <v>0.8307039387459314</v>
      </c>
      <c r="E399" s="36" t="n">
        <v>0.05174974560388479</v>
      </c>
      <c r="F399" s="36" t="n">
        <v>0.4776487695729708</v>
      </c>
      <c r="G399" s="36" t="n">
        <v>0.8863348239330235</v>
      </c>
      <c r="H399" s="37">
        <f>SUM(B399:G399)</f>
        <v/>
      </c>
      <c r="I399" s="25">
        <f>B399/$H399</f>
        <v/>
      </c>
      <c r="J399" s="25">
        <f>C399/$H399</f>
        <v/>
      </c>
      <c r="K399" s="25">
        <f>D399/$H399</f>
        <v/>
      </c>
      <c r="L399" s="25">
        <f>E399/$H399</f>
        <v/>
      </c>
      <c r="M399" s="25">
        <f>F399/$H399</f>
        <v/>
      </c>
      <c r="N399" s="25">
        <f>G399/$H399</f>
        <v/>
      </c>
      <c r="O399" s="25">
        <f>SUM(MMULT(I399:N399,'07 Annualised Inputs'!$D$7:$D$12))</f>
        <v/>
      </c>
      <c r="P399" s="25">
        <f>SQRT(SUMPRODUCT(MMULT(I399:N399,'07 Annualised Inputs'!$B$17:$G$22),I399:N399))</f>
        <v/>
      </c>
      <c r="Q399" s="37">
        <f>(O399-'02 Config'!$B$10)/P399</f>
        <v/>
      </c>
    </row>
    <row r="400">
      <c r="A400" s="12" t="n">
        <v>395</v>
      </c>
      <c r="B400" s="36" t="n">
        <v>0.6652139656041213</v>
      </c>
      <c r="C400" s="36" t="n">
        <v>0.6852146193661329</v>
      </c>
      <c r="D400" s="36" t="n">
        <v>0.2633172822564855</v>
      </c>
      <c r="E400" s="36" t="n">
        <v>0.4185747913614543</v>
      </c>
      <c r="F400" s="36" t="n">
        <v>0.3665810634990505</v>
      </c>
      <c r="G400" s="36" t="n">
        <v>0.5214432101579942</v>
      </c>
      <c r="H400" s="37">
        <f>SUM(B400:G400)</f>
        <v/>
      </c>
      <c r="I400" s="25">
        <f>B400/$H400</f>
        <v/>
      </c>
      <c r="J400" s="25">
        <f>C400/$H400</f>
        <v/>
      </c>
      <c r="K400" s="25">
        <f>D400/$H400</f>
        <v/>
      </c>
      <c r="L400" s="25">
        <f>E400/$H400</f>
        <v/>
      </c>
      <c r="M400" s="25">
        <f>F400/$H400</f>
        <v/>
      </c>
      <c r="N400" s="25">
        <f>G400/$H400</f>
        <v/>
      </c>
      <c r="O400" s="25">
        <f>SUM(MMULT(I400:N400,'07 Annualised Inputs'!$D$7:$D$12))</f>
        <v/>
      </c>
      <c r="P400" s="25">
        <f>SQRT(SUMPRODUCT(MMULT(I400:N400,'07 Annualised Inputs'!$B$17:$G$22),I400:N400))</f>
        <v/>
      </c>
      <c r="Q400" s="37">
        <f>(O400-'02 Config'!$B$10)/P400</f>
        <v/>
      </c>
    </row>
    <row r="401">
      <c r="A401" s="12" t="n">
        <v>396</v>
      </c>
      <c r="B401" s="36" t="n">
        <v>0.4622279301436681</v>
      </c>
      <c r="C401" s="36" t="n">
        <v>0.3268983518769893</v>
      </c>
      <c r="D401" s="36" t="n">
        <v>0.3054806123711701</v>
      </c>
      <c r="E401" s="36" t="n">
        <v>0.2508528916551221</v>
      </c>
      <c r="F401" s="36" t="n">
        <v>0.3650472468847584</v>
      </c>
      <c r="G401" s="36" t="n">
        <v>0.1499414779340607</v>
      </c>
      <c r="H401" s="37">
        <f>SUM(B401:G401)</f>
        <v/>
      </c>
      <c r="I401" s="25">
        <f>B401/$H401</f>
        <v/>
      </c>
      <c r="J401" s="25">
        <f>C401/$H401</f>
        <v/>
      </c>
      <c r="K401" s="25">
        <f>D401/$H401</f>
        <v/>
      </c>
      <c r="L401" s="25">
        <f>E401/$H401</f>
        <v/>
      </c>
      <c r="M401" s="25">
        <f>F401/$H401</f>
        <v/>
      </c>
      <c r="N401" s="25">
        <f>G401/$H401</f>
        <v/>
      </c>
      <c r="O401" s="25">
        <f>SUM(MMULT(I401:N401,'07 Annualised Inputs'!$D$7:$D$12))</f>
        <v/>
      </c>
      <c r="P401" s="25">
        <f>SQRT(SUMPRODUCT(MMULT(I401:N401,'07 Annualised Inputs'!$B$17:$G$22),I401:N401))</f>
        <v/>
      </c>
      <c r="Q401" s="37">
        <f>(O401-'02 Config'!$B$10)/P401</f>
        <v/>
      </c>
    </row>
    <row r="402">
      <c r="A402" s="12" t="n">
        <v>397</v>
      </c>
      <c r="B402" s="36" t="n">
        <v>0.8721043020035738</v>
      </c>
      <c r="C402" s="36" t="n">
        <v>0.6021193918334273</v>
      </c>
      <c r="D402" s="36" t="n">
        <v>0.1337864255938555</v>
      </c>
      <c r="E402" s="36" t="n">
        <v>0.6938593342090014</v>
      </c>
      <c r="F402" s="36" t="n">
        <v>0.8476664679979732</v>
      </c>
      <c r="G402" s="36" t="n">
        <v>0.2375356720522589</v>
      </c>
      <c r="H402" s="37">
        <f>SUM(B402:G402)</f>
        <v/>
      </c>
      <c r="I402" s="25">
        <f>B402/$H402</f>
        <v/>
      </c>
      <c r="J402" s="25">
        <f>C402/$H402</f>
        <v/>
      </c>
      <c r="K402" s="25">
        <f>D402/$H402</f>
        <v/>
      </c>
      <c r="L402" s="25">
        <f>E402/$H402</f>
        <v/>
      </c>
      <c r="M402" s="25">
        <f>F402/$H402</f>
        <v/>
      </c>
      <c r="N402" s="25">
        <f>G402/$H402</f>
        <v/>
      </c>
      <c r="O402" s="25">
        <f>SUM(MMULT(I402:N402,'07 Annualised Inputs'!$D$7:$D$12))</f>
        <v/>
      </c>
      <c r="P402" s="25">
        <f>SQRT(SUMPRODUCT(MMULT(I402:N402,'07 Annualised Inputs'!$B$17:$G$22),I402:N402))</f>
        <v/>
      </c>
      <c r="Q402" s="37">
        <f>(O402-'02 Config'!$B$10)/P402</f>
        <v/>
      </c>
    </row>
    <row r="403">
      <c r="A403" s="12" t="n">
        <v>398</v>
      </c>
      <c r="B403" s="36" t="n">
        <v>0.1506005943372639</v>
      </c>
      <c r="C403" s="36" t="n">
        <v>0.008617257133752054</v>
      </c>
      <c r="D403" s="36" t="n">
        <v>0.04725033885648511</v>
      </c>
      <c r="E403" s="36" t="n">
        <v>0.7622513483035116</v>
      </c>
      <c r="F403" s="36" t="n">
        <v>0.9871863320416938</v>
      </c>
      <c r="G403" s="36" t="n">
        <v>0.0448803224762766</v>
      </c>
      <c r="H403" s="37">
        <f>SUM(B403:G403)</f>
        <v/>
      </c>
      <c r="I403" s="25">
        <f>B403/$H403</f>
        <v/>
      </c>
      <c r="J403" s="25">
        <f>C403/$H403</f>
        <v/>
      </c>
      <c r="K403" s="25">
        <f>D403/$H403</f>
        <v/>
      </c>
      <c r="L403" s="25">
        <f>E403/$H403</f>
        <v/>
      </c>
      <c r="M403" s="25">
        <f>F403/$H403</f>
        <v/>
      </c>
      <c r="N403" s="25">
        <f>G403/$H403</f>
        <v/>
      </c>
      <c r="O403" s="25">
        <f>SUM(MMULT(I403:N403,'07 Annualised Inputs'!$D$7:$D$12))</f>
        <v/>
      </c>
      <c r="P403" s="25">
        <f>SQRT(SUMPRODUCT(MMULT(I403:N403,'07 Annualised Inputs'!$B$17:$G$22),I403:N403))</f>
        <v/>
      </c>
      <c r="Q403" s="37">
        <f>(O403-'02 Config'!$B$10)/P403</f>
        <v/>
      </c>
    </row>
    <row r="404">
      <c r="A404" s="12" t="n">
        <v>399</v>
      </c>
      <c r="B404" s="36" t="n">
        <v>0.7480709590798926</v>
      </c>
      <c r="C404" s="36" t="n">
        <v>0.07186216584096006</v>
      </c>
      <c r="D404" s="36" t="n">
        <v>0.5921328249036668</v>
      </c>
      <c r="E404" s="36" t="n">
        <v>0.7560752824282378</v>
      </c>
      <c r="F404" s="36" t="n">
        <v>0.3592043972677377</v>
      </c>
      <c r="G404" s="36" t="n">
        <v>0.01093472111066374</v>
      </c>
      <c r="H404" s="37">
        <f>SUM(B404:G404)</f>
        <v/>
      </c>
      <c r="I404" s="25">
        <f>B404/$H404</f>
        <v/>
      </c>
      <c r="J404" s="25">
        <f>C404/$H404</f>
        <v/>
      </c>
      <c r="K404" s="25">
        <f>D404/$H404</f>
        <v/>
      </c>
      <c r="L404" s="25">
        <f>E404/$H404</f>
        <v/>
      </c>
      <c r="M404" s="25">
        <f>F404/$H404</f>
        <v/>
      </c>
      <c r="N404" s="25">
        <f>G404/$H404</f>
        <v/>
      </c>
      <c r="O404" s="25">
        <f>SUM(MMULT(I404:N404,'07 Annualised Inputs'!$D$7:$D$12))</f>
        <v/>
      </c>
      <c r="P404" s="25">
        <f>SQRT(SUMPRODUCT(MMULT(I404:N404,'07 Annualised Inputs'!$B$17:$G$22),I404:N404))</f>
        <v/>
      </c>
      <c r="Q404" s="37">
        <f>(O404-'02 Config'!$B$10)/P404</f>
        <v/>
      </c>
    </row>
    <row r="405">
      <c r="A405" s="12" t="n">
        <v>400</v>
      </c>
      <c r="B405" s="36" t="n">
        <v>0.5951893521254259</v>
      </c>
      <c r="C405" s="36" t="n">
        <v>0.9912446281400278</v>
      </c>
      <c r="D405" s="36" t="n">
        <v>0.2576174228384958</v>
      </c>
      <c r="E405" s="36" t="n">
        <v>0.1894912771872158</v>
      </c>
      <c r="F405" s="36" t="n">
        <v>0.123925892753515</v>
      </c>
      <c r="G405" s="36" t="n">
        <v>0.5552556199000561</v>
      </c>
      <c r="H405" s="37">
        <f>SUM(B405:G405)</f>
        <v/>
      </c>
      <c r="I405" s="25">
        <f>B405/$H405</f>
        <v/>
      </c>
      <c r="J405" s="25">
        <f>C405/$H405</f>
        <v/>
      </c>
      <c r="K405" s="25">
        <f>D405/$H405</f>
        <v/>
      </c>
      <c r="L405" s="25">
        <f>E405/$H405</f>
        <v/>
      </c>
      <c r="M405" s="25">
        <f>F405/$H405</f>
        <v/>
      </c>
      <c r="N405" s="25">
        <f>G405/$H405</f>
        <v/>
      </c>
      <c r="O405" s="25">
        <f>SUM(MMULT(I405:N405,'07 Annualised Inputs'!$D$7:$D$12))</f>
        <v/>
      </c>
      <c r="P405" s="25">
        <f>SQRT(SUMPRODUCT(MMULT(I405:N405,'07 Annualised Inputs'!$B$17:$G$22),I405:N405))</f>
        <v/>
      </c>
      <c r="Q405" s="37">
        <f>(O405-'02 Config'!$B$10)/P405</f>
        <v/>
      </c>
    </row>
    <row r="406">
      <c r="A406" s="12" t="n">
        <v>401</v>
      </c>
      <c r="B406" s="36" t="n">
        <v>0.5964450993602733</v>
      </c>
      <c r="C406" s="36" t="n">
        <v>0.7922708371704024</v>
      </c>
      <c r="D406" s="36" t="n">
        <v>0.7530732736205097</v>
      </c>
      <c r="E406" s="36" t="n">
        <v>0.8925414947950872</v>
      </c>
      <c r="F406" s="36" t="n">
        <v>0.8057726983423014</v>
      </c>
      <c r="G406" s="36" t="n">
        <v>0.2472670830794444</v>
      </c>
      <c r="H406" s="37">
        <f>SUM(B406:G406)</f>
        <v/>
      </c>
      <c r="I406" s="25">
        <f>B406/$H406</f>
        <v/>
      </c>
      <c r="J406" s="25">
        <f>C406/$H406</f>
        <v/>
      </c>
      <c r="K406" s="25">
        <f>D406/$H406</f>
        <v/>
      </c>
      <c r="L406" s="25">
        <f>E406/$H406</f>
        <v/>
      </c>
      <c r="M406" s="25">
        <f>F406/$H406</f>
        <v/>
      </c>
      <c r="N406" s="25">
        <f>G406/$H406</f>
        <v/>
      </c>
      <c r="O406" s="25">
        <f>SUM(MMULT(I406:N406,'07 Annualised Inputs'!$D$7:$D$12))</f>
        <v/>
      </c>
      <c r="P406" s="25">
        <f>SQRT(SUMPRODUCT(MMULT(I406:N406,'07 Annualised Inputs'!$B$17:$G$22),I406:N406))</f>
        <v/>
      </c>
      <c r="Q406" s="37">
        <f>(O406-'02 Config'!$B$10)/P406</f>
        <v/>
      </c>
    </row>
    <row r="407">
      <c r="A407" s="12" t="n">
        <v>402</v>
      </c>
      <c r="B407" s="36" t="n">
        <v>0.5558774048757611</v>
      </c>
      <c r="C407" s="36" t="n">
        <v>0.29741195909358</v>
      </c>
      <c r="D407" s="36" t="n">
        <v>0.3297853795515024</v>
      </c>
      <c r="E407" s="36" t="n">
        <v>0.9319443692299963</v>
      </c>
      <c r="F407" s="36" t="n">
        <v>0.6818959050670735</v>
      </c>
      <c r="G407" s="36" t="n">
        <v>0.9745904132511058</v>
      </c>
      <c r="H407" s="37">
        <f>SUM(B407:G407)</f>
        <v/>
      </c>
      <c r="I407" s="25">
        <f>B407/$H407</f>
        <v/>
      </c>
      <c r="J407" s="25">
        <f>C407/$H407</f>
        <v/>
      </c>
      <c r="K407" s="25">
        <f>D407/$H407</f>
        <v/>
      </c>
      <c r="L407" s="25">
        <f>E407/$H407</f>
        <v/>
      </c>
      <c r="M407" s="25">
        <f>F407/$H407</f>
        <v/>
      </c>
      <c r="N407" s="25">
        <f>G407/$H407</f>
        <v/>
      </c>
      <c r="O407" s="25">
        <f>SUM(MMULT(I407:N407,'07 Annualised Inputs'!$D$7:$D$12))</f>
        <v/>
      </c>
      <c r="P407" s="25">
        <f>SQRT(SUMPRODUCT(MMULT(I407:N407,'07 Annualised Inputs'!$B$17:$G$22),I407:N407))</f>
        <v/>
      </c>
      <c r="Q407" s="37">
        <f>(O407-'02 Config'!$B$10)/P407</f>
        <v/>
      </c>
    </row>
    <row r="408">
      <c r="A408" s="12" t="n">
        <v>403</v>
      </c>
      <c r="B408" s="36" t="n">
        <v>0.4169125367187445</v>
      </c>
      <c r="C408" s="36" t="n">
        <v>0.5374375733539766</v>
      </c>
      <c r="D408" s="36" t="n">
        <v>0.4871154199164217</v>
      </c>
      <c r="E408" s="36" t="n">
        <v>0.1072870575237269</v>
      </c>
      <c r="F408" s="36" t="n">
        <v>0.2367019945266033</v>
      </c>
      <c r="G408" s="36" t="n">
        <v>0.5276363606044822</v>
      </c>
      <c r="H408" s="37">
        <f>SUM(B408:G408)</f>
        <v/>
      </c>
      <c r="I408" s="25">
        <f>B408/$H408</f>
        <v/>
      </c>
      <c r="J408" s="25">
        <f>C408/$H408</f>
        <v/>
      </c>
      <c r="K408" s="25">
        <f>D408/$H408</f>
        <v/>
      </c>
      <c r="L408" s="25">
        <f>E408/$H408</f>
        <v/>
      </c>
      <c r="M408" s="25">
        <f>F408/$H408</f>
        <v/>
      </c>
      <c r="N408" s="25">
        <f>G408/$H408</f>
        <v/>
      </c>
      <c r="O408" s="25">
        <f>SUM(MMULT(I408:N408,'07 Annualised Inputs'!$D$7:$D$12))</f>
        <v/>
      </c>
      <c r="P408" s="25">
        <f>SQRT(SUMPRODUCT(MMULT(I408:N408,'07 Annualised Inputs'!$B$17:$G$22),I408:N408))</f>
        <v/>
      </c>
      <c r="Q408" s="37">
        <f>(O408-'02 Config'!$B$10)/P408</f>
        <v/>
      </c>
    </row>
    <row r="409">
      <c r="A409" s="12" t="n">
        <v>404</v>
      </c>
      <c r="B409" s="36" t="n">
        <v>0.06737430513300624</v>
      </c>
      <c r="C409" s="36" t="n">
        <v>0.9314619293088893</v>
      </c>
      <c r="D409" s="36" t="n">
        <v>0.1238436819433708</v>
      </c>
      <c r="E409" s="36" t="n">
        <v>0.1979807464169071</v>
      </c>
      <c r="F409" s="36" t="n">
        <v>0.7653212239386366</v>
      </c>
      <c r="G409" s="36" t="n">
        <v>0.09693454178931371</v>
      </c>
      <c r="H409" s="37">
        <f>SUM(B409:G409)</f>
        <v/>
      </c>
      <c r="I409" s="25">
        <f>B409/$H409</f>
        <v/>
      </c>
      <c r="J409" s="25">
        <f>C409/$H409</f>
        <v/>
      </c>
      <c r="K409" s="25">
        <f>D409/$H409</f>
        <v/>
      </c>
      <c r="L409" s="25">
        <f>E409/$H409</f>
        <v/>
      </c>
      <c r="M409" s="25">
        <f>F409/$H409</f>
        <v/>
      </c>
      <c r="N409" s="25">
        <f>G409/$H409</f>
        <v/>
      </c>
      <c r="O409" s="25">
        <f>SUM(MMULT(I409:N409,'07 Annualised Inputs'!$D$7:$D$12))</f>
        <v/>
      </c>
      <c r="P409" s="25">
        <f>SQRT(SUMPRODUCT(MMULT(I409:N409,'07 Annualised Inputs'!$B$17:$G$22),I409:N409))</f>
        <v/>
      </c>
      <c r="Q409" s="37">
        <f>(O409-'02 Config'!$B$10)/P409</f>
        <v/>
      </c>
    </row>
    <row r="410">
      <c r="A410" s="12" t="n">
        <v>405</v>
      </c>
      <c r="B410" s="36" t="n">
        <v>0.9002780996154094</v>
      </c>
      <c r="C410" s="36" t="n">
        <v>0.7257009707225356</v>
      </c>
      <c r="D410" s="36" t="n">
        <v>0.0686208571088589</v>
      </c>
      <c r="E410" s="36" t="n">
        <v>0.6918470612856529</v>
      </c>
      <c r="F410" s="36" t="n">
        <v>0.6316285421713178</v>
      </c>
      <c r="G410" s="36" t="n">
        <v>0.7573494327399186</v>
      </c>
      <c r="H410" s="37">
        <f>SUM(B410:G410)</f>
        <v/>
      </c>
      <c r="I410" s="25">
        <f>B410/$H410</f>
        <v/>
      </c>
      <c r="J410" s="25">
        <f>C410/$H410</f>
        <v/>
      </c>
      <c r="K410" s="25">
        <f>D410/$H410</f>
        <v/>
      </c>
      <c r="L410" s="25">
        <f>E410/$H410</f>
        <v/>
      </c>
      <c r="M410" s="25">
        <f>F410/$H410</f>
        <v/>
      </c>
      <c r="N410" s="25">
        <f>G410/$H410</f>
        <v/>
      </c>
      <c r="O410" s="25">
        <f>SUM(MMULT(I410:N410,'07 Annualised Inputs'!$D$7:$D$12))</f>
        <v/>
      </c>
      <c r="P410" s="25">
        <f>SQRT(SUMPRODUCT(MMULT(I410:N410,'07 Annualised Inputs'!$B$17:$G$22),I410:N410))</f>
        <v/>
      </c>
      <c r="Q410" s="37">
        <f>(O410-'02 Config'!$B$10)/P410</f>
        <v/>
      </c>
    </row>
    <row r="411">
      <c r="A411" s="12" t="n">
        <v>406</v>
      </c>
      <c r="B411" s="36" t="n">
        <v>0.8281978524893359</v>
      </c>
      <c r="C411" s="36" t="n">
        <v>0.718350563173155</v>
      </c>
      <c r="D411" s="36" t="n">
        <v>0.5861762952709719</v>
      </c>
      <c r="E411" s="36" t="n">
        <v>0.3224633185817777</v>
      </c>
      <c r="F411" s="36" t="n">
        <v>0.6972736618299291</v>
      </c>
      <c r="G411" s="36" t="n">
        <v>0.9569715846307795</v>
      </c>
      <c r="H411" s="37">
        <f>SUM(B411:G411)</f>
        <v/>
      </c>
      <c r="I411" s="25">
        <f>B411/$H411</f>
        <v/>
      </c>
      <c r="J411" s="25">
        <f>C411/$H411</f>
        <v/>
      </c>
      <c r="K411" s="25">
        <f>D411/$H411</f>
        <v/>
      </c>
      <c r="L411" s="25">
        <f>E411/$H411</f>
        <v/>
      </c>
      <c r="M411" s="25">
        <f>F411/$H411</f>
        <v/>
      </c>
      <c r="N411" s="25">
        <f>G411/$H411</f>
        <v/>
      </c>
      <c r="O411" s="25">
        <f>SUM(MMULT(I411:N411,'07 Annualised Inputs'!$D$7:$D$12))</f>
        <v/>
      </c>
      <c r="P411" s="25">
        <f>SQRT(SUMPRODUCT(MMULT(I411:N411,'07 Annualised Inputs'!$B$17:$G$22),I411:N411))</f>
        <v/>
      </c>
      <c r="Q411" s="37">
        <f>(O411-'02 Config'!$B$10)/P411</f>
        <v/>
      </c>
    </row>
    <row r="412">
      <c r="A412" s="12" t="n">
        <v>407</v>
      </c>
      <c r="B412" s="36" t="n">
        <v>0.5875217805288743</v>
      </c>
      <c r="C412" s="36" t="n">
        <v>0.6643448684342539</v>
      </c>
      <c r="D412" s="36" t="n">
        <v>0.4371280421998007</v>
      </c>
      <c r="E412" s="36" t="n">
        <v>0.7561208097430744</v>
      </c>
      <c r="F412" s="36" t="n">
        <v>0.9976673923386359</v>
      </c>
      <c r="G412" s="36" t="n">
        <v>0.1603893240677361</v>
      </c>
      <c r="H412" s="37">
        <f>SUM(B412:G412)</f>
        <v/>
      </c>
      <c r="I412" s="25">
        <f>B412/$H412</f>
        <v/>
      </c>
      <c r="J412" s="25">
        <f>C412/$H412</f>
        <v/>
      </c>
      <c r="K412" s="25">
        <f>D412/$H412</f>
        <v/>
      </c>
      <c r="L412" s="25">
        <f>E412/$H412</f>
        <v/>
      </c>
      <c r="M412" s="25">
        <f>F412/$H412</f>
        <v/>
      </c>
      <c r="N412" s="25">
        <f>G412/$H412</f>
        <v/>
      </c>
      <c r="O412" s="25">
        <f>SUM(MMULT(I412:N412,'07 Annualised Inputs'!$D$7:$D$12))</f>
        <v/>
      </c>
      <c r="P412" s="25">
        <f>SQRT(SUMPRODUCT(MMULT(I412:N412,'07 Annualised Inputs'!$B$17:$G$22),I412:N412))</f>
        <v/>
      </c>
      <c r="Q412" s="37">
        <f>(O412-'02 Config'!$B$10)/P412</f>
        <v/>
      </c>
    </row>
    <row r="413">
      <c r="A413" s="12" t="n">
        <v>408</v>
      </c>
      <c r="B413" s="36" t="n">
        <v>0.2024052795037623</v>
      </c>
      <c r="C413" s="36" t="n">
        <v>0.5394377586643895</v>
      </c>
      <c r="D413" s="36" t="n">
        <v>0.4813753972616582</v>
      </c>
      <c r="E413" s="36" t="n">
        <v>0.5715697845067188</v>
      </c>
      <c r="F413" s="36" t="n">
        <v>0.04907404772427304</v>
      </c>
      <c r="G413" s="36" t="n">
        <v>0.404276456330449</v>
      </c>
      <c r="H413" s="37">
        <f>SUM(B413:G413)</f>
        <v/>
      </c>
      <c r="I413" s="25">
        <f>B413/$H413</f>
        <v/>
      </c>
      <c r="J413" s="25">
        <f>C413/$H413</f>
        <v/>
      </c>
      <c r="K413" s="25">
        <f>D413/$H413</f>
        <v/>
      </c>
      <c r="L413" s="25">
        <f>E413/$H413</f>
        <v/>
      </c>
      <c r="M413" s="25">
        <f>F413/$H413</f>
        <v/>
      </c>
      <c r="N413" s="25">
        <f>G413/$H413</f>
        <v/>
      </c>
      <c r="O413" s="25">
        <f>SUM(MMULT(I413:N413,'07 Annualised Inputs'!$D$7:$D$12))</f>
        <v/>
      </c>
      <c r="P413" s="25">
        <f>SQRT(SUMPRODUCT(MMULT(I413:N413,'07 Annualised Inputs'!$B$17:$G$22),I413:N413))</f>
        <v/>
      </c>
      <c r="Q413" s="37">
        <f>(O413-'02 Config'!$B$10)/P413</f>
        <v/>
      </c>
    </row>
    <row r="414">
      <c r="A414" s="12" t="n">
        <v>409</v>
      </c>
      <c r="B414" s="36" t="n">
        <v>0.5829782620655608</v>
      </c>
      <c r="C414" s="36" t="n">
        <v>0.5851913513049627</v>
      </c>
      <c r="D414" s="36" t="n">
        <v>0.6573339617683736</v>
      </c>
      <c r="E414" s="36" t="n">
        <v>0.7202160290026638</v>
      </c>
      <c r="F414" s="36" t="n">
        <v>0.6415472033408566</v>
      </c>
      <c r="G414" s="36" t="n">
        <v>0.790243155389435</v>
      </c>
      <c r="H414" s="37">
        <f>SUM(B414:G414)</f>
        <v/>
      </c>
      <c r="I414" s="25">
        <f>B414/$H414</f>
        <v/>
      </c>
      <c r="J414" s="25">
        <f>C414/$H414</f>
        <v/>
      </c>
      <c r="K414" s="25">
        <f>D414/$H414</f>
        <v/>
      </c>
      <c r="L414" s="25">
        <f>E414/$H414</f>
        <v/>
      </c>
      <c r="M414" s="25">
        <f>F414/$H414</f>
        <v/>
      </c>
      <c r="N414" s="25">
        <f>G414/$H414</f>
        <v/>
      </c>
      <c r="O414" s="25">
        <f>SUM(MMULT(I414:N414,'07 Annualised Inputs'!$D$7:$D$12))</f>
        <v/>
      </c>
      <c r="P414" s="25">
        <f>SQRT(SUMPRODUCT(MMULT(I414:N414,'07 Annualised Inputs'!$B$17:$G$22),I414:N414))</f>
        <v/>
      </c>
      <c r="Q414" s="37">
        <f>(O414-'02 Config'!$B$10)/P414</f>
        <v/>
      </c>
    </row>
    <row r="415">
      <c r="A415" s="12" t="n">
        <v>410</v>
      </c>
      <c r="B415" s="36" t="n">
        <v>0.6247606346845916</v>
      </c>
      <c r="C415" s="36" t="n">
        <v>0.5375076625372045</v>
      </c>
      <c r="D415" s="36" t="n">
        <v>0.6061964288878109</v>
      </c>
      <c r="E415" s="36" t="n">
        <v>0.1011933667533323</v>
      </c>
      <c r="F415" s="36" t="n">
        <v>0.27315654072552</v>
      </c>
      <c r="G415" s="36" t="n">
        <v>0.5273997806581312</v>
      </c>
      <c r="H415" s="37">
        <f>SUM(B415:G415)</f>
        <v/>
      </c>
      <c r="I415" s="25">
        <f>B415/$H415</f>
        <v/>
      </c>
      <c r="J415" s="25">
        <f>C415/$H415</f>
        <v/>
      </c>
      <c r="K415" s="25">
        <f>D415/$H415</f>
        <v/>
      </c>
      <c r="L415" s="25">
        <f>E415/$H415</f>
        <v/>
      </c>
      <c r="M415" s="25">
        <f>F415/$H415</f>
        <v/>
      </c>
      <c r="N415" s="25">
        <f>G415/$H415</f>
        <v/>
      </c>
      <c r="O415" s="25">
        <f>SUM(MMULT(I415:N415,'07 Annualised Inputs'!$D$7:$D$12))</f>
        <v/>
      </c>
      <c r="P415" s="25">
        <f>SQRT(SUMPRODUCT(MMULT(I415:N415,'07 Annualised Inputs'!$B$17:$G$22),I415:N415))</f>
        <v/>
      </c>
      <c r="Q415" s="37">
        <f>(O415-'02 Config'!$B$10)/P415</f>
        <v/>
      </c>
    </row>
    <row r="416">
      <c r="A416" s="12" t="n">
        <v>411</v>
      </c>
      <c r="B416" s="36" t="n">
        <v>0.8729872154017071</v>
      </c>
      <c r="C416" s="36" t="n">
        <v>0.6790515562879931</v>
      </c>
      <c r="D416" s="36" t="n">
        <v>0.09040807847189758</v>
      </c>
      <c r="E416" s="36" t="n">
        <v>0.5922749504444044</v>
      </c>
      <c r="F416" s="36" t="n">
        <v>0.221737987637099</v>
      </c>
      <c r="G416" s="36" t="n">
        <v>0.7340165597887229</v>
      </c>
      <c r="H416" s="37">
        <f>SUM(B416:G416)</f>
        <v/>
      </c>
      <c r="I416" s="25">
        <f>B416/$H416</f>
        <v/>
      </c>
      <c r="J416" s="25">
        <f>C416/$H416</f>
        <v/>
      </c>
      <c r="K416" s="25">
        <f>D416/$H416</f>
        <v/>
      </c>
      <c r="L416" s="25">
        <f>E416/$H416</f>
        <v/>
      </c>
      <c r="M416" s="25">
        <f>F416/$H416</f>
        <v/>
      </c>
      <c r="N416" s="25">
        <f>G416/$H416</f>
        <v/>
      </c>
      <c r="O416" s="25">
        <f>SUM(MMULT(I416:N416,'07 Annualised Inputs'!$D$7:$D$12))</f>
        <v/>
      </c>
      <c r="P416" s="25">
        <f>SQRT(SUMPRODUCT(MMULT(I416:N416,'07 Annualised Inputs'!$B$17:$G$22),I416:N416))</f>
        <v/>
      </c>
      <c r="Q416" s="37">
        <f>(O416-'02 Config'!$B$10)/P416</f>
        <v/>
      </c>
    </row>
    <row r="417">
      <c r="A417" s="12" t="n">
        <v>412</v>
      </c>
      <c r="B417" s="36" t="n">
        <v>0.8274408525087472</v>
      </c>
      <c r="C417" s="36" t="n">
        <v>0.5934562725899734</v>
      </c>
      <c r="D417" s="36" t="n">
        <v>0.5913626097517097</v>
      </c>
      <c r="E417" s="36" t="n">
        <v>0.338591443210814</v>
      </c>
      <c r="F417" s="36" t="n">
        <v>0.4462500211613094</v>
      </c>
      <c r="G417" s="36" t="n">
        <v>0.8641083538153455</v>
      </c>
      <c r="H417" s="37">
        <f>SUM(B417:G417)</f>
        <v/>
      </c>
      <c r="I417" s="25">
        <f>B417/$H417</f>
        <v/>
      </c>
      <c r="J417" s="25">
        <f>C417/$H417</f>
        <v/>
      </c>
      <c r="K417" s="25">
        <f>D417/$H417</f>
        <v/>
      </c>
      <c r="L417" s="25">
        <f>E417/$H417</f>
        <v/>
      </c>
      <c r="M417" s="25">
        <f>F417/$H417</f>
        <v/>
      </c>
      <c r="N417" s="25">
        <f>G417/$H417</f>
        <v/>
      </c>
      <c r="O417" s="25">
        <f>SUM(MMULT(I417:N417,'07 Annualised Inputs'!$D$7:$D$12))</f>
        <v/>
      </c>
      <c r="P417" s="25">
        <f>SQRT(SUMPRODUCT(MMULT(I417:N417,'07 Annualised Inputs'!$B$17:$G$22),I417:N417))</f>
        <v/>
      </c>
      <c r="Q417" s="37">
        <f>(O417-'02 Config'!$B$10)/P417</f>
        <v/>
      </c>
    </row>
    <row r="418">
      <c r="A418" s="12" t="n">
        <v>413</v>
      </c>
      <c r="B418" s="36" t="n">
        <v>0.7233203309671565</v>
      </c>
      <c r="C418" s="36" t="n">
        <v>0.5197536596958431</v>
      </c>
      <c r="D418" s="36" t="n">
        <v>0.368232386248371</v>
      </c>
      <c r="E418" s="36" t="n">
        <v>0.05037973828855435</v>
      </c>
      <c r="F418" s="36" t="n">
        <v>0.1430074013263851</v>
      </c>
      <c r="G418" s="36" t="n">
        <v>0.1930251895393706</v>
      </c>
      <c r="H418" s="37">
        <f>SUM(B418:G418)</f>
        <v/>
      </c>
      <c r="I418" s="25">
        <f>B418/$H418</f>
        <v/>
      </c>
      <c r="J418" s="25">
        <f>C418/$H418</f>
        <v/>
      </c>
      <c r="K418" s="25">
        <f>D418/$H418</f>
        <v/>
      </c>
      <c r="L418" s="25">
        <f>E418/$H418</f>
        <v/>
      </c>
      <c r="M418" s="25">
        <f>F418/$H418</f>
        <v/>
      </c>
      <c r="N418" s="25">
        <f>G418/$H418</f>
        <v/>
      </c>
      <c r="O418" s="25">
        <f>SUM(MMULT(I418:N418,'07 Annualised Inputs'!$D$7:$D$12))</f>
        <v/>
      </c>
      <c r="P418" s="25">
        <f>SQRT(SUMPRODUCT(MMULT(I418:N418,'07 Annualised Inputs'!$B$17:$G$22),I418:N418))</f>
        <v/>
      </c>
      <c r="Q418" s="37">
        <f>(O418-'02 Config'!$B$10)/P418</f>
        <v/>
      </c>
    </row>
    <row r="419">
      <c r="A419" s="12" t="n">
        <v>414</v>
      </c>
      <c r="B419" s="36" t="n">
        <v>0.3733835432586747</v>
      </c>
      <c r="C419" s="36" t="n">
        <v>0.9441436470762746</v>
      </c>
      <c r="D419" s="36" t="n">
        <v>0.5051533948587487</v>
      </c>
      <c r="E419" s="36" t="n">
        <v>0.2348401632592311</v>
      </c>
      <c r="F419" s="36" t="n">
        <v>0.1057501374615141</v>
      </c>
      <c r="G419" s="36" t="n">
        <v>0.338305524602964</v>
      </c>
      <c r="H419" s="37">
        <f>SUM(B419:G419)</f>
        <v/>
      </c>
      <c r="I419" s="25">
        <f>B419/$H419</f>
        <v/>
      </c>
      <c r="J419" s="25">
        <f>C419/$H419</f>
        <v/>
      </c>
      <c r="K419" s="25">
        <f>D419/$H419</f>
        <v/>
      </c>
      <c r="L419" s="25">
        <f>E419/$H419</f>
        <v/>
      </c>
      <c r="M419" s="25">
        <f>F419/$H419</f>
        <v/>
      </c>
      <c r="N419" s="25">
        <f>G419/$H419</f>
        <v/>
      </c>
      <c r="O419" s="25">
        <f>SUM(MMULT(I419:N419,'07 Annualised Inputs'!$D$7:$D$12))</f>
        <v/>
      </c>
      <c r="P419" s="25">
        <f>SQRT(SUMPRODUCT(MMULT(I419:N419,'07 Annualised Inputs'!$B$17:$G$22),I419:N419))</f>
        <v/>
      </c>
      <c r="Q419" s="37">
        <f>(O419-'02 Config'!$B$10)/P419</f>
        <v/>
      </c>
    </row>
    <row r="420">
      <c r="A420" s="12" t="n">
        <v>415</v>
      </c>
      <c r="B420" s="36" t="n">
        <v>0.8157306355510568</v>
      </c>
      <c r="C420" s="36" t="n">
        <v>0.3833427934105079</v>
      </c>
      <c r="D420" s="36" t="n">
        <v>0.7725058060224135</v>
      </c>
      <c r="E420" s="36" t="n">
        <v>0.8027049761268789</v>
      </c>
      <c r="F420" s="36" t="n">
        <v>0.1108207696987041</v>
      </c>
      <c r="G420" s="36" t="n">
        <v>0.6086597526267837</v>
      </c>
      <c r="H420" s="37">
        <f>SUM(B420:G420)</f>
        <v/>
      </c>
      <c r="I420" s="25">
        <f>B420/$H420</f>
        <v/>
      </c>
      <c r="J420" s="25">
        <f>C420/$H420</f>
        <v/>
      </c>
      <c r="K420" s="25">
        <f>D420/$H420</f>
        <v/>
      </c>
      <c r="L420" s="25">
        <f>E420/$H420</f>
        <v/>
      </c>
      <c r="M420" s="25">
        <f>F420/$H420</f>
        <v/>
      </c>
      <c r="N420" s="25">
        <f>G420/$H420</f>
        <v/>
      </c>
      <c r="O420" s="25">
        <f>SUM(MMULT(I420:N420,'07 Annualised Inputs'!$D$7:$D$12))</f>
        <v/>
      </c>
      <c r="P420" s="25">
        <f>SQRT(SUMPRODUCT(MMULT(I420:N420,'07 Annualised Inputs'!$B$17:$G$22),I420:N420))</f>
        <v/>
      </c>
      <c r="Q420" s="37">
        <f>(O420-'02 Config'!$B$10)/P420</f>
        <v/>
      </c>
    </row>
    <row r="421">
      <c r="A421" s="12" t="n">
        <v>416</v>
      </c>
      <c r="B421" s="36" t="n">
        <v>0.9590960633711108</v>
      </c>
      <c r="C421" s="36" t="n">
        <v>0.4021380749035539</v>
      </c>
      <c r="D421" s="36" t="n">
        <v>0.05094408900302227</v>
      </c>
      <c r="E421" s="36" t="n">
        <v>0.9233026902578786</v>
      </c>
      <c r="F421" s="36" t="n">
        <v>0.8836662815724829</v>
      </c>
      <c r="G421" s="36" t="n">
        <v>0.5221414472090018</v>
      </c>
      <c r="H421" s="37">
        <f>SUM(B421:G421)</f>
        <v/>
      </c>
      <c r="I421" s="25">
        <f>B421/$H421</f>
        <v/>
      </c>
      <c r="J421" s="25">
        <f>C421/$H421</f>
        <v/>
      </c>
      <c r="K421" s="25">
        <f>D421/$H421</f>
        <v/>
      </c>
      <c r="L421" s="25">
        <f>E421/$H421</f>
        <v/>
      </c>
      <c r="M421" s="25">
        <f>F421/$H421</f>
        <v/>
      </c>
      <c r="N421" s="25">
        <f>G421/$H421</f>
        <v/>
      </c>
      <c r="O421" s="25">
        <f>SUM(MMULT(I421:N421,'07 Annualised Inputs'!$D$7:$D$12))</f>
        <v/>
      </c>
      <c r="P421" s="25">
        <f>SQRT(SUMPRODUCT(MMULT(I421:N421,'07 Annualised Inputs'!$B$17:$G$22),I421:N421))</f>
        <v/>
      </c>
      <c r="Q421" s="37">
        <f>(O421-'02 Config'!$B$10)/P421</f>
        <v/>
      </c>
    </row>
    <row r="422">
      <c r="A422" s="12" t="n">
        <v>417</v>
      </c>
      <c r="B422" s="36" t="n">
        <v>0.5522531203440096</v>
      </c>
      <c r="C422" s="36" t="n">
        <v>0.2117411027761249</v>
      </c>
      <c r="D422" s="36" t="n">
        <v>0.8194507555446373</v>
      </c>
      <c r="E422" s="36" t="n">
        <v>0.4986000383921264</v>
      </c>
      <c r="F422" s="36" t="n">
        <v>0.03387779514255651</v>
      </c>
      <c r="G422" s="36" t="n">
        <v>0.6830149564489978</v>
      </c>
      <c r="H422" s="37">
        <f>SUM(B422:G422)</f>
        <v/>
      </c>
      <c r="I422" s="25">
        <f>B422/$H422</f>
        <v/>
      </c>
      <c r="J422" s="25">
        <f>C422/$H422</f>
        <v/>
      </c>
      <c r="K422" s="25">
        <f>D422/$H422</f>
        <v/>
      </c>
      <c r="L422" s="25">
        <f>E422/$H422</f>
        <v/>
      </c>
      <c r="M422" s="25">
        <f>F422/$H422</f>
        <v/>
      </c>
      <c r="N422" s="25">
        <f>G422/$H422</f>
        <v/>
      </c>
      <c r="O422" s="25">
        <f>SUM(MMULT(I422:N422,'07 Annualised Inputs'!$D$7:$D$12))</f>
        <v/>
      </c>
      <c r="P422" s="25">
        <f>SQRT(SUMPRODUCT(MMULT(I422:N422,'07 Annualised Inputs'!$B$17:$G$22),I422:N422))</f>
        <v/>
      </c>
      <c r="Q422" s="37">
        <f>(O422-'02 Config'!$B$10)/P422</f>
        <v/>
      </c>
    </row>
    <row r="423">
      <c r="A423" s="12" t="n">
        <v>418</v>
      </c>
      <c r="B423" s="36" t="n">
        <v>0.9504962698027061</v>
      </c>
      <c r="C423" s="36" t="n">
        <v>0.8291504903457503</v>
      </c>
      <c r="D423" s="36" t="n">
        <v>0.2771981402105398</v>
      </c>
      <c r="E423" s="36" t="n">
        <v>0.05332508493334065</v>
      </c>
      <c r="F423" s="36" t="n">
        <v>0.9403514125381806</v>
      </c>
      <c r="G423" s="36" t="n">
        <v>0.9370627248797014</v>
      </c>
      <c r="H423" s="37">
        <f>SUM(B423:G423)</f>
        <v/>
      </c>
      <c r="I423" s="25">
        <f>B423/$H423</f>
        <v/>
      </c>
      <c r="J423" s="25">
        <f>C423/$H423</f>
        <v/>
      </c>
      <c r="K423" s="25">
        <f>D423/$H423</f>
        <v/>
      </c>
      <c r="L423" s="25">
        <f>E423/$H423</f>
        <v/>
      </c>
      <c r="M423" s="25">
        <f>F423/$H423</f>
        <v/>
      </c>
      <c r="N423" s="25">
        <f>G423/$H423</f>
        <v/>
      </c>
      <c r="O423" s="25">
        <f>SUM(MMULT(I423:N423,'07 Annualised Inputs'!$D$7:$D$12))</f>
        <v/>
      </c>
      <c r="P423" s="25">
        <f>SQRT(SUMPRODUCT(MMULT(I423:N423,'07 Annualised Inputs'!$B$17:$G$22),I423:N423))</f>
        <v/>
      </c>
      <c r="Q423" s="37">
        <f>(O423-'02 Config'!$B$10)/P423</f>
        <v/>
      </c>
    </row>
    <row r="424">
      <c r="A424" s="12" t="n">
        <v>419</v>
      </c>
      <c r="B424" s="36" t="n">
        <v>0.5324153197128694</v>
      </c>
      <c r="C424" s="36" t="n">
        <v>0.6423174116715351</v>
      </c>
      <c r="D424" s="36" t="n">
        <v>0.4626000607108083</v>
      </c>
      <c r="E424" s="36" t="n">
        <v>0.4197653670987587</v>
      </c>
      <c r="F424" s="36" t="n">
        <v>0.1194484359287004</v>
      </c>
      <c r="G424" s="36" t="n">
        <v>0.09675289836109602</v>
      </c>
      <c r="H424" s="37">
        <f>SUM(B424:G424)</f>
        <v/>
      </c>
      <c r="I424" s="25">
        <f>B424/$H424</f>
        <v/>
      </c>
      <c r="J424" s="25">
        <f>C424/$H424</f>
        <v/>
      </c>
      <c r="K424" s="25">
        <f>D424/$H424</f>
        <v/>
      </c>
      <c r="L424" s="25">
        <f>E424/$H424</f>
        <v/>
      </c>
      <c r="M424" s="25">
        <f>F424/$H424</f>
        <v/>
      </c>
      <c r="N424" s="25">
        <f>G424/$H424</f>
        <v/>
      </c>
      <c r="O424" s="25">
        <f>SUM(MMULT(I424:N424,'07 Annualised Inputs'!$D$7:$D$12))</f>
        <v/>
      </c>
      <c r="P424" s="25">
        <f>SQRT(SUMPRODUCT(MMULT(I424:N424,'07 Annualised Inputs'!$B$17:$G$22),I424:N424))</f>
        <v/>
      </c>
      <c r="Q424" s="37">
        <f>(O424-'02 Config'!$B$10)/P424</f>
        <v/>
      </c>
    </row>
    <row r="425">
      <c r="A425" s="12" t="n">
        <v>420</v>
      </c>
      <c r="B425" s="36" t="n">
        <v>0.2327321466761875</v>
      </c>
      <c r="C425" s="36" t="n">
        <v>0.8366407464065443</v>
      </c>
      <c r="D425" s="36" t="n">
        <v>0.14583230073568</v>
      </c>
      <c r="E425" s="36" t="n">
        <v>0.2266986519147107</v>
      </c>
      <c r="F425" s="36" t="n">
        <v>0.5486140593222075</v>
      </c>
      <c r="G425" s="36" t="n">
        <v>0.2151312180782744</v>
      </c>
      <c r="H425" s="37">
        <f>SUM(B425:G425)</f>
        <v/>
      </c>
      <c r="I425" s="25">
        <f>B425/$H425</f>
        <v/>
      </c>
      <c r="J425" s="25">
        <f>C425/$H425</f>
        <v/>
      </c>
      <c r="K425" s="25">
        <f>D425/$H425</f>
        <v/>
      </c>
      <c r="L425" s="25">
        <f>E425/$H425</f>
        <v/>
      </c>
      <c r="M425" s="25">
        <f>F425/$H425</f>
        <v/>
      </c>
      <c r="N425" s="25">
        <f>G425/$H425</f>
        <v/>
      </c>
      <c r="O425" s="25">
        <f>SUM(MMULT(I425:N425,'07 Annualised Inputs'!$D$7:$D$12))</f>
        <v/>
      </c>
      <c r="P425" s="25">
        <f>SQRT(SUMPRODUCT(MMULT(I425:N425,'07 Annualised Inputs'!$B$17:$G$22),I425:N425))</f>
        <v/>
      </c>
      <c r="Q425" s="37">
        <f>(O425-'02 Config'!$B$10)/P425</f>
        <v/>
      </c>
    </row>
    <row r="426">
      <c r="A426" s="12" t="n">
        <v>421</v>
      </c>
      <c r="B426" s="36" t="n">
        <v>0.1632066847177871</v>
      </c>
      <c r="C426" s="36" t="n">
        <v>0.5633162416979622</v>
      </c>
      <c r="D426" s="36" t="n">
        <v>0.3680932709966155</v>
      </c>
      <c r="E426" s="36" t="n">
        <v>0.6261592858404692</v>
      </c>
      <c r="F426" s="36" t="n">
        <v>0.9122053404086763</v>
      </c>
      <c r="G426" s="36" t="n">
        <v>0.1509931314350677</v>
      </c>
      <c r="H426" s="37">
        <f>SUM(B426:G426)</f>
        <v/>
      </c>
      <c r="I426" s="25">
        <f>B426/$H426</f>
        <v/>
      </c>
      <c r="J426" s="25">
        <f>C426/$H426</f>
        <v/>
      </c>
      <c r="K426" s="25">
        <f>D426/$H426</f>
        <v/>
      </c>
      <c r="L426" s="25">
        <f>E426/$H426</f>
        <v/>
      </c>
      <c r="M426" s="25">
        <f>F426/$H426</f>
        <v/>
      </c>
      <c r="N426" s="25">
        <f>G426/$H426</f>
        <v/>
      </c>
      <c r="O426" s="25">
        <f>SUM(MMULT(I426:N426,'07 Annualised Inputs'!$D$7:$D$12))</f>
        <v/>
      </c>
      <c r="P426" s="25">
        <f>SQRT(SUMPRODUCT(MMULT(I426:N426,'07 Annualised Inputs'!$B$17:$G$22),I426:N426))</f>
        <v/>
      </c>
      <c r="Q426" s="37">
        <f>(O426-'02 Config'!$B$10)/P426</f>
        <v/>
      </c>
    </row>
    <row r="427">
      <c r="A427" s="12" t="n">
        <v>422</v>
      </c>
      <c r="B427" s="36" t="n">
        <v>0.9134336598130639</v>
      </c>
      <c r="C427" s="36" t="n">
        <v>0.9024899674229186</v>
      </c>
      <c r="D427" s="36" t="n">
        <v>0.8290875833359028</v>
      </c>
      <c r="E427" s="36" t="n">
        <v>0.6312859173060852</v>
      </c>
      <c r="F427" s="36" t="n">
        <v>0.6201466574655474</v>
      </c>
      <c r="G427" s="36" t="n">
        <v>0.6392126599365016</v>
      </c>
      <c r="H427" s="37">
        <f>SUM(B427:G427)</f>
        <v/>
      </c>
      <c r="I427" s="25">
        <f>B427/$H427</f>
        <v/>
      </c>
      <c r="J427" s="25">
        <f>C427/$H427</f>
        <v/>
      </c>
      <c r="K427" s="25">
        <f>D427/$H427</f>
        <v/>
      </c>
      <c r="L427" s="25">
        <f>E427/$H427</f>
        <v/>
      </c>
      <c r="M427" s="25">
        <f>F427/$H427</f>
        <v/>
      </c>
      <c r="N427" s="25">
        <f>G427/$H427</f>
        <v/>
      </c>
      <c r="O427" s="25">
        <f>SUM(MMULT(I427:N427,'07 Annualised Inputs'!$D$7:$D$12))</f>
        <v/>
      </c>
      <c r="P427" s="25">
        <f>SQRT(SUMPRODUCT(MMULT(I427:N427,'07 Annualised Inputs'!$B$17:$G$22),I427:N427))</f>
        <v/>
      </c>
      <c r="Q427" s="37">
        <f>(O427-'02 Config'!$B$10)/P427</f>
        <v/>
      </c>
    </row>
    <row r="428">
      <c r="A428" s="12" t="n">
        <v>423</v>
      </c>
      <c r="B428" s="36" t="n">
        <v>0.6904955512178131</v>
      </c>
      <c r="C428" s="36" t="n">
        <v>0.01648220059615702</v>
      </c>
      <c r="D428" s="36" t="n">
        <v>0.9580925791606497</v>
      </c>
      <c r="E428" s="36" t="n">
        <v>0.5856037614655798</v>
      </c>
      <c r="F428" s="36" t="n">
        <v>0.7814658394024216</v>
      </c>
      <c r="G428" s="36" t="n">
        <v>0.3772818390613631</v>
      </c>
      <c r="H428" s="37">
        <f>SUM(B428:G428)</f>
        <v/>
      </c>
      <c r="I428" s="25">
        <f>B428/$H428</f>
        <v/>
      </c>
      <c r="J428" s="25">
        <f>C428/$H428</f>
        <v/>
      </c>
      <c r="K428" s="25">
        <f>D428/$H428</f>
        <v/>
      </c>
      <c r="L428" s="25">
        <f>E428/$H428</f>
        <v/>
      </c>
      <c r="M428" s="25">
        <f>F428/$H428</f>
        <v/>
      </c>
      <c r="N428" s="25">
        <f>G428/$H428</f>
        <v/>
      </c>
      <c r="O428" s="25">
        <f>SUM(MMULT(I428:N428,'07 Annualised Inputs'!$D$7:$D$12))</f>
        <v/>
      </c>
      <c r="P428" s="25">
        <f>SQRT(SUMPRODUCT(MMULT(I428:N428,'07 Annualised Inputs'!$B$17:$G$22),I428:N428))</f>
        <v/>
      </c>
      <c r="Q428" s="37">
        <f>(O428-'02 Config'!$B$10)/P428</f>
        <v/>
      </c>
    </row>
    <row r="429">
      <c r="A429" s="12" t="n">
        <v>424</v>
      </c>
      <c r="B429" s="36" t="n">
        <v>0.01239721391579596</v>
      </c>
      <c r="C429" s="36" t="n">
        <v>0.509734659876444</v>
      </c>
      <c r="D429" s="36" t="n">
        <v>0.5071901193159289</v>
      </c>
      <c r="E429" s="36" t="n">
        <v>0.4369892883114518</v>
      </c>
      <c r="F429" s="36" t="n">
        <v>0.3397170541620768</v>
      </c>
      <c r="G429" s="36" t="n">
        <v>0.249826087809722</v>
      </c>
      <c r="H429" s="37">
        <f>SUM(B429:G429)</f>
        <v/>
      </c>
      <c r="I429" s="25">
        <f>B429/$H429</f>
        <v/>
      </c>
      <c r="J429" s="25">
        <f>C429/$H429</f>
        <v/>
      </c>
      <c r="K429" s="25">
        <f>D429/$H429</f>
        <v/>
      </c>
      <c r="L429" s="25">
        <f>E429/$H429</f>
        <v/>
      </c>
      <c r="M429" s="25">
        <f>F429/$H429</f>
        <v/>
      </c>
      <c r="N429" s="25">
        <f>G429/$H429</f>
        <v/>
      </c>
      <c r="O429" s="25">
        <f>SUM(MMULT(I429:N429,'07 Annualised Inputs'!$D$7:$D$12))</f>
        <v/>
      </c>
      <c r="P429" s="25">
        <f>SQRT(SUMPRODUCT(MMULT(I429:N429,'07 Annualised Inputs'!$B$17:$G$22),I429:N429))</f>
        <v/>
      </c>
      <c r="Q429" s="37">
        <f>(O429-'02 Config'!$B$10)/P429</f>
        <v/>
      </c>
    </row>
    <row r="430">
      <c r="A430" s="12" t="n">
        <v>425</v>
      </c>
      <c r="B430" s="36" t="n">
        <v>0.5275448744971828</v>
      </c>
      <c r="C430" s="36" t="n">
        <v>0.3752781396934941</v>
      </c>
      <c r="D430" s="36" t="n">
        <v>0.9699318830498087</v>
      </c>
      <c r="E430" s="36" t="n">
        <v>0.1729273077669314</v>
      </c>
      <c r="F430" s="36" t="n">
        <v>0.319665567627087</v>
      </c>
      <c r="G430" s="36" t="n">
        <v>0.293960470924571</v>
      </c>
      <c r="H430" s="37">
        <f>SUM(B430:G430)</f>
        <v/>
      </c>
      <c r="I430" s="25">
        <f>B430/$H430</f>
        <v/>
      </c>
      <c r="J430" s="25">
        <f>C430/$H430</f>
        <v/>
      </c>
      <c r="K430" s="25">
        <f>D430/$H430</f>
        <v/>
      </c>
      <c r="L430" s="25">
        <f>E430/$H430</f>
        <v/>
      </c>
      <c r="M430" s="25">
        <f>F430/$H430</f>
        <v/>
      </c>
      <c r="N430" s="25">
        <f>G430/$H430</f>
        <v/>
      </c>
      <c r="O430" s="25">
        <f>SUM(MMULT(I430:N430,'07 Annualised Inputs'!$D$7:$D$12))</f>
        <v/>
      </c>
      <c r="P430" s="25">
        <f>SQRT(SUMPRODUCT(MMULT(I430:N430,'07 Annualised Inputs'!$B$17:$G$22),I430:N430))</f>
        <v/>
      </c>
      <c r="Q430" s="37">
        <f>(O430-'02 Config'!$B$10)/P430</f>
        <v/>
      </c>
    </row>
    <row r="431">
      <c r="A431" s="12" t="n">
        <v>426</v>
      </c>
      <c r="B431" s="36" t="n">
        <v>0.543309176235957</v>
      </c>
      <c r="C431" s="36" t="n">
        <v>0.4992802569741479</v>
      </c>
      <c r="D431" s="36" t="n">
        <v>0.6437404654242731</v>
      </c>
      <c r="E431" s="36" t="n">
        <v>0.9500017705742079</v>
      </c>
      <c r="F431" s="36" t="n">
        <v>0.2852210854938674</v>
      </c>
      <c r="G431" s="36" t="n">
        <v>0.6927715692549965</v>
      </c>
      <c r="H431" s="37">
        <f>SUM(B431:G431)</f>
        <v/>
      </c>
      <c r="I431" s="25">
        <f>B431/$H431</f>
        <v/>
      </c>
      <c r="J431" s="25">
        <f>C431/$H431</f>
        <v/>
      </c>
      <c r="K431" s="25">
        <f>D431/$H431</f>
        <v/>
      </c>
      <c r="L431" s="25">
        <f>E431/$H431</f>
        <v/>
      </c>
      <c r="M431" s="25">
        <f>F431/$H431</f>
        <v/>
      </c>
      <c r="N431" s="25">
        <f>G431/$H431</f>
        <v/>
      </c>
      <c r="O431" s="25">
        <f>SUM(MMULT(I431:N431,'07 Annualised Inputs'!$D$7:$D$12))</f>
        <v/>
      </c>
      <c r="P431" s="25">
        <f>SQRT(SUMPRODUCT(MMULT(I431:N431,'07 Annualised Inputs'!$B$17:$G$22),I431:N431))</f>
        <v/>
      </c>
      <c r="Q431" s="37">
        <f>(O431-'02 Config'!$B$10)/P431</f>
        <v/>
      </c>
    </row>
    <row r="432">
      <c r="A432" s="12" t="n">
        <v>427</v>
      </c>
      <c r="B432" s="36" t="n">
        <v>0.02504020300518361</v>
      </c>
      <c r="C432" s="36" t="n">
        <v>0.2623884727336245</v>
      </c>
      <c r="D432" s="36" t="n">
        <v>0.4637197279965928</v>
      </c>
      <c r="E432" s="36" t="n">
        <v>0.03099478848113446</v>
      </c>
      <c r="F432" s="36" t="n">
        <v>0.6176694605536389</v>
      </c>
      <c r="G432" s="36" t="n">
        <v>0.6783106084017082</v>
      </c>
      <c r="H432" s="37">
        <f>SUM(B432:G432)</f>
        <v/>
      </c>
      <c r="I432" s="25">
        <f>B432/$H432</f>
        <v/>
      </c>
      <c r="J432" s="25">
        <f>C432/$H432</f>
        <v/>
      </c>
      <c r="K432" s="25">
        <f>D432/$H432</f>
        <v/>
      </c>
      <c r="L432" s="25">
        <f>E432/$H432</f>
        <v/>
      </c>
      <c r="M432" s="25">
        <f>F432/$H432</f>
        <v/>
      </c>
      <c r="N432" s="25">
        <f>G432/$H432</f>
        <v/>
      </c>
      <c r="O432" s="25">
        <f>SUM(MMULT(I432:N432,'07 Annualised Inputs'!$D$7:$D$12))</f>
        <v/>
      </c>
      <c r="P432" s="25">
        <f>SQRT(SUMPRODUCT(MMULT(I432:N432,'07 Annualised Inputs'!$B$17:$G$22),I432:N432))</f>
        <v/>
      </c>
      <c r="Q432" s="37">
        <f>(O432-'02 Config'!$B$10)/P432</f>
        <v/>
      </c>
    </row>
    <row r="433">
      <c r="A433" s="12" t="n">
        <v>428</v>
      </c>
      <c r="B433" s="36" t="n">
        <v>0.7467317148380467</v>
      </c>
      <c r="C433" s="36" t="n">
        <v>0.5165745048430123</v>
      </c>
      <c r="D433" s="36" t="n">
        <v>0.6039446649786266</v>
      </c>
      <c r="E433" s="36" t="n">
        <v>0.3960652512784872</v>
      </c>
      <c r="F433" s="36" t="n">
        <v>0.04125303250656254</v>
      </c>
      <c r="G433" s="36" t="n">
        <v>0.09995185577451304</v>
      </c>
      <c r="H433" s="37">
        <f>SUM(B433:G433)</f>
        <v/>
      </c>
      <c r="I433" s="25">
        <f>B433/$H433</f>
        <v/>
      </c>
      <c r="J433" s="25">
        <f>C433/$H433</f>
        <v/>
      </c>
      <c r="K433" s="25">
        <f>D433/$H433</f>
        <v/>
      </c>
      <c r="L433" s="25">
        <f>E433/$H433</f>
        <v/>
      </c>
      <c r="M433" s="25">
        <f>F433/$H433</f>
        <v/>
      </c>
      <c r="N433" s="25">
        <f>G433/$H433</f>
        <v/>
      </c>
      <c r="O433" s="25">
        <f>SUM(MMULT(I433:N433,'07 Annualised Inputs'!$D$7:$D$12))</f>
        <v/>
      </c>
      <c r="P433" s="25">
        <f>SQRT(SUMPRODUCT(MMULT(I433:N433,'07 Annualised Inputs'!$B$17:$G$22),I433:N433))</f>
        <v/>
      </c>
      <c r="Q433" s="37">
        <f>(O433-'02 Config'!$B$10)/P433</f>
        <v/>
      </c>
    </row>
    <row r="434">
      <c r="A434" s="12" t="n">
        <v>429</v>
      </c>
      <c r="B434" s="36" t="n">
        <v>0.6549959242014641</v>
      </c>
      <c r="C434" s="36" t="n">
        <v>0.9955552995857763</v>
      </c>
      <c r="D434" s="36" t="n">
        <v>0.01580323916329618</v>
      </c>
      <c r="E434" s="36" t="n">
        <v>0.5575834968263828</v>
      </c>
      <c r="F434" s="36" t="n">
        <v>0.7510087528825579</v>
      </c>
      <c r="G434" s="36" t="n">
        <v>0.8267748280138787</v>
      </c>
      <c r="H434" s="37">
        <f>SUM(B434:G434)</f>
        <v/>
      </c>
      <c r="I434" s="25">
        <f>B434/$H434</f>
        <v/>
      </c>
      <c r="J434" s="25">
        <f>C434/$H434</f>
        <v/>
      </c>
      <c r="K434" s="25">
        <f>D434/$H434</f>
        <v/>
      </c>
      <c r="L434" s="25">
        <f>E434/$H434</f>
        <v/>
      </c>
      <c r="M434" s="25">
        <f>F434/$H434</f>
        <v/>
      </c>
      <c r="N434" s="25">
        <f>G434/$H434</f>
        <v/>
      </c>
      <c r="O434" s="25">
        <f>SUM(MMULT(I434:N434,'07 Annualised Inputs'!$D$7:$D$12))</f>
        <v/>
      </c>
      <c r="P434" s="25">
        <f>SQRT(SUMPRODUCT(MMULT(I434:N434,'07 Annualised Inputs'!$B$17:$G$22),I434:N434))</f>
        <v/>
      </c>
      <c r="Q434" s="37">
        <f>(O434-'02 Config'!$B$10)/P434</f>
        <v/>
      </c>
    </row>
    <row r="435">
      <c r="A435" s="12" t="n">
        <v>430</v>
      </c>
      <c r="B435" s="36" t="n">
        <v>0.5452049012226401</v>
      </c>
      <c r="C435" s="36" t="n">
        <v>0.6199159801841051</v>
      </c>
      <c r="D435" s="36" t="n">
        <v>0.6967249452745534</v>
      </c>
      <c r="E435" s="36" t="n">
        <v>0.8589662496934306</v>
      </c>
      <c r="F435" s="36" t="n">
        <v>0.1222895372028187</v>
      </c>
      <c r="G435" s="36" t="n">
        <v>0.9261821962748634</v>
      </c>
      <c r="H435" s="37">
        <f>SUM(B435:G435)</f>
        <v/>
      </c>
      <c r="I435" s="25">
        <f>B435/$H435</f>
        <v/>
      </c>
      <c r="J435" s="25">
        <f>C435/$H435</f>
        <v/>
      </c>
      <c r="K435" s="25">
        <f>D435/$H435</f>
        <v/>
      </c>
      <c r="L435" s="25">
        <f>E435/$H435</f>
        <v/>
      </c>
      <c r="M435" s="25">
        <f>F435/$H435</f>
        <v/>
      </c>
      <c r="N435" s="25">
        <f>G435/$H435</f>
        <v/>
      </c>
      <c r="O435" s="25">
        <f>SUM(MMULT(I435:N435,'07 Annualised Inputs'!$D$7:$D$12))</f>
        <v/>
      </c>
      <c r="P435" s="25">
        <f>SQRT(SUMPRODUCT(MMULT(I435:N435,'07 Annualised Inputs'!$B$17:$G$22),I435:N435))</f>
        <v/>
      </c>
      <c r="Q435" s="37">
        <f>(O435-'02 Config'!$B$10)/P435</f>
        <v/>
      </c>
    </row>
    <row r="436">
      <c r="A436" s="12" t="n">
        <v>431</v>
      </c>
      <c r="B436" s="36" t="n">
        <v>0.02601740355157001</v>
      </c>
      <c r="C436" s="36" t="n">
        <v>0.8361997509577753</v>
      </c>
      <c r="D436" s="36" t="n">
        <v>0.07674042655969726</v>
      </c>
      <c r="E436" s="36" t="n">
        <v>0.1946282116049223</v>
      </c>
      <c r="F436" s="36" t="n">
        <v>0.003894146381132613</v>
      </c>
      <c r="G436" s="36" t="n">
        <v>0.4452567055360407</v>
      </c>
      <c r="H436" s="37">
        <f>SUM(B436:G436)</f>
        <v/>
      </c>
      <c r="I436" s="25">
        <f>B436/$H436</f>
        <v/>
      </c>
      <c r="J436" s="25">
        <f>C436/$H436</f>
        <v/>
      </c>
      <c r="K436" s="25">
        <f>D436/$H436</f>
        <v/>
      </c>
      <c r="L436" s="25">
        <f>E436/$H436</f>
        <v/>
      </c>
      <c r="M436" s="25">
        <f>F436/$H436</f>
        <v/>
      </c>
      <c r="N436" s="25">
        <f>G436/$H436</f>
        <v/>
      </c>
      <c r="O436" s="25">
        <f>SUM(MMULT(I436:N436,'07 Annualised Inputs'!$D$7:$D$12))</f>
        <v/>
      </c>
      <c r="P436" s="25">
        <f>SQRT(SUMPRODUCT(MMULT(I436:N436,'07 Annualised Inputs'!$B$17:$G$22),I436:N436))</f>
        <v/>
      </c>
      <c r="Q436" s="37">
        <f>(O436-'02 Config'!$B$10)/P436</f>
        <v/>
      </c>
    </row>
    <row r="437">
      <c r="A437" s="12" t="n">
        <v>432</v>
      </c>
      <c r="B437" s="36" t="n">
        <v>0.3343592267173923</v>
      </c>
      <c r="C437" s="36" t="n">
        <v>0.1659929114870273</v>
      </c>
      <c r="D437" s="36" t="n">
        <v>0.4510901608039063</v>
      </c>
      <c r="E437" s="36" t="n">
        <v>0.4023708831721838</v>
      </c>
      <c r="F437" s="36" t="n">
        <v>0.7676610326987415</v>
      </c>
      <c r="G437" s="36" t="n">
        <v>0.8931303060700324</v>
      </c>
      <c r="H437" s="37">
        <f>SUM(B437:G437)</f>
        <v/>
      </c>
      <c r="I437" s="25">
        <f>B437/$H437</f>
        <v/>
      </c>
      <c r="J437" s="25">
        <f>C437/$H437</f>
        <v/>
      </c>
      <c r="K437" s="25">
        <f>D437/$H437</f>
        <v/>
      </c>
      <c r="L437" s="25">
        <f>E437/$H437</f>
        <v/>
      </c>
      <c r="M437" s="25">
        <f>F437/$H437</f>
        <v/>
      </c>
      <c r="N437" s="25">
        <f>G437/$H437</f>
        <v/>
      </c>
      <c r="O437" s="25">
        <f>SUM(MMULT(I437:N437,'07 Annualised Inputs'!$D$7:$D$12))</f>
        <v/>
      </c>
      <c r="P437" s="25">
        <f>SQRT(SUMPRODUCT(MMULT(I437:N437,'07 Annualised Inputs'!$B$17:$G$22),I437:N437))</f>
        <v/>
      </c>
      <c r="Q437" s="37">
        <f>(O437-'02 Config'!$B$10)/P437</f>
        <v/>
      </c>
    </row>
    <row r="438">
      <c r="A438" s="12" t="n">
        <v>433</v>
      </c>
      <c r="B438" s="36" t="n">
        <v>0.6525672517670819</v>
      </c>
      <c r="C438" s="36" t="n">
        <v>0.1244103887265239</v>
      </c>
      <c r="D438" s="36" t="n">
        <v>0.2953907947098506</v>
      </c>
      <c r="E438" s="36" t="n">
        <v>0.9133182968322798</v>
      </c>
      <c r="F438" s="36" t="n">
        <v>0.08873449300788916</v>
      </c>
      <c r="G438" s="36" t="n">
        <v>0.4068558393908265</v>
      </c>
      <c r="H438" s="37">
        <f>SUM(B438:G438)</f>
        <v/>
      </c>
      <c r="I438" s="25">
        <f>B438/$H438</f>
        <v/>
      </c>
      <c r="J438" s="25">
        <f>C438/$H438</f>
        <v/>
      </c>
      <c r="K438" s="25">
        <f>D438/$H438</f>
        <v/>
      </c>
      <c r="L438" s="25">
        <f>E438/$H438</f>
        <v/>
      </c>
      <c r="M438" s="25">
        <f>F438/$H438</f>
        <v/>
      </c>
      <c r="N438" s="25">
        <f>G438/$H438</f>
        <v/>
      </c>
      <c r="O438" s="25">
        <f>SUM(MMULT(I438:N438,'07 Annualised Inputs'!$D$7:$D$12))</f>
        <v/>
      </c>
      <c r="P438" s="25">
        <f>SQRT(SUMPRODUCT(MMULT(I438:N438,'07 Annualised Inputs'!$B$17:$G$22),I438:N438))</f>
        <v/>
      </c>
      <c r="Q438" s="37">
        <f>(O438-'02 Config'!$B$10)/P438</f>
        <v/>
      </c>
    </row>
    <row r="439">
      <c r="A439" s="12" t="n">
        <v>434</v>
      </c>
      <c r="B439" s="36" t="n">
        <v>0.9425046192334813</v>
      </c>
      <c r="C439" s="36" t="n">
        <v>0.9506648414694857</v>
      </c>
      <c r="D439" s="36" t="n">
        <v>0.4112031770488924</v>
      </c>
      <c r="E439" s="36" t="n">
        <v>0.6673968880987974</v>
      </c>
      <c r="F439" s="36" t="n">
        <v>0.456745598353999</v>
      </c>
      <c r="G439" s="36" t="n">
        <v>0.7534605394363417</v>
      </c>
      <c r="H439" s="37">
        <f>SUM(B439:G439)</f>
        <v/>
      </c>
      <c r="I439" s="25">
        <f>B439/$H439</f>
        <v/>
      </c>
      <c r="J439" s="25">
        <f>C439/$H439</f>
        <v/>
      </c>
      <c r="K439" s="25">
        <f>D439/$H439</f>
        <v/>
      </c>
      <c r="L439" s="25">
        <f>E439/$H439</f>
        <v/>
      </c>
      <c r="M439" s="25">
        <f>F439/$H439</f>
        <v/>
      </c>
      <c r="N439" s="25">
        <f>G439/$H439</f>
        <v/>
      </c>
      <c r="O439" s="25">
        <f>SUM(MMULT(I439:N439,'07 Annualised Inputs'!$D$7:$D$12))</f>
        <v/>
      </c>
      <c r="P439" s="25">
        <f>SQRT(SUMPRODUCT(MMULT(I439:N439,'07 Annualised Inputs'!$B$17:$G$22),I439:N439))</f>
        <v/>
      </c>
      <c r="Q439" s="37">
        <f>(O439-'02 Config'!$B$10)/P439</f>
        <v/>
      </c>
    </row>
    <row r="440">
      <c r="A440" s="12" t="n">
        <v>435</v>
      </c>
      <c r="B440" s="36" t="n">
        <v>0.03158133069299851</v>
      </c>
      <c r="C440" s="36" t="n">
        <v>0.1441571489213584</v>
      </c>
      <c r="D440" s="36" t="n">
        <v>0.6141988035435992</v>
      </c>
      <c r="E440" s="36" t="n">
        <v>0.2325522624430636</v>
      </c>
      <c r="F440" s="36" t="n">
        <v>0.6660522992691486</v>
      </c>
      <c r="G440" s="36" t="n">
        <v>0.3512229274612984</v>
      </c>
      <c r="H440" s="37">
        <f>SUM(B440:G440)</f>
        <v/>
      </c>
      <c r="I440" s="25">
        <f>B440/$H440</f>
        <v/>
      </c>
      <c r="J440" s="25">
        <f>C440/$H440</f>
        <v/>
      </c>
      <c r="K440" s="25">
        <f>D440/$H440</f>
        <v/>
      </c>
      <c r="L440" s="25">
        <f>E440/$H440</f>
        <v/>
      </c>
      <c r="M440" s="25">
        <f>F440/$H440</f>
        <v/>
      </c>
      <c r="N440" s="25">
        <f>G440/$H440</f>
        <v/>
      </c>
      <c r="O440" s="25">
        <f>SUM(MMULT(I440:N440,'07 Annualised Inputs'!$D$7:$D$12))</f>
        <v/>
      </c>
      <c r="P440" s="25">
        <f>SQRT(SUMPRODUCT(MMULT(I440:N440,'07 Annualised Inputs'!$B$17:$G$22),I440:N440))</f>
        <v/>
      </c>
      <c r="Q440" s="37">
        <f>(O440-'02 Config'!$B$10)/P440</f>
        <v/>
      </c>
    </row>
    <row r="441">
      <c r="A441" s="12" t="n">
        <v>436</v>
      </c>
      <c r="B441" s="36" t="n">
        <v>0.8866455581278214</v>
      </c>
      <c r="C441" s="36" t="n">
        <v>0.8192593855599865</v>
      </c>
      <c r="D441" s="36" t="n">
        <v>0.4928378000687822</v>
      </c>
      <c r="E441" s="36" t="n">
        <v>0.7728950870948578</v>
      </c>
      <c r="F441" s="36" t="n">
        <v>0.2711378862350904</v>
      </c>
      <c r="G441" s="36" t="n">
        <v>0.4942597768118626</v>
      </c>
      <c r="H441" s="37">
        <f>SUM(B441:G441)</f>
        <v/>
      </c>
      <c r="I441" s="25">
        <f>B441/$H441</f>
        <v/>
      </c>
      <c r="J441" s="25">
        <f>C441/$H441</f>
        <v/>
      </c>
      <c r="K441" s="25">
        <f>D441/$H441</f>
        <v/>
      </c>
      <c r="L441" s="25">
        <f>E441/$H441</f>
        <v/>
      </c>
      <c r="M441" s="25">
        <f>F441/$H441</f>
        <v/>
      </c>
      <c r="N441" s="25">
        <f>G441/$H441</f>
        <v/>
      </c>
      <c r="O441" s="25">
        <f>SUM(MMULT(I441:N441,'07 Annualised Inputs'!$D$7:$D$12))</f>
        <v/>
      </c>
      <c r="P441" s="25">
        <f>SQRT(SUMPRODUCT(MMULT(I441:N441,'07 Annualised Inputs'!$B$17:$G$22),I441:N441))</f>
        <v/>
      </c>
      <c r="Q441" s="37">
        <f>(O441-'02 Config'!$B$10)/P441</f>
        <v/>
      </c>
    </row>
    <row r="442">
      <c r="A442" s="12" t="n">
        <v>437</v>
      </c>
      <c r="B442" s="36" t="n">
        <v>0.1974820518632782</v>
      </c>
      <c r="C442" s="36" t="n">
        <v>0.8608861685209939</v>
      </c>
      <c r="D442" s="36" t="n">
        <v>0.8230676165684149</v>
      </c>
      <c r="E442" s="36" t="n">
        <v>0.9021496684090012</v>
      </c>
      <c r="F442" s="36" t="n">
        <v>0.8774769812242594</v>
      </c>
      <c r="G442" s="36" t="n">
        <v>0.9595962620594948</v>
      </c>
      <c r="H442" s="37">
        <f>SUM(B442:G442)</f>
        <v/>
      </c>
      <c r="I442" s="25">
        <f>B442/$H442</f>
        <v/>
      </c>
      <c r="J442" s="25">
        <f>C442/$H442</f>
        <v/>
      </c>
      <c r="K442" s="25">
        <f>D442/$H442</f>
        <v/>
      </c>
      <c r="L442" s="25">
        <f>E442/$H442</f>
        <v/>
      </c>
      <c r="M442" s="25">
        <f>F442/$H442</f>
        <v/>
      </c>
      <c r="N442" s="25">
        <f>G442/$H442</f>
        <v/>
      </c>
      <c r="O442" s="25">
        <f>SUM(MMULT(I442:N442,'07 Annualised Inputs'!$D$7:$D$12))</f>
        <v/>
      </c>
      <c r="P442" s="25">
        <f>SQRT(SUMPRODUCT(MMULT(I442:N442,'07 Annualised Inputs'!$B$17:$G$22),I442:N442))</f>
        <v/>
      </c>
      <c r="Q442" s="37">
        <f>(O442-'02 Config'!$B$10)/P442</f>
        <v/>
      </c>
    </row>
    <row r="443">
      <c r="A443" s="12" t="n">
        <v>438</v>
      </c>
      <c r="B443" s="36" t="n">
        <v>0.228336231631926</v>
      </c>
      <c r="C443" s="36" t="n">
        <v>0.9318242907953155</v>
      </c>
      <c r="D443" s="36" t="n">
        <v>0.5712131913519977</v>
      </c>
      <c r="E443" s="36" t="n">
        <v>0.4224950839181522</v>
      </c>
      <c r="F443" s="36" t="n">
        <v>0.560373895967873</v>
      </c>
      <c r="G443" s="36" t="n">
        <v>0.3426023566502778</v>
      </c>
      <c r="H443" s="37">
        <f>SUM(B443:G443)</f>
        <v/>
      </c>
      <c r="I443" s="25">
        <f>B443/$H443</f>
        <v/>
      </c>
      <c r="J443" s="25">
        <f>C443/$H443</f>
        <v/>
      </c>
      <c r="K443" s="25">
        <f>D443/$H443</f>
        <v/>
      </c>
      <c r="L443" s="25">
        <f>E443/$H443</f>
        <v/>
      </c>
      <c r="M443" s="25">
        <f>F443/$H443</f>
        <v/>
      </c>
      <c r="N443" s="25">
        <f>G443/$H443</f>
        <v/>
      </c>
      <c r="O443" s="25">
        <f>SUM(MMULT(I443:N443,'07 Annualised Inputs'!$D$7:$D$12))</f>
        <v/>
      </c>
      <c r="P443" s="25">
        <f>SQRT(SUMPRODUCT(MMULT(I443:N443,'07 Annualised Inputs'!$B$17:$G$22),I443:N443))</f>
        <v/>
      </c>
      <c r="Q443" s="37">
        <f>(O443-'02 Config'!$B$10)/P443</f>
        <v/>
      </c>
    </row>
    <row r="444">
      <c r="A444" s="12" t="n">
        <v>439</v>
      </c>
      <c r="B444" s="36" t="n">
        <v>0.2885530069609521</v>
      </c>
      <c r="C444" s="36" t="n">
        <v>0.2413143379775288</v>
      </c>
      <c r="D444" s="36" t="n">
        <v>0.08242798945712682</v>
      </c>
      <c r="E444" s="36" t="n">
        <v>0.4965648971471874</v>
      </c>
      <c r="F444" s="36" t="n">
        <v>0.8877616757138874</v>
      </c>
      <c r="G444" s="36" t="n">
        <v>0.6301519692743847</v>
      </c>
      <c r="H444" s="37">
        <f>SUM(B444:G444)</f>
        <v/>
      </c>
      <c r="I444" s="25">
        <f>B444/$H444</f>
        <v/>
      </c>
      <c r="J444" s="25">
        <f>C444/$H444</f>
        <v/>
      </c>
      <c r="K444" s="25">
        <f>D444/$H444</f>
        <v/>
      </c>
      <c r="L444" s="25">
        <f>E444/$H444</f>
        <v/>
      </c>
      <c r="M444" s="25">
        <f>F444/$H444</f>
        <v/>
      </c>
      <c r="N444" s="25">
        <f>G444/$H444</f>
        <v/>
      </c>
      <c r="O444" s="25">
        <f>SUM(MMULT(I444:N444,'07 Annualised Inputs'!$D$7:$D$12))</f>
        <v/>
      </c>
      <c r="P444" s="25">
        <f>SQRT(SUMPRODUCT(MMULT(I444:N444,'07 Annualised Inputs'!$B$17:$G$22),I444:N444))</f>
        <v/>
      </c>
      <c r="Q444" s="37">
        <f>(O444-'02 Config'!$B$10)/P444</f>
        <v/>
      </c>
    </row>
    <row r="445">
      <c r="A445" s="12" t="n">
        <v>440</v>
      </c>
      <c r="B445" s="36" t="n">
        <v>0.5209756327557735</v>
      </c>
      <c r="C445" s="36" t="n">
        <v>0.4285929182509165</v>
      </c>
      <c r="D445" s="36" t="n">
        <v>0.464401626317192</v>
      </c>
      <c r="E445" s="36" t="n">
        <v>0.2092773475719509</v>
      </c>
      <c r="F445" s="36" t="n">
        <v>0.8229358771930972</v>
      </c>
      <c r="G445" s="36" t="n">
        <v>0.198382963281528</v>
      </c>
      <c r="H445" s="37">
        <f>SUM(B445:G445)</f>
        <v/>
      </c>
      <c r="I445" s="25">
        <f>B445/$H445</f>
        <v/>
      </c>
      <c r="J445" s="25">
        <f>C445/$H445</f>
        <v/>
      </c>
      <c r="K445" s="25">
        <f>D445/$H445</f>
        <v/>
      </c>
      <c r="L445" s="25">
        <f>E445/$H445</f>
        <v/>
      </c>
      <c r="M445" s="25">
        <f>F445/$H445</f>
        <v/>
      </c>
      <c r="N445" s="25">
        <f>G445/$H445</f>
        <v/>
      </c>
      <c r="O445" s="25">
        <f>SUM(MMULT(I445:N445,'07 Annualised Inputs'!$D$7:$D$12))</f>
        <v/>
      </c>
      <c r="P445" s="25">
        <f>SQRT(SUMPRODUCT(MMULT(I445:N445,'07 Annualised Inputs'!$B$17:$G$22),I445:N445))</f>
        <v/>
      </c>
      <c r="Q445" s="37">
        <f>(O445-'02 Config'!$B$10)/P445</f>
        <v/>
      </c>
    </row>
    <row r="446">
      <c r="A446" s="12" t="n">
        <v>441</v>
      </c>
      <c r="B446" s="36" t="n">
        <v>0.716622756727313</v>
      </c>
      <c r="C446" s="36" t="n">
        <v>0.7599850114961526</v>
      </c>
      <c r="D446" s="36" t="n">
        <v>0.5748690420277343</v>
      </c>
      <c r="E446" s="36" t="n">
        <v>0.8629263749548285</v>
      </c>
      <c r="F446" s="36" t="n">
        <v>0.29105035245065</v>
      </c>
      <c r="G446" s="36" t="n">
        <v>0.8816172212428632</v>
      </c>
      <c r="H446" s="37">
        <f>SUM(B446:G446)</f>
        <v/>
      </c>
      <c r="I446" s="25">
        <f>B446/$H446</f>
        <v/>
      </c>
      <c r="J446" s="25">
        <f>C446/$H446</f>
        <v/>
      </c>
      <c r="K446" s="25">
        <f>D446/$H446</f>
        <v/>
      </c>
      <c r="L446" s="25">
        <f>E446/$H446</f>
        <v/>
      </c>
      <c r="M446" s="25">
        <f>F446/$H446</f>
        <v/>
      </c>
      <c r="N446" s="25">
        <f>G446/$H446</f>
        <v/>
      </c>
      <c r="O446" s="25">
        <f>SUM(MMULT(I446:N446,'07 Annualised Inputs'!$D$7:$D$12))</f>
        <v/>
      </c>
      <c r="P446" s="25">
        <f>SQRT(SUMPRODUCT(MMULT(I446:N446,'07 Annualised Inputs'!$B$17:$G$22),I446:N446))</f>
        <v/>
      </c>
      <c r="Q446" s="37">
        <f>(O446-'02 Config'!$B$10)/P446</f>
        <v/>
      </c>
    </row>
    <row r="447">
      <c r="A447" s="12" t="n">
        <v>442</v>
      </c>
      <c r="B447" s="36" t="n">
        <v>0.7294104595993042</v>
      </c>
      <c r="C447" s="36" t="n">
        <v>0.7987498277617607</v>
      </c>
      <c r="D447" s="36" t="n">
        <v>0.6645797095273142</v>
      </c>
      <c r="E447" s="36" t="n">
        <v>0.8463430169899694</v>
      </c>
      <c r="F447" s="36" t="n">
        <v>0.9930988627176359</v>
      </c>
      <c r="G447" s="36" t="n">
        <v>0.4201628545246386</v>
      </c>
      <c r="H447" s="37">
        <f>SUM(B447:G447)</f>
        <v/>
      </c>
      <c r="I447" s="25">
        <f>B447/$H447</f>
        <v/>
      </c>
      <c r="J447" s="25">
        <f>C447/$H447</f>
        <v/>
      </c>
      <c r="K447" s="25">
        <f>D447/$H447</f>
        <v/>
      </c>
      <c r="L447" s="25">
        <f>E447/$H447</f>
        <v/>
      </c>
      <c r="M447" s="25">
        <f>F447/$H447</f>
        <v/>
      </c>
      <c r="N447" s="25">
        <f>G447/$H447</f>
        <v/>
      </c>
      <c r="O447" s="25">
        <f>SUM(MMULT(I447:N447,'07 Annualised Inputs'!$D$7:$D$12))</f>
        <v/>
      </c>
      <c r="P447" s="25">
        <f>SQRT(SUMPRODUCT(MMULT(I447:N447,'07 Annualised Inputs'!$B$17:$G$22),I447:N447))</f>
        <v/>
      </c>
      <c r="Q447" s="37">
        <f>(O447-'02 Config'!$B$10)/P447</f>
        <v/>
      </c>
    </row>
    <row r="448">
      <c r="A448" s="12" t="n">
        <v>443</v>
      </c>
      <c r="B448" s="36" t="n">
        <v>0.8139156837095703</v>
      </c>
      <c r="C448" s="36" t="n">
        <v>0.7445797595180336</v>
      </c>
      <c r="D448" s="36" t="n">
        <v>0.452870165712018</v>
      </c>
      <c r="E448" s="36" t="n">
        <v>0.926948999732512</v>
      </c>
      <c r="F448" s="36" t="n">
        <v>0.3944259295725947</v>
      </c>
      <c r="G448" s="36" t="n">
        <v>0.5654659162762375</v>
      </c>
      <c r="H448" s="37">
        <f>SUM(B448:G448)</f>
        <v/>
      </c>
      <c r="I448" s="25">
        <f>B448/$H448</f>
        <v/>
      </c>
      <c r="J448" s="25">
        <f>C448/$H448</f>
        <v/>
      </c>
      <c r="K448" s="25">
        <f>D448/$H448</f>
        <v/>
      </c>
      <c r="L448" s="25">
        <f>E448/$H448</f>
        <v/>
      </c>
      <c r="M448" s="25">
        <f>F448/$H448</f>
        <v/>
      </c>
      <c r="N448" s="25">
        <f>G448/$H448</f>
        <v/>
      </c>
      <c r="O448" s="25">
        <f>SUM(MMULT(I448:N448,'07 Annualised Inputs'!$D$7:$D$12))</f>
        <v/>
      </c>
      <c r="P448" s="25">
        <f>SQRT(SUMPRODUCT(MMULT(I448:N448,'07 Annualised Inputs'!$B$17:$G$22),I448:N448))</f>
        <v/>
      </c>
      <c r="Q448" s="37">
        <f>(O448-'02 Config'!$B$10)/P448</f>
        <v/>
      </c>
    </row>
    <row r="449">
      <c r="A449" s="12" t="n">
        <v>444</v>
      </c>
      <c r="B449" s="36" t="n">
        <v>0.1059423569909616</v>
      </c>
      <c r="C449" s="36" t="n">
        <v>0.2257751940662662</v>
      </c>
      <c r="D449" s="36" t="n">
        <v>0.8406961705337607</v>
      </c>
      <c r="E449" s="36" t="n">
        <v>0.3965527228288473</v>
      </c>
      <c r="F449" s="36" t="n">
        <v>0.3940840894152582</v>
      </c>
      <c r="G449" s="36" t="n">
        <v>0.2459810181906202</v>
      </c>
      <c r="H449" s="37">
        <f>SUM(B449:G449)</f>
        <v/>
      </c>
      <c r="I449" s="25">
        <f>B449/$H449</f>
        <v/>
      </c>
      <c r="J449" s="25">
        <f>C449/$H449</f>
        <v/>
      </c>
      <c r="K449" s="25">
        <f>D449/$H449</f>
        <v/>
      </c>
      <c r="L449" s="25">
        <f>E449/$H449</f>
        <v/>
      </c>
      <c r="M449" s="25">
        <f>F449/$H449</f>
        <v/>
      </c>
      <c r="N449" s="25">
        <f>G449/$H449</f>
        <v/>
      </c>
      <c r="O449" s="25">
        <f>SUM(MMULT(I449:N449,'07 Annualised Inputs'!$D$7:$D$12))</f>
        <v/>
      </c>
      <c r="P449" s="25">
        <f>SQRT(SUMPRODUCT(MMULT(I449:N449,'07 Annualised Inputs'!$B$17:$G$22),I449:N449))</f>
        <v/>
      </c>
      <c r="Q449" s="37">
        <f>(O449-'02 Config'!$B$10)/P449</f>
        <v/>
      </c>
    </row>
    <row r="450">
      <c r="A450" s="12" t="n">
        <v>445</v>
      </c>
      <c r="B450" s="36" t="n">
        <v>0.4916103342974544</v>
      </c>
      <c r="C450" s="36" t="n">
        <v>0.8058169613506224</v>
      </c>
      <c r="D450" s="36" t="n">
        <v>0.8951641177737396</v>
      </c>
      <c r="E450" s="36" t="n">
        <v>0.07011443204418388</v>
      </c>
      <c r="F450" s="36" t="n">
        <v>0.5748207312401155</v>
      </c>
      <c r="G450" s="36" t="n">
        <v>0.4672733678923345</v>
      </c>
      <c r="H450" s="37">
        <f>SUM(B450:G450)</f>
        <v/>
      </c>
      <c r="I450" s="25">
        <f>B450/$H450</f>
        <v/>
      </c>
      <c r="J450" s="25">
        <f>C450/$H450</f>
        <v/>
      </c>
      <c r="K450" s="25">
        <f>D450/$H450</f>
        <v/>
      </c>
      <c r="L450" s="25">
        <f>E450/$H450</f>
        <v/>
      </c>
      <c r="M450" s="25">
        <f>F450/$H450</f>
        <v/>
      </c>
      <c r="N450" s="25">
        <f>G450/$H450</f>
        <v/>
      </c>
      <c r="O450" s="25">
        <f>SUM(MMULT(I450:N450,'07 Annualised Inputs'!$D$7:$D$12))</f>
        <v/>
      </c>
      <c r="P450" s="25">
        <f>SQRT(SUMPRODUCT(MMULT(I450:N450,'07 Annualised Inputs'!$B$17:$G$22),I450:N450))</f>
        <v/>
      </c>
      <c r="Q450" s="37">
        <f>(O450-'02 Config'!$B$10)/P450</f>
        <v/>
      </c>
    </row>
    <row r="451">
      <c r="A451" s="12" t="n">
        <v>446</v>
      </c>
      <c r="B451" s="36" t="n">
        <v>0.6142818504715784</v>
      </c>
      <c r="C451" s="36" t="n">
        <v>0.4472756869082691</v>
      </c>
      <c r="D451" s="36" t="n">
        <v>0.3986448208534151</v>
      </c>
      <c r="E451" s="36" t="n">
        <v>0.4718807124294894</v>
      </c>
      <c r="F451" s="36" t="n">
        <v>0.5819991287564141</v>
      </c>
      <c r="G451" s="36" t="n">
        <v>0.5009832110317768</v>
      </c>
      <c r="H451" s="37">
        <f>SUM(B451:G451)</f>
        <v/>
      </c>
      <c r="I451" s="25">
        <f>B451/$H451</f>
        <v/>
      </c>
      <c r="J451" s="25">
        <f>C451/$H451</f>
        <v/>
      </c>
      <c r="K451" s="25">
        <f>D451/$H451</f>
        <v/>
      </c>
      <c r="L451" s="25">
        <f>E451/$H451</f>
        <v/>
      </c>
      <c r="M451" s="25">
        <f>F451/$H451</f>
        <v/>
      </c>
      <c r="N451" s="25">
        <f>G451/$H451</f>
        <v/>
      </c>
      <c r="O451" s="25">
        <f>SUM(MMULT(I451:N451,'07 Annualised Inputs'!$D$7:$D$12))</f>
        <v/>
      </c>
      <c r="P451" s="25">
        <f>SQRT(SUMPRODUCT(MMULT(I451:N451,'07 Annualised Inputs'!$B$17:$G$22),I451:N451))</f>
        <v/>
      </c>
      <c r="Q451" s="37">
        <f>(O451-'02 Config'!$B$10)/P451</f>
        <v/>
      </c>
    </row>
    <row r="452">
      <c r="A452" s="12" t="n">
        <v>447</v>
      </c>
      <c r="B452" s="36" t="n">
        <v>0.4721444510206462</v>
      </c>
      <c r="C452" s="36" t="n">
        <v>0.8178353099580807</v>
      </c>
      <c r="D452" s="36" t="n">
        <v>0.7456479912378577</v>
      </c>
      <c r="E452" s="36" t="n">
        <v>0.3413784941811928</v>
      </c>
      <c r="F452" s="36" t="n">
        <v>0.8005771175153205</v>
      </c>
      <c r="G452" s="36" t="n">
        <v>0.8536506690045002</v>
      </c>
      <c r="H452" s="37">
        <f>SUM(B452:G452)</f>
        <v/>
      </c>
      <c r="I452" s="25">
        <f>B452/$H452</f>
        <v/>
      </c>
      <c r="J452" s="25">
        <f>C452/$H452</f>
        <v/>
      </c>
      <c r="K452" s="25">
        <f>D452/$H452</f>
        <v/>
      </c>
      <c r="L452" s="25">
        <f>E452/$H452</f>
        <v/>
      </c>
      <c r="M452" s="25">
        <f>F452/$H452</f>
        <v/>
      </c>
      <c r="N452" s="25">
        <f>G452/$H452</f>
        <v/>
      </c>
      <c r="O452" s="25">
        <f>SUM(MMULT(I452:N452,'07 Annualised Inputs'!$D$7:$D$12))</f>
        <v/>
      </c>
      <c r="P452" s="25">
        <f>SQRT(SUMPRODUCT(MMULT(I452:N452,'07 Annualised Inputs'!$B$17:$G$22),I452:N452))</f>
        <v/>
      </c>
      <c r="Q452" s="37">
        <f>(O452-'02 Config'!$B$10)/P452</f>
        <v/>
      </c>
    </row>
    <row r="453">
      <c r="A453" s="12" t="n">
        <v>448</v>
      </c>
      <c r="B453" s="36" t="n">
        <v>0.1534922053741905</v>
      </c>
      <c r="C453" s="36" t="n">
        <v>0.5826824617307588</v>
      </c>
      <c r="D453" s="36" t="n">
        <v>0.2853119935992138</v>
      </c>
      <c r="E453" s="36" t="n">
        <v>0.7391723219267226</v>
      </c>
      <c r="F453" s="36" t="n">
        <v>0.2387853293586832</v>
      </c>
      <c r="G453" s="36" t="n">
        <v>0.6714035241730318</v>
      </c>
      <c r="H453" s="37">
        <f>SUM(B453:G453)</f>
        <v/>
      </c>
      <c r="I453" s="25">
        <f>B453/$H453</f>
        <v/>
      </c>
      <c r="J453" s="25">
        <f>C453/$H453</f>
        <v/>
      </c>
      <c r="K453" s="25">
        <f>D453/$H453</f>
        <v/>
      </c>
      <c r="L453" s="25">
        <f>E453/$H453</f>
        <v/>
      </c>
      <c r="M453" s="25">
        <f>F453/$H453</f>
        <v/>
      </c>
      <c r="N453" s="25">
        <f>G453/$H453</f>
        <v/>
      </c>
      <c r="O453" s="25">
        <f>SUM(MMULT(I453:N453,'07 Annualised Inputs'!$D$7:$D$12))</f>
        <v/>
      </c>
      <c r="P453" s="25">
        <f>SQRT(SUMPRODUCT(MMULT(I453:N453,'07 Annualised Inputs'!$B$17:$G$22),I453:N453))</f>
        <v/>
      </c>
      <c r="Q453" s="37">
        <f>(O453-'02 Config'!$B$10)/P453</f>
        <v/>
      </c>
    </row>
    <row r="454">
      <c r="A454" s="12" t="n">
        <v>449</v>
      </c>
      <c r="B454" s="36" t="n">
        <v>0.2551246560576339</v>
      </c>
      <c r="C454" s="36" t="n">
        <v>0.5111437634299432</v>
      </c>
      <c r="D454" s="36" t="n">
        <v>0.9486464679161921</v>
      </c>
      <c r="E454" s="36" t="n">
        <v>0.3813075384564345</v>
      </c>
      <c r="F454" s="36" t="n">
        <v>0.8757384859632077</v>
      </c>
      <c r="G454" s="36" t="n">
        <v>0.9869445812038946</v>
      </c>
      <c r="H454" s="37">
        <f>SUM(B454:G454)</f>
        <v/>
      </c>
      <c r="I454" s="25">
        <f>B454/$H454</f>
        <v/>
      </c>
      <c r="J454" s="25">
        <f>C454/$H454</f>
        <v/>
      </c>
      <c r="K454" s="25">
        <f>D454/$H454</f>
        <v/>
      </c>
      <c r="L454" s="25">
        <f>E454/$H454</f>
        <v/>
      </c>
      <c r="M454" s="25">
        <f>F454/$H454</f>
        <v/>
      </c>
      <c r="N454" s="25">
        <f>G454/$H454</f>
        <v/>
      </c>
      <c r="O454" s="25">
        <f>SUM(MMULT(I454:N454,'07 Annualised Inputs'!$D$7:$D$12))</f>
        <v/>
      </c>
      <c r="P454" s="25">
        <f>SQRT(SUMPRODUCT(MMULT(I454:N454,'07 Annualised Inputs'!$B$17:$G$22),I454:N454))</f>
        <v/>
      </c>
      <c r="Q454" s="37">
        <f>(O454-'02 Config'!$B$10)/P454</f>
        <v/>
      </c>
    </row>
    <row r="455">
      <c r="A455" s="12" t="n">
        <v>450</v>
      </c>
      <c r="B455" s="36" t="n">
        <v>0.8748508488051633</v>
      </c>
      <c r="C455" s="36" t="n">
        <v>0.1658660297233429</v>
      </c>
      <c r="D455" s="36" t="n">
        <v>0.819658219535163</v>
      </c>
      <c r="E455" s="36" t="n">
        <v>0.03214939510056125</v>
      </c>
      <c r="F455" s="36" t="n">
        <v>0.3933018836993079</v>
      </c>
      <c r="G455" s="36" t="n">
        <v>0.8707333733178638</v>
      </c>
      <c r="H455" s="37">
        <f>SUM(B455:G455)</f>
        <v/>
      </c>
      <c r="I455" s="25">
        <f>B455/$H455</f>
        <v/>
      </c>
      <c r="J455" s="25">
        <f>C455/$H455</f>
        <v/>
      </c>
      <c r="K455" s="25">
        <f>D455/$H455</f>
        <v/>
      </c>
      <c r="L455" s="25">
        <f>E455/$H455</f>
        <v/>
      </c>
      <c r="M455" s="25">
        <f>F455/$H455</f>
        <v/>
      </c>
      <c r="N455" s="25">
        <f>G455/$H455</f>
        <v/>
      </c>
      <c r="O455" s="25">
        <f>SUM(MMULT(I455:N455,'07 Annualised Inputs'!$D$7:$D$12))</f>
        <v/>
      </c>
      <c r="P455" s="25">
        <f>SQRT(SUMPRODUCT(MMULT(I455:N455,'07 Annualised Inputs'!$B$17:$G$22),I455:N455))</f>
        <v/>
      </c>
      <c r="Q455" s="37">
        <f>(O455-'02 Config'!$B$10)/P455</f>
        <v/>
      </c>
    </row>
    <row r="456">
      <c r="A456" s="12" t="n">
        <v>451</v>
      </c>
      <c r="B456" s="36" t="n">
        <v>0.6887522127599198</v>
      </c>
      <c r="C456" s="36" t="n">
        <v>0.5327404273378781</v>
      </c>
      <c r="D456" s="36" t="n">
        <v>0.3878640250826205</v>
      </c>
      <c r="E456" s="36" t="n">
        <v>0.8122969464702861</v>
      </c>
      <c r="F456" s="36" t="n">
        <v>0.7095584039482209</v>
      </c>
      <c r="G456" s="36" t="n">
        <v>0.4684053196156733</v>
      </c>
      <c r="H456" s="37">
        <f>SUM(B456:G456)</f>
        <v/>
      </c>
      <c r="I456" s="25">
        <f>B456/$H456</f>
        <v/>
      </c>
      <c r="J456" s="25">
        <f>C456/$H456</f>
        <v/>
      </c>
      <c r="K456" s="25">
        <f>D456/$H456</f>
        <v/>
      </c>
      <c r="L456" s="25">
        <f>E456/$H456</f>
        <v/>
      </c>
      <c r="M456" s="25">
        <f>F456/$H456</f>
        <v/>
      </c>
      <c r="N456" s="25">
        <f>G456/$H456</f>
        <v/>
      </c>
      <c r="O456" s="25">
        <f>SUM(MMULT(I456:N456,'07 Annualised Inputs'!$D$7:$D$12))</f>
        <v/>
      </c>
      <c r="P456" s="25">
        <f>SQRT(SUMPRODUCT(MMULT(I456:N456,'07 Annualised Inputs'!$B$17:$G$22),I456:N456))</f>
        <v/>
      </c>
      <c r="Q456" s="37">
        <f>(O456-'02 Config'!$B$10)/P456</f>
        <v/>
      </c>
    </row>
    <row r="457">
      <c r="A457" s="12" t="n">
        <v>452</v>
      </c>
      <c r="B457" s="36" t="n">
        <v>0.8924843372096598</v>
      </c>
      <c r="C457" s="36" t="n">
        <v>0.2299480178186324</v>
      </c>
      <c r="D457" s="36" t="n">
        <v>0.1703915091586249</v>
      </c>
      <c r="E457" s="36" t="n">
        <v>0.6428037643335816</v>
      </c>
      <c r="F457" s="36" t="n">
        <v>0.9719943427017703</v>
      </c>
      <c r="G457" s="36" t="n">
        <v>0.2472565733067703</v>
      </c>
      <c r="H457" s="37">
        <f>SUM(B457:G457)</f>
        <v/>
      </c>
      <c r="I457" s="25">
        <f>B457/$H457</f>
        <v/>
      </c>
      <c r="J457" s="25">
        <f>C457/$H457</f>
        <v/>
      </c>
      <c r="K457" s="25">
        <f>D457/$H457</f>
        <v/>
      </c>
      <c r="L457" s="25">
        <f>E457/$H457</f>
        <v/>
      </c>
      <c r="M457" s="25">
        <f>F457/$H457</f>
        <v/>
      </c>
      <c r="N457" s="25">
        <f>G457/$H457</f>
        <v/>
      </c>
      <c r="O457" s="25">
        <f>SUM(MMULT(I457:N457,'07 Annualised Inputs'!$D$7:$D$12))</f>
        <v/>
      </c>
      <c r="P457" s="25">
        <f>SQRT(SUMPRODUCT(MMULT(I457:N457,'07 Annualised Inputs'!$B$17:$G$22),I457:N457))</f>
        <v/>
      </c>
      <c r="Q457" s="37">
        <f>(O457-'02 Config'!$B$10)/P457</f>
        <v/>
      </c>
    </row>
    <row r="458">
      <c r="A458" s="12" t="n">
        <v>453</v>
      </c>
      <c r="B458" s="36" t="n">
        <v>0.2496703789338265</v>
      </c>
      <c r="C458" s="36" t="n">
        <v>0.1394988479621899</v>
      </c>
      <c r="D458" s="36" t="n">
        <v>0.8605635552736322</v>
      </c>
      <c r="E458" s="36" t="n">
        <v>0.2263975404113341</v>
      </c>
      <c r="F458" s="36" t="n">
        <v>0.5031785267248878</v>
      </c>
      <c r="G458" s="36" t="n">
        <v>0.9908724780022046</v>
      </c>
      <c r="H458" s="37">
        <f>SUM(B458:G458)</f>
        <v/>
      </c>
      <c r="I458" s="25">
        <f>B458/$H458</f>
        <v/>
      </c>
      <c r="J458" s="25">
        <f>C458/$H458</f>
        <v/>
      </c>
      <c r="K458" s="25">
        <f>D458/$H458</f>
        <v/>
      </c>
      <c r="L458" s="25">
        <f>E458/$H458</f>
        <v/>
      </c>
      <c r="M458" s="25">
        <f>F458/$H458</f>
        <v/>
      </c>
      <c r="N458" s="25">
        <f>G458/$H458</f>
        <v/>
      </c>
      <c r="O458" s="25">
        <f>SUM(MMULT(I458:N458,'07 Annualised Inputs'!$D$7:$D$12))</f>
        <v/>
      </c>
      <c r="P458" s="25">
        <f>SQRT(SUMPRODUCT(MMULT(I458:N458,'07 Annualised Inputs'!$B$17:$G$22),I458:N458))</f>
        <v/>
      </c>
      <c r="Q458" s="37">
        <f>(O458-'02 Config'!$B$10)/P458</f>
        <v/>
      </c>
    </row>
    <row r="459">
      <c r="A459" s="12" t="n">
        <v>454</v>
      </c>
      <c r="B459" s="36" t="n">
        <v>0.01214090092204356</v>
      </c>
      <c r="C459" s="36" t="n">
        <v>0.5564860905107941</v>
      </c>
      <c r="D459" s="36" t="n">
        <v>0.5122890427049458</v>
      </c>
      <c r="E459" s="36" t="n">
        <v>0.8074473764101547</v>
      </c>
      <c r="F459" s="36" t="n">
        <v>0.355281539552777</v>
      </c>
      <c r="G459" s="36" t="n">
        <v>0.4103413588990416</v>
      </c>
      <c r="H459" s="37">
        <f>SUM(B459:G459)</f>
        <v/>
      </c>
      <c r="I459" s="25">
        <f>B459/$H459</f>
        <v/>
      </c>
      <c r="J459" s="25">
        <f>C459/$H459</f>
        <v/>
      </c>
      <c r="K459" s="25">
        <f>D459/$H459</f>
        <v/>
      </c>
      <c r="L459" s="25">
        <f>E459/$H459</f>
        <v/>
      </c>
      <c r="M459" s="25">
        <f>F459/$H459</f>
        <v/>
      </c>
      <c r="N459" s="25">
        <f>G459/$H459</f>
        <v/>
      </c>
      <c r="O459" s="25">
        <f>SUM(MMULT(I459:N459,'07 Annualised Inputs'!$D$7:$D$12))</f>
        <v/>
      </c>
      <c r="P459" s="25">
        <f>SQRT(SUMPRODUCT(MMULT(I459:N459,'07 Annualised Inputs'!$B$17:$G$22),I459:N459))</f>
        <v/>
      </c>
      <c r="Q459" s="37">
        <f>(O459-'02 Config'!$B$10)/P459</f>
        <v/>
      </c>
    </row>
    <row r="460">
      <c r="A460" s="12" t="n">
        <v>455</v>
      </c>
      <c r="B460" s="36" t="n">
        <v>0.1679379805988637</v>
      </c>
      <c r="C460" s="36" t="n">
        <v>0.7408152316357867</v>
      </c>
      <c r="D460" s="36" t="n">
        <v>0.7847089091881483</v>
      </c>
      <c r="E460" s="36" t="n">
        <v>0.1366633207788303</v>
      </c>
      <c r="F460" s="36" t="n">
        <v>0.3934570739883217</v>
      </c>
      <c r="G460" s="36" t="n">
        <v>0.892904995362683</v>
      </c>
      <c r="H460" s="37">
        <f>SUM(B460:G460)</f>
        <v/>
      </c>
      <c r="I460" s="25">
        <f>B460/$H460</f>
        <v/>
      </c>
      <c r="J460" s="25">
        <f>C460/$H460</f>
        <v/>
      </c>
      <c r="K460" s="25">
        <f>D460/$H460</f>
        <v/>
      </c>
      <c r="L460" s="25">
        <f>E460/$H460</f>
        <v/>
      </c>
      <c r="M460" s="25">
        <f>F460/$H460</f>
        <v/>
      </c>
      <c r="N460" s="25">
        <f>G460/$H460</f>
        <v/>
      </c>
      <c r="O460" s="25">
        <f>SUM(MMULT(I460:N460,'07 Annualised Inputs'!$D$7:$D$12))</f>
        <v/>
      </c>
      <c r="P460" s="25">
        <f>SQRT(SUMPRODUCT(MMULT(I460:N460,'07 Annualised Inputs'!$B$17:$G$22),I460:N460))</f>
        <v/>
      </c>
      <c r="Q460" s="37">
        <f>(O460-'02 Config'!$B$10)/P460</f>
        <v/>
      </c>
    </row>
    <row r="461">
      <c r="A461" s="12" t="n">
        <v>456</v>
      </c>
      <c r="B461" s="36" t="n">
        <v>0.002707273675787158</v>
      </c>
      <c r="C461" s="36" t="n">
        <v>0.2987590706226323</v>
      </c>
      <c r="D461" s="36" t="n">
        <v>0.5550422850525477</v>
      </c>
      <c r="E461" s="36" t="n">
        <v>0.3340938596599533</v>
      </c>
      <c r="F461" s="36" t="n">
        <v>0.2720451891776694</v>
      </c>
      <c r="G461" s="36" t="n">
        <v>0.4600374849032126</v>
      </c>
      <c r="H461" s="37">
        <f>SUM(B461:G461)</f>
        <v/>
      </c>
      <c r="I461" s="25">
        <f>B461/$H461</f>
        <v/>
      </c>
      <c r="J461" s="25">
        <f>C461/$H461</f>
        <v/>
      </c>
      <c r="K461" s="25">
        <f>D461/$H461</f>
        <v/>
      </c>
      <c r="L461" s="25">
        <f>E461/$H461</f>
        <v/>
      </c>
      <c r="M461" s="25">
        <f>F461/$H461</f>
        <v/>
      </c>
      <c r="N461" s="25">
        <f>G461/$H461</f>
        <v/>
      </c>
      <c r="O461" s="25">
        <f>SUM(MMULT(I461:N461,'07 Annualised Inputs'!$D$7:$D$12))</f>
        <v/>
      </c>
      <c r="P461" s="25">
        <f>SQRT(SUMPRODUCT(MMULT(I461:N461,'07 Annualised Inputs'!$B$17:$G$22),I461:N461))</f>
        <v/>
      </c>
      <c r="Q461" s="37">
        <f>(O461-'02 Config'!$B$10)/P461</f>
        <v/>
      </c>
    </row>
    <row r="462">
      <c r="A462" s="12" t="n">
        <v>457</v>
      </c>
      <c r="B462" s="36" t="n">
        <v>0.1815231081096937</v>
      </c>
      <c r="C462" s="36" t="n">
        <v>0.5296252409594838</v>
      </c>
      <c r="D462" s="36" t="n">
        <v>0.7066959213132259</v>
      </c>
      <c r="E462" s="36" t="n">
        <v>0.5752949526285022</v>
      </c>
      <c r="F462" s="36" t="n">
        <v>0.0931093308585309</v>
      </c>
      <c r="G462" s="36" t="n">
        <v>0.8444086141655732</v>
      </c>
      <c r="H462" s="37">
        <f>SUM(B462:G462)</f>
        <v/>
      </c>
      <c r="I462" s="25">
        <f>B462/$H462</f>
        <v/>
      </c>
      <c r="J462" s="25">
        <f>C462/$H462</f>
        <v/>
      </c>
      <c r="K462" s="25">
        <f>D462/$H462</f>
        <v/>
      </c>
      <c r="L462" s="25">
        <f>E462/$H462</f>
        <v/>
      </c>
      <c r="M462" s="25">
        <f>F462/$H462</f>
        <v/>
      </c>
      <c r="N462" s="25">
        <f>G462/$H462</f>
        <v/>
      </c>
      <c r="O462" s="25">
        <f>SUM(MMULT(I462:N462,'07 Annualised Inputs'!$D$7:$D$12))</f>
        <v/>
      </c>
      <c r="P462" s="25">
        <f>SQRT(SUMPRODUCT(MMULT(I462:N462,'07 Annualised Inputs'!$B$17:$G$22),I462:N462))</f>
        <v/>
      </c>
      <c r="Q462" s="37">
        <f>(O462-'02 Config'!$B$10)/P462</f>
        <v/>
      </c>
    </row>
    <row r="463">
      <c r="A463" s="12" t="n">
        <v>458</v>
      </c>
      <c r="B463" s="36" t="n">
        <v>0.1749778374874882</v>
      </c>
      <c r="C463" s="36" t="n">
        <v>0.7648120006111286</v>
      </c>
      <c r="D463" s="36" t="n">
        <v>0.3605651107758504</v>
      </c>
      <c r="E463" s="36" t="n">
        <v>0.7827613480561023</v>
      </c>
      <c r="F463" s="36" t="n">
        <v>0.2062729034053458</v>
      </c>
      <c r="G463" s="36" t="n">
        <v>0.1866621036954298</v>
      </c>
      <c r="H463" s="37">
        <f>SUM(B463:G463)</f>
        <v/>
      </c>
      <c r="I463" s="25">
        <f>B463/$H463</f>
        <v/>
      </c>
      <c r="J463" s="25">
        <f>C463/$H463</f>
        <v/>
      </c>
      <c r="K463" s="25">
        <f>D463/$H463</f>
        <v/>
      </c>
      <c r="L463" s="25">
        <f>E463/$H463</f>
        <v/>
      </c>
      <c r="M463" s="25">
        <f>F463/$H463</f>
        <v/>
      </c>
      <c r="N463" s="25">
        <f>G463/$H463</f>
        <v/>
      </c>
      <c r="O463" s="25">
        <f>SUM(MMULT(I463:N463,'07 Annualised Inputs'!$D$7:$D$12))</f>
        <v/>
      </c>
      <c r="P463" s="25">
        <f>SQRT(SUMPRODUCT(MMULT(I463:N463,'07 Annualised Inputs'!$B$17:$G$22),I463:N463))</f>
        <v/>
      </c>
      <c r="Q463" s="37">
        <f>(O463-'02 Config'!$B$10)/P463</f>
        <v/>
      </c>
    </row>
    <row r="464">
      <c r="A464" s="12" t="n">
        <v>459</v>
      </c>
      <c r="B464" s="36" t="n">
        <v>0.4970258462174822</v>
      </c>
      <c r="C464" s="36" t="n">
        <v>0.03293601469836049</v>
      </c>
      <c r="D464" s="36" t="n">
        <v>0.2252973387823334</v>
      </c>
      <c r="E464" s="36" t="n">
        <v>0.7240122521843483</v>
      </c>
      <c r="F464" s="36" t="n">
        <v>0.8373834783054255</v>
      </c>
      <c r="G464" s="36" t="n">
        <v>0.08078536393781044</v>
      </c>
      <c r="H464" s="37">
        <f>SUM(B464:G464)</f>
        <v/>
      </c>
      <c r="I464" s="25">
        <f>B464/$H464</f>
        <v/>
      </c>
      <c r="J464" s="25">
        <f>C464/$H464</f>
        <v/>
      </c>
      <c r="K464" s="25">
        <f>D464/$H464</f>
        <v/>
      </c>
      <c r="L464" s="25">
        <f>E464/$H464</f>
        <v/>
      </c>
      <c r="M464" s="25">
        <f>F464/$H464</f>
        <v/>
      </c>
      <c r="N464" s="25">
        <f>G464/$H464</f>
        <v/>
      </c>
      <c r="O464" s="25">
        <f>SUM(MMULT(I464:N464,'07 Annualised Inputs'!$D$7:$D$12))</f>
        <v/>
      </c>
      <c r="P464" s="25">
        <f>SQRT(SUMPRODUCT(MMULT(I464:N464,'07 Annualised Inputs'!$B$17:$G$22),I464:N464))</f>
        <v/>
      </c>
      <c r="Q464" s="37">
        <f>(O464-'02 Config'!$B$10)/P464</f>
        <v/>
      </c>
    </row>
    <row r="465">
      <c r="A465" s="12" t="n">
        <v>460</v>
      </c>
      <c r="B465" s="36" t="n">
        <v>0.8820777094381044</v>
      </c>
      <c r="C465" s="36" t="n">
        <v>0.7975172040531791</v>
      </c>
      <c r="D465" s="36" t="n">
        <v>0.8696842957069654</v>
      </c>
      <c r="E465" s="36" t="n">
        <v>0.6984285545788399</v>
      </c>
      <c r="F465" s="36" t="n">
        <v>0.6741530672939647</v>
      </c>
      <c r="G465" s="36" t="n">
        <v>0.5250932333448638</v>
      </c>
      <c r="H465" s="37">
        <f>SUM(B465:G465)</f>
        <v/>
      </c>
      <c r="I465" s="25">
        <f>B465/$H465</f>
        <v/>
      </c>
      <c r="J465" s="25">
        <f>C465/$H465</f>
        <v/>
      </c>
      <c r="K465" s="25">
        <f>D465/$H465</f>
        <v/>
      </c>
      <c r="L465" s="25">
        <f>E465/$H465</f>
        <v/>
      </c>
      <c r="M465" s="25">
        <f>F465/$H465</f>
        <v/>
      </c>
      <c r="N465" s="25">
        <f>G465/$H465</f>
        <v/>
      </c>
      <c r="O465" s="25">
        <f>SUM(MMULT(I465:N465,'07 Annualised Inputs'!$D$7:$D$12))</f>
        <v/>
      </c>
      <c r="P465" s="25">
        <f>SQRT(SUMPRODUCT(MMULT(I465:N465,'07 Annualised Inputs'!$B$17:$G$22),I465:N465))</f>
        <v/>
      </c>
      <c r="Q465" s="37">
        <f>(O465-'02 Config'!$B$10)/P465</f>
        <v/>
      </c>
    </row>
    <row r="466">
      <c r="A466" s="12" t="n">
        <v>461</v>
      </c>
      <c r="B466" s="36" t="n">
        <v>0.652787224491315</v>
      </c>
      <c r="C466" s="36" t="n">
        <v>0.9191096645666051</v>
      </c>
      <c r="D466" s="36" t="n">
        <v>0.1005220014167084</v>
      </c>
      <c r="E466" s="36" t="n">
        <v>0.3157644778460912</v>
      </c>
      <c r="F466" s="36" t="n">
        <v>0.07245497359587183</v>
      </c>
      <c r="G466" s="36" t="n">
        <v>0.9448051719440385</v>
      </c>
      <c r="H466" s="37">
        <f>SUM(B466:G466)</f>
        <v/>
      </c>
      <c r="I466" s="25">
        <f>B466/$H466</f>
        <v/>
      </c>
      <c r="J466" s="25">
        <f>C466/$H466</f>
        <v/>
      </c>
      <c r="K466" s="25">
        <f>D466/$H466</f>
        <v/>
      </c>
      <c r="L466" s="25">
        <f>E466/$H466</f>
        <v/>
      </c>
      <c r="M466" s="25">
        <f>F466/$H466</f>
        <v/>
      </c>
      <c r="N466" s="25">
        <f>G466/$H466</f>
        <v/>
      </c>
      <c r="O466" s="25">
        <f>SUM(MMULT(I466:N466,'07 Annualised Inputs'!$D$7:$D$12))</f>
        <v/>
      </c>
      <c r="P466" s="25">
        <f>SQRT(SUMPRODUCT(MMULT(I466:N466,'07 Annualised Inputs'!$B$17:$G$22),I466:N466))</f>
        <v/>
      </c>
      <c r="Q466" s="37">
        <f>(O466-'02 Config'!$B$10)/P466</f>
        <v/>
      </c>
    </row>
    <row r="467">
      <c r="A467" s="12" t="n">
        <v>462</v>
      </c>
      <c r="B467" s="36" t="n">
        <v>0.445265465999388</v>
      </c>
      <c r="C467" s="36" t="n">
        <v>0.6753444706761884</v>
      </c>
      <c r="D467" s="36" t="n">
        <v>0.8411200645043214</v>
      </c>
      <c r="E467" s="36" t="n">
        <v>0.9910002480764886</v>
      </c>
      <c r="F467" s="36" t="n">
        <v>0.1617824577922657</v>
      </c>
      <c r="G467" s="36" t="n">
        <v>0.7995126057182287</v>
      </c>
      <c r="H467" s="37">
        <f>SUM(B467:G467)</f>
        <v/>
      </c>
      <c r="I467" s="25">
        <f>B467/$H467</f>
        <v/>
      </c>
      <c r="J467" s="25">
        <f>C467/$H467</f>
        <v/>
      </c>
      <c r="K467" s="25">
        <f>D467/$H467</f>
        <v/>
      </c>
      <c r="L467" s="25">
        <f>E467/$H467</f>
        <v/>
      </c>
      <c r="M467" s="25">
        <f>F467/$H467</f>
        <v/>
      </c>
      <c r="N467" s="25">
        <f>G467/$H467</f>
        <v/>
      </c>
      <c r="O467" s="25">
        <f>SUM(MMULT(I467:N467,'07 Annualised Inputs'!$D$7:$D$12))</f>
        <v/>
      </c>
      <c r="P467" s="25">
        <f>SQRT(SUMPRODUCT(MMULT(I467:N467,'07 Annualised Inputs'!$B$17:$G$22),I467:N467))</f>
        <v/>
      </c>
      <c r="Q467" s="37">
        <f>(O467-'02 Config'!$B$10)/P467</f>
        <v/>
      </c>
    </row>
    <row r="468">
      <c r="A468" s="12" t="n">
        <v>463</v>
      </c>
      <c r="B468" s="36" t="n">
        <v>0.8874228981367364</v>
      </c>
      <c r="C468" s="36" t="n">
        <v>0.04887537685087562</v>
      </c>
      <c r="D468" s="36" t="n">
        <v>0.7540905601855734</v>
      </c>
      <c r="E468" s="36" t="n">
        <v>0.3547253211965503</v>
      </c>
      <c r="F468" s="36" t="n">
        <v>0.648596791470432</v>
      </c>
      <c r="G468" s="36" t="n">
        <v>0.5140481960388648</v>
      </c>
      <c r="H468" s="37">
        <f>SUM(B468:G468)</f>
        <v/>
      </c>
      <c r="I468" s="25">
        <f>B468/$H468</f>
        <v/>
      </c>
      <c r="J468" s="25">
        <f>C468/$H468</f>
        <v/>
      </c>
      <c r="K468" s="25">
        <f>D468/$H468</f>
        <v/>
      </c>
      <c r="L468" s="25">
        <f>E468/$H468</f>
        <v/>
      </c>
      <c r="M468" s="25">
        <f>F468/$H468</f>
        <v/>
      </c>
      <c r="N468" s="25">
        <f>G468/$H468</f>
        <v/>
      </c>
      <c r="O468" s="25">
        <f>SUM(MMULT(I468:N468,'07 Annualised Inputs'!$D$7:$D$12))</f>
        <v/>
      </c>
      <c r="P468" s="25">
        <f>SQRT(SUMPRODUCT(MMULT(I468:N468,'07 Annualised Inputs'!$B$17:$G$22),I468:N468))</f>
        <v/>
      </c>
      <c r="Q468" s="37">
        <f>(O468-'02 Config'!$B$10)/P468</f>
        <v/>
      </c>
    </row>
    <row r="469">
      <c r="A469" s="12" t="n">
        <v>464</v>
      </c>
      <c r="B469" s="36" t="n">
        <v>0.2597422520866369</v>
      </c>
      <c r="C469" s="36" t="n">
        <v>0.135221362003986</v>
      </c>
      <c r="D469" s="36" t="n">
        <v>0.1169472330892083</v>
      </c>
      <c r="E469" s="36" t="n">
        <v>0.1033228577084917</v>
      </c>
      <c r="F469" s="36" t="n">
        <v>0.6377900401345777</v>
      </c>
      <c r="G469" s="36" t="n">
        <v>0.3514108513995381</v>
      </c>
      <c r="H469" s="37">
        <f>SUM(B469:G469)</f>
        <v/>
      </c>
      <c r="I469" s="25">
        <f>B469/$H469</f>
        <v/>
      </c>
      <c r="J469" s="25">
        <f>C469/$H469</f>
        <v/>
      </c>
      <c r="K469" s="25">
        <f>D469/$H469</f>
        <v/>
      </c>
      <c r="L469" s="25">
        <f>E469/$H469</f>
        <v/>
      </c>
      <c r="M469" s="25">
        <f>F469/$H469</f>
        <v/>
      </c>
      <c r="N469" s="25">
        <f>G469/$H469</f>
        <v/>
      </c>
      <c r="O469" s="25">
        <f>SUM(MMULT(I469:N469,'07 Annualised Inputs'!$D$7:$D$12))</f>
        <v/>
      </c>
      <c r="P469" s="25">
        <f>SQRT(SUMPRODUCT(MMULT(I469:N469,'07 Annualised Inputs'!$B$17:$G$22),I469:N469))</f>
        <v/>
      </c>
      <c r="Q469" s="37">
        <f>(O469-'02 Config'!$B$10)/P469</f>
        <v/>
      </c>
    </row>
    <row r="470">
      <c r="A470" s="12" t="n">
        <v>465</v>
      </c>
      <c r="B470" s="36" t="n">
        <v>0.2166334382058724</v>
      </c>
      <c r="C470" s="36" t="n">
        <v>0.691885092705903</v>
      </c>
      <c r="D470" s="36" t="n">
        <v>0.6868495657664668</v>
      </c>
      <c r="E470" s="36" t="n">
        <v>0.5391682923569977</v>
      </c>
      <c r="F470" s="36" t="n">
        <v>0.9349578168658509</v>
      </c>
      <c r="G470" s="36" t="n">
        <v>0.3854142314414213</v>
      </c>
      <c r="H470" s="37">
        <f>SUM(B470:G470)</f>
        <v/>
      </c>
      <c r="I470" s="25">
        <f>B470/$H470</f>
        <v/>
      </c>
      <c r="J470" s="25">
        <f>C470/$H470</f>
        <v/>
      </c>
      <c r="K470" s="25">
        <f>D470/$H470</f>
        <v/>
      </c>
      <c r="L470" s="25">
        <f>E470/$H470</f>
        <v/>
      </c>
      <c r="M470" s="25">
        <f>F470/$H470</f>
        <v/>
      </c>
      <c r="N470" s="25">
        <f>G470/$H470</f>
        <v/>
      </c>
      <c r="O470" s="25">
        <f>SUM(MMULT(I470:N470,'07 Annualised Inputs'!$D$7:$D$12))</f>
        <v/>
      </c>
      <c r="P470" s="25">
        <f>SQRT(SUMPRODUCT(MMULT(I470:N470,'07 Annualised Inputs'!$B$17:$G$22),I470:N470))</f>
        <v/>
      </c>
      <c r="Q470" s="37">
        <f>(O470-'02 Config'!$B$10)/P470</f>
        <v/>
      </c>
    </row>
    <row r="471">
      <c r="A471" s="12" t="n">
        <v>466</v>
      </c>
      <c r="B471" s="36" t="n">
        <v>0.835862971269293</v>
      </c>
      <c r="C471" s="36" t="n">
        <v>0.07513940793219631</v>
      </c>
      <c r="D471" s="36" t="n">
        <v>0.7398310940385044</v>
      </c>
      <c r="E471" s="36" t="n">
        <v>0.98844741383193</v>
      </c>
      <c r="F471" s="36" t="n">
        <v>0.8465982162878168</v>
      </c>
      <c r="G471" s="36" t="n">
        <v>0.5796647193100594</v>
      </c>
      <c r="H471" s="37">
        <f>SUM(B471:G471)</f>
        <v/>
      </c>
      <c r="I471" s="25">
        <f>B471/$H471</f>
        <v/>
      </c>
      <c r="J471" s="25">
        <f>C471/$H471</f>
        <v/>
      </c>
      <c r="K471" s="25">
        <f>D471/$H471</f>
        <v/>
      </c>
      <c r="L471" s="25">
        <f>E471/$H471</f>
        <v/>
      </c>
      <c r="M471" s="25">
        <f>F471/$H471</f>
        <v/>
      </c>
      <c r="N471" s="25">
        <f>G471/$H471</f>
        <v/>
      </c>
      <c r="O471" s="25">
        <f>SUM(MMULT(I471:N471,'07 Annualised Inputs'!$D$7:$D$12))</f>
        <v/>
      </c>
      <c r="P471" s="25">
        <f>SQRT(SUMPRODUCT(MMULT(I471:N471,'07 Annualised Inputs'!$B$17:$G$22),I471:N471))</f>
        <v/>
      </c>
      <c r="Q471" s="37">
        <f>(O471-'02 Config'!$B$10)/P471</f>
        <v/>
      </c>
    </row>
    <row r="472">
      <c r="A472" s="12" t="n">
        <v>467</v>
      </c>
      <c r="B472" s="36" t="n">
        <v>0.6267660643271606</v>
      </c>
      <c r="C472" s="36" t="n">
        <v>0.3532895494369468</v>
      </c>
      <c r="D472" s="36" t="n">
        <v>0.6794852182581039</v>
      </c>
      <c r="E472" s="36" t="n">
        <v>0.7703953831813271</v>
      </c>
      <c r="F472" s="36" t="n">
        <v>0.9982284811178539</v>
      </c>
      <c r="G472" s="36" t="n">
        <v>0.492462917000433</v>
      </c>
      <c r="H472" s="37">
        <f>SUM(B472:G472)</f>
        <v/>
      </c>
      <c r="I472" s="25">
        <f>B472/$H472</f>
        <v/>
      </c>
      <c r="J472" s="25">
        <f>C472/$H472</f>
        <v/>
      </c>
      <c r="K472" s="25">
        <f>D472/$H472</f>
        <v/>
      </c>
      <c r="L472" s="25">
        <f>E472/$H472</f>
        <v/>
      </c>
      <c r="M472" s="25">
        <f>F472/$H472</f>
        <v/>
      </c>
      <c r="N472" s="25">
        <f>G472/$H472</f>
        <v/>
      </c>
      <c r="O472" s="25">
        <f>SUM(MMULT(I472:N472,'07 Annualised Inputs'!$D$7:$D$12))</f>
        <v/>
      </c>
      <c r="P472" s="25">
        <f>SQRT(SUMPRODUCT(MMULT(I472:N472,'07 Annualised Inputs'!$B$17:$G$22),I472:N472))</f>
        <v/>
      </c>
      <c r="Q472" s="37">
        <f>(O472-'02 Config'!$B$10)/P472</f>
        <v/>
      </c>
    </row>
    <row r="473">
      <c r="A473" s="12" t="n">
        <v>468</v>
      </c>
      <c r="B473" s="36" t="n">
        <v>0.06130406577344227</v>
      </c>
      <c r="C473" s="36" t="n">
        <v>0.5958579507309852</v>
      </c>
      <c r="D473" s="36" t="n">
        <v>0.1190241499821686</v>
      </c>
      <c r="E473" s="36" t="n">
        <v>0.2447650435561101</v>
      </c>
      <c r="F473" s="36" t="n">
        <v>0.3287799113057372</v>
      </c>
      <c r="G473" s="36" t="n">
        <v>0.7310298731484106</v>
      </c>
      <c r="H473" s="37">
        <f>SUM(B473:G473)</f>
        <v/>
      </c>
      <c r="I473" s="25">
        <f>B473/$H473</f>
        <v/>
      </c>
      <c r="J473" s="25">
        <f>C473/$H473</f>
        <v/>
      </c>
      <c r="K473" s="25">
        <f>D473/$H473</f>
        <v/>
      </c>
      <c r="L473" s="25">
        <f>E473/$H473</f>
        <v/>
      </c>
      <c r="M473" s="25">
        <f>F473/$H473</f>
        <v/>
      </c>
      <c r="N473" s="25">
        <f>G473/$H473</f>
        <v/>
      </c>
      <c r="O473" s="25">
        <f>SUM(MMULT(I473:N473,'07 Annualised Inputs'!$D$7:$D$12))</f>
        <v/>
      </c>
      <c r="P473" s="25">
        <f>SQRT(SUMPRODUCT(MMULT(I473:N473,'07 Annualised Inputs'!$B$17:$G$22),I473:N473))</f>
        <v/>
      </c>
      <c r="Q473" s="37">
        <f>(O473-'02 Config'!$B$10)/P473</f>
        <v/>
      </c>
    </row>
    <row r="474">
      <c r="A474" s="12" t="n">
        <v>469</v>
      </c>
      <c r="B474" s="36" t="n">
        <v>0.1838081238785005</v>
      </c>
      <c r="C474" s="36" t="n">
        <v>0.1657529468423525</v>
      </c>
      <c r="D474" s="36" t="n">
        <v>0.04496424249882747</v>
      </c>
      <c r="E474" s="36" t="n">
        <v>0.8732399363538809</v>
      </c>
      <c r="F474" s="36" t="n">
        <v>0.6935054243560607</v>
      </c>
      <c r="G474" s="36" t="n">
        <v>0.03994646561762649</v>
      </c>
      <c r="H474" s="37">
        <f>SUM(B474:G474)</f>
        <v/>
      </c>
      <c r="I474" s="25">
        <f>B474/$H474</f>
        <v/>
      </c>
      <c r="J474" s="25">
        <f>C474/$H474</f>
        <v/>
      </c>
      <c r="K474" s="25">
        <f>D474/$H474</f>
        <v/>
      </c>
      <c r="L474" s="25">
        <f>E474/$H474</f>
        <v/>
      </c>
      <c r="M474" s="25">
        <f>F474/$H474</f>
        <v/>
      </c>
      <c r="N474" s="25">
        <f>G474/$H474</f>
        <v/>
      </c>
      <c r="O474" s="25">
        <f>SUM(MMULT(I474:N474,'07 Annualised Inputs'!$D$7:$D$12))</f>
        <v/>
      </c>
      <c r="P474" s="25">
        <f>SQRT(SUMPRODUCT(MMULT(I474:N474,'07 Annualised Inputs'!$B$17:$G$22),I474:N474))</f>
        <v/>
      </c>
      <c r="Q474" s="37">
        <f>(O474-'02 Config'!$B$10)/P474</f>
        <v/>
      </c>
    </row>
    <row r="475">
      <c r="A475" s="12" t="n">
        <v>470</v>
      </c>
      <c r="B475" s="36" t="n">
        <v>0.02829230563811458</v>
      </c>
      <c r="C475" s="36" t="n">
        <v>0.5586742964750561</v>
      </c>
      <c r="D475" s="36" t="n">
        <v>0.282534401286711</v>
      </c>
      <c r="E475" s="36" t="n">
        <v>0.5967263504319288</v>
      </c>
      <c r="F475" s="36" t="n">
        <v>0.4346041756809653</v>
      </c>
      <c r="G475" s="36" t="n">
        <v>0.9233125623102546</v>
      </c>
      <c r="H475" s="37">
        <f>SUM(B475:G475)</f>
        <v/>
      </c>
      <c r="I475" s="25">
        <f>B475/$H475</f>
        <v/>
      </c>
      <c r="J475" s="25">
        <f>C475/$H475</f>
        <v/>
      </c>
      <c r="K475" s="25">
        <f>D475/$H475</f>
        <v/>
      </c>
      <c r="L475" s="25">
        <f>E475/$H475</f>
        <v/>
      </c>
      <c r="M475" s="25">
        <f>F475/$H475</f>
        <v/>
      </c>
      <c r="N475" s="25">
        <f>G475/$H475</f>
        <v/>
      </c>
      <c r="O475" s="25">
        <f>SUM(MMULT(I475:N475,'07 Annualised Inputs'!$D$7:$D$12))</f>
        <v/>
      </c>
      <c r="P475" s="25">
        <f>SQRT(SUMPRODUCT(MMULT(I475:N475,'07 Annualised Inputs'!$B$17:$G$22),I475:N475))</f>
        <v/>
      </c>
      <c r="Q475" s="37">
        <f>(O475-'02 Config'!$B$10)/P475</f>
        <v/>
      </c>
    </row>
    <row r="476">
      <c r="A476" s="12" t="n">
        <v>471</v>
      </c>
      <c r="B476" s="36" t="n">
        <v>0.2878090149613679</v>
      </c>
      <c r="C476" s="36" t="n">
        <v>0.6791453684388935</v>
      </c>
      <c r="D476" s="36" t="n">
        <v>0.05405431161859919</v>
      </c>
      <c r="E476" s="36" t="n">
        <v>0.9558605341889254</v>
      </c>
      <c r="F476" s="36" t="n">
        <v>0.9807574679083522</v>
      </c>
      <c r="G476" s="36" t="n">
        <v>0.7390746290164124</v>
      </c>
      <c r="H476" s="37">
        <f>SUM(B476:G476)</f>
        <v/>
      </c>
      <c r="I476" s="25">
        <f>B476/$H476</f>
        <v/>
      </c>
      <c r="J476" s="25">
        <f>C476/$H476</f>
        <v/>
      </c>
      <c r="K476" s="25">
        <f>D476/$H476</f>
        <v/>
      </c>
      <c r="L476" s="25">
        <f>E476/$H476</f>
        <v/>
      </c>
      <c r="M476" s="25">
        <f>F476/$H476</f>
        <v/>
      </c>
      <c r="N476" s="25">
        <f>G476/$H476</f>
        <v/>
      </c>
      <c r="O476" s="25">
        <f>SUM(MMULT(I476:N476,'07 Annualised Inputs'!$D$7:$D$12))</f>
        <v/>
      </c>
      <c r="P476" s="25">
        <f>SQRT(SUMPRODUCT(MMULT(I476:N476,'07 Annualised Inputs'!$B$17:$G$22),I476:N476))</f>
        <v/>
      </c>
      <c r="Q476" s="37">
        <f>(O476-'02 Config'!$B$10)/P476</f>
        <v/>
      </c>
    </row>
    <row r="477">
      <c r="A477" s="12" t="n">
        <v>472</v>
      </c>
      <c r="B477" s="36" t="n">
        <v>0.4652124715635731</v>
      </c>
      <c r="C477" s="36" t="n">
        <v>0.2199934393272613</v>
      </c>
      <c r="D477" s="36" t="n">
        <v>0.8125163402479647</v>
      </c>
      <c r="E477" s="36" t="n">
        <v>0.7363540971470223</v>
      </c>
      <c r="F477" s="36" t="n">
        <v>0.2219540395609491</v>
      </c>
      <c r="G477" s="36" t="n">
        <v>0.4512152941572657</v>
      </c>
      <c r="H477" s="37">
        <f>SUM(B477:G477)</f>
        <v/>
      </c>
      <c r="I477" s="25">
        <f>B477/$H477</f>
        <v/>
      </c>
      <c r="J477" s="25">
        <f>C477/$H477</f>
        <v/>
      </c>
      <c r="K477" s="25">
        <f>D477/$H477</f>
        <v/>
      </c>
      <c r="L477" s="25">
        <f>E477/$H477</f>
        <v/>
      </c>
      <c r="M477" s="25">
        <f>F477/$H477</f>
        <v/>
      </c>
      <c r="N477" s="25">
        <f>G477/$H477</f>
        <v/>
      </c>
      <c r="O477" s="25">
        <f>SUM(MMULT(I477:N477,'07 Annualised Inputs'!$D$7:$D$12))</f>
        <v/>
      </c>
      <c r="P477" s="25">
        <f>SQRT(SUMPRODUCT(MMULT(I477:N477,'07 Annualised Inputs'!$B$17:$G$22),I477:N477))</f>
        <v/>
      </c>
      <c r="Q477" s="37">
        <f>(O477-'02 Config'!$B$10)/P477</f>
        <v/>
      </c>
    </row>
    <row r="478">
      <c r="A478" s="12" t="n">
        <v>473</v>
      </c>
      <c r="B478" s="36" t="n">
        <v>0.462798937816785</v>
      </c>
      <c r="C478" s="36" t="n">
        <v>0.8264105499727091</v>
      </c>
      <c r="D478" s="36" t="n">
        <v>0.6838446843340765</v>
      </c>
      <c r="E478" s="36" t="n">
        <v>0.6431675435400551</v>
      </c>
      <c r="F478" s="36" t="n">
        <v>0.6498274225632784</v>
      </c>
      <c r="G478" s="36" t="n">
        <v>0.2704700793824789</v>
      </c>
      <c r="H478" s="37">
        <f>SUM(B478:G478)</f>
        <v/>
      </c>
      <c r="I478" s="25">
        <f>B478/$H478</f>
        <v/>
      </c>
      <c r="J478" s="25">
        <f>C478/$H478</f>
        <v/>
      </c>
      <c r="K478" s="25">
        <f>D478/$H478</f>
        <v/>
      </c>
      <c r="L478" s="25">
        <f>E478/$H478</f>
        <v/>
      </c>
      <c r="M478" s="25">
        <f>F478/$H478</f>
        <v/>
      </c>
      <c r="N478" s="25">
        <f>G478/$H478</f>
        <v/>
      </c>
      <c r="O478" s="25">
        <f>SUM(MMULT(I478:N478,'07 Annualised Inputs'!$D$7:$D$12))</f>
        <v/>
      </c>
      <c r="P478" s="25">
        <f>SQRT(SUMPRODUCT(MMULT(I478:N478,'07 Annualised Inputs'!$B$17:$G$22),I478:N478))</f>
        <v/>
      </c>
      <c r="Q478" s="37">
        <f>(O478-'02 Config'!$B$10)/P478</f>
        <v/>
      </c>
    </row>
    <row r="479">
      <c r="A479" s="12" t="n">
        <v>474</v>
      </c>
      <c r="B479" s="36" t="n">
        <v>0.371711259829534</v>
      </c>
      <c r="C479" s="36" t="n">
        <v>0.04566228543670614</v>
      </c>
      <c r="D479" s="36" t="n">
        <v>0.7869411358121238</v>
      </c>
      <c r="E479" s="36" t="n">
        <v>0.4329982151698138</v>
      </c>
      <c r="F479" s="36" t="n">
        <v>0.4382383570875735</v>
      </c>
      <c r="G479" s="36" t="n">
        <v>0.2453562649336267</v>
      </c>
      <c r="H479" s="37">
        <f>SUM(B479:G479)</f>
        <v/>
      </c>
      <c r="I479" s="25">
        <f>B479/$H479</f>
        <v/>
      </c>
      <c r="J479" s="25">
        <f>C479/$H479</f>
        <v/>
      </c>
      <c r="K479" s="25">
        <f>D479/$H479</f>
        <v/>
      </c>
      <c r="L479" s="25">
        <f>E479/$H479</f>
        <v/>
      </c>
      <c r="M479" s="25">
        <f>F479/$H479</f>
        <v/>
      </c>
      <c r="N479" s="25">
        <f>G479/$H479</f>
        <v/>
      </c>
      <c r="O479" s="25">
        <f>SUM(MMULT(I479:N479,'07 Annualised Inputs'!$D$7:$D$12))</f>
        <v/>
      </c>
      <c r="P479" s="25">
        <f>SQRT(SUMPRODUCT(MMULT(I479:N479,'07 Annualised Inputs'!$B$17:$G$22),I479:N479))</f>
        <v/>
      </c>
      <c r="Q479" s="37">
        <f>(O479-'02 Config'!$B$10)/P479</f>
        <v/>
      </c>
    </row>
    <row r="480">
      <c r="A480" s="12" t="n">
        <v>475</v>
      </c>
      <c r="B480" s="36" t="n">
        <v>0.2094272814594289</v>
      </c>
      <c r="C480" s="36" t="n">
        <v>0.5878219295690292</v>
      </c>
      <c r="D480" s="36" t="n">
        <v>0.2325530152036758</v>
      </c>
      <c r="E480" s="36" t="n">
        <v>0.06420885156546441</v>
      </c>
      <c r="F480" s="36" t="n">
        <v>0.7675074159808983</v>
      </c>
      <c r="G480" s="36" t="n">
        <v>0.3764694344063659</v>
      </c>
      <c r="H480" s="37">
        <f>SUM(B480:G480)</f>
        <v/>
      </c>
      <c r="I480" s="25">
        <f>B480/$H480</f>
        <v/>
      </c>
      <c r="J480" s="25">
        <f>C480/$H480</f>
        <v/>
      </c>
      <c r="K480" s="25">
        <f>D480/$H480</f>
        <v/>
      </c>
      <c r="L480" s="25">
        <f>E480/$H480</f>
        <v/>
      </c>
      <c r="M480" s="25">
        <f>F480/$H480</f>
        <v/>
      </c>
      <c r="N480" s="25">
        <f>G480/$H480</f>
        <v/>
      </c>
      <c r="O480" s="25">
        <f>SUM(MMULT(I480:N480,'07 Annualised Inputs'!$D$7:$D$12))</f>
        <v/>
      </c>
      <c r="P480" s="25">
        <f>SQRT(SUMPRODUCT(MMULT(I480:N480,'07 Annualised Inputs'!$B$17:$G$22),I480:N480))</f>
        <v/>
      </c>
      <c r="Q480" s="37">
        <f>(O480-'02 Config'!$B$10)/P480</f>
        <v/>
      </c>
    </row>
    <row r="481">
      <c r="A481" s="12" t="n">
        <v>476</v>
      </c>
      <c r="B481" s="36" t="n">
        <v>0.3802355838993045</v>
      </c>
      <c r="C481" s="36" t="n">
        <v>0.4313182815157913</v>
      </c>
      <c r="D481" s="36" t="n">
        <v>0.8150448234080938</v>
      </c>
      <c r="E481" s="36" t="n">
        <v>0.3208368959398171</v>
      </c>
      <c r="F481" s="36" t="n">
        <v>0.758036211257836</v>
      </c>
      <c r="G481" s="36" t="n">
        <v>0.9395448407795433</v>
      </c>
      <c r="H481" s="37">
        <f>SUM(B481:G481)</f>
        <v/>
      </c>
      <c r="I481" s="25">
        <f>B481/$H481</f>
        <v/>
      </c>
      <c r="J481" s="25">
        <f>C481/$H481</f>
        <v/>
      </c>
      <c r="K481" s="25">
        <f>D481/$H481</f>
        <v/>
      </c>
      <c r="L481" s="25">
        <f>E481/$H481</f>
        <v/>
      </c>
      <c r="M481" s="25">
        <f>F481/$H481</f>
        <v/>
      </c>
      <c r="N481" s="25">
        <f>G481/$H481</f>
        <v/>
      </c>
      <c r="O481" s="25">
        <f>SUM(MMULT(I481:N481,'07 Annualised Inputs'!$D$7:$D$12))</f>
        <v/>
      </c>
      <c r="P481" s="25">
        <f>SQRT(SUMPRODUCT(MMULT(I481:N481,'07 Annualised Inputs'!$B$17:$G$22),I481:N481))</f>
        <v/>
      </c>
      <c r="Q481" s="37">
        <f>(O481-'02 Config'!$B$10)/P481</f>
        <v/>
      </c>
    </row>
    <row r="482">
      <c r="A482" s="12" t="n">
        <v>477</v>
      </c>
      <c r="B482" s="36" t="n">
        <v>0.6608681959247994</v>
      </c>
      <c r="C482" s="36" t="n">
        <v>0.4316810811770246</v>
      </c>
      <c r="D482" s="36" t="n">
        <v>0.7477897231466647</v>
      </c>
      <c r="E482" s="36" t="n">
        <v>0.4578973697513855</v>
      </c>
      <c r="F482" s="36" t="n">
        <v>0.4144272711081408</v>
      </c>
      <c r="G482" s="36" t="n">
        <v>0.5252831635726832</v>
      </c>
      <c r="H482" s="37">
        <f>SUM(B482:G482)</f>
        <v/>
      </c>
      <c r="I482" s="25">
        <f>B482/$H482</f>
        <v/>
      </c>
      <c r="J482" s="25">
        <f>C482/$H482</f>
        <v/>
      </c>
      <c r="K482" s="25">
        <f>D482/$H482</f>
        <v/>
      </c>
      <c r="L482" s="25">
        <f>E482/$H482</f>
        <v/>
      </c>
      <c r="M482" s="25">
        <f>F482/$H482</f>
        <v/>
      </c>
      <c r="N482" s="25">
        <f>G482/$H482</f>
        <v/>
      </c>
      <c r="O482" s="25">
        <f>SUM(MMULT(I482:N482,'07 Annualised Inputs'!$D$7:$D$12))</f>
        <v/>
      </c>
      <c r="P482" s="25">
        <f>SQRT(SUMPRODUCT(MMULT(I482:N482,'07 Annualised Inputs'!$B$17:$G$22),I482:N482))</f>
        <v/>
      </c>
      <c r="Q482" s="37">
        <f>(O482-'02 Config'!$B$10)/P482</f>
        <v/>
      </c>
    </row>
    <row r="483">
      <c r="A483" s="12" t="n">
        <v>478</v>
      </c>
      <c r="B483" s="36" t="n">
        <v>0.3177223348092938</v>
      </c>
      <c r="C483" s="36" t="n">
        <v>0.1042502162800012</v>
      </c>
      <c r="D483" s="36" t="n">
        <v>0.4148520055261652</v>
      </c>
      <c r="E483" s="36" t="n">
        <v>0.1238568811293019</v>
      </c>
      <c r="F483" s="36" t="n">
        <v>0.4104414735554467</v>
      </c>
      <c r="G483" s="36" t="n">
        <v>0.5569337212134503</v>
      </c>
      <c r="H483" s="37">
        <f>SUM(B483:G483)</f>
        <v/>
      </c>
      <c r="I483" s="25">
        <f>B483/$H483</f>
        <v/>
      </c>
      <c r="J483" s="25">
        <f>C483/$H483</f>
        <v/>
      </c>
      <c r="K483" s="25">
        <f>D483/$H483</f>
        <v/>
      </c>
      <c r="L483" s="25">
        <f>E483/$H483</f>
        <v/>
      </c>
      <c r="M483" s="25">
        <f>F483/$H483</f>
        <v/>
      </c>
      <c r="N483" s="25">
        <f>G483/$H483</f>
        <v/>
      </c>
      <c r="O483" s="25">
        <f>SUM(MMULT(I483:N483,'07 Annualised Inputs'!$D$7:$D$12))</f>
        <v/>
      </c>
      <c r="P483" s="25">
        <f>SQRT(SUMPRODUCT(MMULT(I483:N483,'07 Annualised Inputs'!$B$17:$G$22),I483:N483))</f>
        <v/>
      </c>
      <c r="Q483" s="37">
        <f>(O483-'02 Config'!$B$10)/P483</f>
        <v/>
      </c>
    </row>
    <row r="484">
      <c r="A484" s="12" t="n">
        <v>479</v>
      </c>
      <c r="B484" s="36" t="n">
        <v>0.9307111812056468</v>
      </c>
      <c r="C484" s="36" t="n">
        <v>0.03622233104530359</v>
      </c>
      <c r="D484" s="36" t="n">
        <v>0.6214584065019442</v>
      </c>
      <c r="E484" s="36" t="n">
        <v>0.4577351866500773</v>
      </c>
      <c r="F484" s="36" t="n">
        <v>0.02026112820413917</v>
      </c>
      <c r="G484" s="36" t="n">
        <v>0.2495481759387204</v>
      </c>
      <c r="H484" s="37">
        <f>SUM(B484:G484)</f>
        <v/>
      </c>
      <c r="I484" s="25">
        <f>B484/$H484</f>
        <v/>
      </c>
      <c r="J484" s="25">
        <f>C484/$H484</f>
        <v/>
      </c>
      <c r="K484" s="25">
        <f>D484/$H484</f>
        <v/>
      </c>
      <c r="L484" s="25">
        <f>E484/$H484</f>
        <v/>
      </c>
      <c r="M484" s="25">
        <f>F484/$H484</f>
        <v/>
      </c>
      <c r="N484" s="25">
        <f>G484/$H484</f>
        <v/>
      </c>
      <c r="O484" s="25">
        <f>SUM(MMULT(I484:N484,'07 Annualised Inputs'!$D$7:$D$12))</f>
        <v/>
      </c>
      <c r="P484" s="25">
        <f>SQRT(SUMPRODUCT(MMULT(I484:N484,'07 Annualised Inputs'!$B$17:$G$22),I484:N484))</f>
        <v/>
      </c>
      <c r="Q484" s="37">
        <f>(O484-'02 Config'!$B$10)/P484</f>
        <v/>
      </c>
    </row>
    <row r="485">
      <c r="A485" s="12" t="n">
        <v>480</v>
      </c>
      <c r="B485" s="36" t="n">
        <v>0.1184852523548016</v>
      </c>
      <c r="C485" s="36" t="n">
        <v>0.2167941457314447</v>
      </c>
      <c r="D485" s="36" t="n">
        <v>0.2745702434609182</v>
      </c>
      <c r="E485" s="36" t="n">
        <v>0.4013063353821963</v>
      </c>
      <c r="F485" s="36" t="n">
        <v>0.5290393934888903</v>
      </c>
      <c r="G485" s="36" t="n">
        <v>0.0009899939263861013</v>
      </c>
      <c r="H485" s="37">
        <f>SUM(B485:G485)</f>
        <v/>
      </c>
      <c r="I485" s="25">
        <f>B485/$H485</f>
        <v/>
      </c>
      <c r="J485" s="25">
        <f>C485/$H485</f>
        <v/>
      </c>
      <c r="K485" s="25">
        <f>D485/$H485</f>
        <v/>
      </c>
      <c r="L485" s="25">
        <f>E485/$H485</f>
        <v/>
      </c>
      <c r="M485" s="25">
        <f>F485/$H485</f>
        <v/>
      </c>
      <c r="N485" s="25">
        <f>G485/$H485</f>
        <v/>
      </c>
      <c r="O485" s="25">
        <f>SUM(MMULT(I485:N485,'07 Annualised Inputs'!$D$7:$D$12))</f>
        <v/>
      </c>
      <c r="P485" s="25">
        <f>SQRT(SUMPRODUCT(MMULT(I485:N485,'07 Annualised Inputs'!$B$17:$G$22),I485:N485))</f>
        <v/>
      </c>
      <c r="Q485" s="37">
        <f>(O485-'02 Config'!$B$10)/P485</f>
        <v/>
      </c>
    </row>
    <row r="486">
      <c r="A486" s="12" t="n">
        <v>481</v>
      </c>
      <c r="B486" s="36" t="n">
        <v>0.1618693606287408</v>
      </c>
      <c r="C486" s="36" t="n">
        <v>0.09356638560880071</v>
      </c>
      <c r="D486" s="36" t="n">
        <v>0.5496733992627437</v>
      </c>
      <c r="E486" s="36" t="n">
        <v>0.3290748704012698</v>
      </c>
      <c r="F486" s="36" t="n">
        <v>0.5483977360347181</v>
      </c>
      <c r="G486" s="36" t="n">
        <v>0.2218233021746778</v>
      </c>
      <c r="H486" s="37">
        <f>SUM(B486:G486)</f>
        <v/>
      </c>
      <c r="I486" s="25">
        <f>B486/$H486</f>
        <v/>
      </c>
      <c r="J486" s="25">
        <f>C486/$H486</f>
        <v/>
      </c>
      <c r="K486" s="25">
        <f>D486/$H486</f>
        <v/>
      </c>
      <c r="L486" s="25">
        <f>E486/$H486</f>
        <v/>
      </c>
      <c r="M486" s="25">
        <f>F486/$H486</f>
        <v/>
      </c>
      <c r="N486" s="25">
        <f>G486/$H486</f>
        <v/>
      </c>
      <c r="O486" s="25">
        <f>SUM(MMULT(I486:N486,'07 Annualised Inputs'!$D$7:$D$12))</f>
        <v/>
      </c>
      <c r="P486" s="25">
        <f>SQRT(SUMPRODUCT(MMULT(I486:N486,'07 Annualised Inputs'!$B$17:$G$22),I486:N486))</f>
        <v/>
      </c>
      <c r="Q486" s="37">
        <f>(O486-'02 Config'!$B$10)/P486</f>
        <v/>
      </c>
    </row>
    <row r="487">
      <c r="A487" s="12" t="n">
        <v>482</v>
      </c>
      <c r="B487" s="36" t="n">
        <v>0.02422935408758486</v>
      </c>
      <c r="C487" s="36" t="n">
        <v>0.9413669012702468</v>
      </c>
      <c r="D487" s="36" t="n">
        <v>0.108308121188994</v>
      </c>
      <c r="E487" s="36" t="n">
        <v>0.1268587479617168</v>
      </c>
      <c r="F487" s="36" t="n">
        <v>0.1465468265101405</v>
      </c>
      <c r="G487" s="36" t="n">
        <v>0.9812765239932727</v>
      </c>
      <c r="H487" s="37">
        <f>SUM(B487:G487)</f>
        <v/>
      </c>
      <c r="I487" s="25">
        <f>B487/$H487</f>
        <v/>
      </c>
      <c r="J487" s="25">
        <f>C487/$H487</f>
        <v/>
      </c>
      <c r="K487" s="25">
        <f>D487/$H487</f>
        <v/>
      </c>
      <c r="L487" s="25">
        <f>E487/$H487</f>
        <v/>
      </c>
      <c r="M487" s="25">
        <f>F487/$H487</f>
        <v/>
      </c>
      <c r="N487" s="25">
        <f>G487/$H487</f>
        <v/>
      </c>
      <c r="O487" s="25">
        <f>SUM(MMULT(I487:N487,'07 Annualised Inputs'!$D$7:$D$12))</f>
        <v/>
      </c>
      <c r="P487" s="25">
        <f>SQRT(SUMPRODUCT(MMULT(I487:N487,'07 Annualised Inputs'!$B$17:$G$22),I487:N487))</f>
        <v/>
      </c>
      <c r="Q487" s="37">
        <f>(O487-'02 Config'!$B$10)/P487</f>
        <v/>
      </c>
    </row>
    <row r="488">
      <c r="A488" s="12" t="n">
        <v>483</v>
      </c>
      <c r="B488" s="36" t="n">
        <v>0.6176602401699961</v>
      </c>
      <c r="C488" s="36" t="n">
        <v>0.6102899517038506</v>
      </c>
      <c r="D488" s="36" t="n">
        <v>0.9866982015185296</v>
      </c>
      <c r="E488" s="36" t="n">
        <v>0.08843876927465477</v>
      </c>
      <c r="F488" s="36" t="n">
        <v>0.9745008925422891</v>
      </c>
      <c r="G488" s="36" t="n">
        <v>0.2040131465540409</v>
      </c>
      <c r="H488" s="37">
        <f>SUM(B488:G488)</f>
        <v/>
      </c>
      <c r="I488" s="25">
        <f>B488/$H488</f>
        <v/>
      </c>
      <c r="J488" s="25">
        <f>C488/$H488</f>
        <v/>
      </c>
      <c r="K488" s="25">
        <f>D488/$H488</f>
        <v/>
      </c>
      <c r="L488" s="25">
        <f>E488/$H488</f>
        <v/>
      </c>
      <c r="M488" s="25">
        <f>F488/$H488</f>
        <v/>
      </c>
      <c r="N488" s="25">
        <f>G488/$H488</f>
        <v/>
      </c>
      <c r="O488" s="25">
        <f>SUM(MMULT(I488:N488,'07 Annualised Inputs'!$D$7:$D$12))</f>
        <v/>
      </c>
      <c r="P488" s="25">
        <f>SQRT(SUMPRODUCT(MMULT(I488:N488,'07 Annualised Inputs'!$B$17:$G$22),I488:N488))</f>
        <v/>
      </c>
      <c r="Q488" s="37">
        <f>(O488-'02 Config'!$B$10)/P488</f>
        <v/>
      </c>
    </row>
    <row r="489">
      <c r="A489" s="12" t="n">
        <v>484</v>
      </c>
      <c r="B489" s="36" t="n">
        <v>0.6230715035620354</v>
      </c>
      <c r="C489" s="36" t="n">
        <v>0.4200835653027917</v>
      </c>
      <c r="D489" s="36" t="n">
        <v>0.3839518134771782</v>
      </c>
      <c r="E489" s="36" t="n">
        <v>0.9312433284794626</v>
      </c>
      <c r="F489" s="36" t="n">
        <v>0.1492277284402564</v>
      </c>
      <c r="G489" s="36" t="n">
        <v>0.9970690110762436</v>
      </c>
      <c r="H489" s="37">
        <f>SUM(B489:G489)</f>
        <v/>
      </c>
      <c r="I489" s="25">
        <f>B489/$H489</f>
        <v/>
      </c>
      <c r="J489" s="25">
        <f>C489/$H489</f>
        <v/>
      </c>
      <c r="K489" s="25">
        <f>D489/$H489</f>
        <v/>
      </c>
      <c r="L489" s="25">
        <f>E489/$H489</f>
        <v/>
      </c>
      <c r="M489" s="25">
        <f>F489/$H489</f>
        <v/>
      </c>
      <c r="N489" s="25">
        <f>G489/$H489</f>
        <v/>
      </c>
      <c r="O489" s="25">
        <f>SUM(MMULT(I489:N489,'07 Annualised Inputs'!$D$7:$D$12))</f>
        <v/>
      </c>
      <c r="P489" s="25">
        <f>SQRT(SUMPRODUCT(MMULT(I489:N489,'07 Annualised Inputs'!$B$17:$G$22),I489:N489))</f>
        <v/>
      </c>
      <c r="Q489" s="37">
        <f>(O489-'02 Config'!$B$10)/P489</f>
        <v/>
      </c>
    </row>
    <row r="490">
      <c r="A490" s="12" t="n">
        <v>485</v>
      </c>
      <c r="B490" s="36" t="n">
        <v>0.3791250610915485</v>
      </c>
      <c r="C490" s="36" t="n">
        <v>0.6487749038885544</v>
      </c>
      <c r="D490" s="36" t="n">
        <v>0.9679067314833601</v>
      </c>
      <c r="E490" s="36" t="n">
        <v>0.05760105037897478</v>
      </c>
      <c r="F490" s="36" t="n">
        <v>0.9228643629251906</v>
      </c>
      <c r="G490" s="36" t="n">
        <v>0.5678113853543433</v>
      </c>
      <c r="H490" s="37">
        <f>SUM(B490:G490)</f>
        <v/>
      </c>
      <c r="I490" s="25">
        <f>B490/$H490</f>
        <v/>
      </c>
      <c r="J490" s="25">
        <f>C490/$H490</f>
        <v/>
      </c>
      <c r="K490" s="25">
        <f>D490/$H490</f>
        <v/>
      </c>
      <c r="L490" s="25">
        <f>E490/$H490</f>
        <v/>
      </c>
      <c r="M490" s="25">
        <f>F490/$H490</f>
        <v/>
      </c>
      <c r="N490" s="25">
        <f>G490/$H490</f>
        <v/>
      </c>
      <c r="O490" s="25">
        <f>SUM(MMULT(I490:N490,'07 Annualised Inputs'!$D$7:$D$12))</f>
        <v/>
      </c>
      <c r="P490" s="25">
        <f>SQRT(SUMPRODUCT(MMULT(I490:N490,'07 Annualised Inputs'!$B$17:$G$22),I490:N490))</f>
        <v/>
      </c>
      <c r="Q490" s="37">
        <f>(O490-'02 Config'!$B$10)/P490</f>
        <v/>
      </c>
    </row>
    <row r="491">
      <c r="A491" s="12" t="n">
        <v>486</v>
      </c>
      <c r="B491" s="36" t="n">
        <v>0.7043968789774523</v>
      </c>
      <c r="C491" s="36" t="n">
        <v>0.1491841838863484</v>
      </c>
      <c r="D491" s="36" t="n">
        <v>0.5333874308310322</v>
      </c>
      <c r="E491" s="36" t="n">
        <v>0.6735137147252437</v>
      </c>
      <c r="F491" s="36" t="n">
        <v>0.4562473073876818</v>
      </c>
      <c r="G491" s="36" t="n">
        <v>0.1549851781060567</v>
      </c>
      <c r="H491" s="37">
        <f>SUM(B491:G491)</f>
        <v/>
      </c>
      <c r="I491" s="25">
        <f>B491/$H491</f>
        <v/>
      </c>
      <c r="J491" s="25">
        <f>C491/$H491</f>
        <v/>
      </c>
      <c r="K491" s="25">
        <f>D491/$H491</f>
        <v/>
      </c>
      <c r="L491" s="25">
        <f>E491/$H491</f>
        <v/>
      </c>
      <c r="M491" s="25">
        <f>F491/$H491</f>
        <v/>
      </c>
      <c r="N491" s="25">
        <f>G491/$H491</f>
        <v/>
      </c>
      <c r="O491" s="25">
        <f>SUM(MMULT(I491:N491,'07 Annualised Inputs'!$D$7:$D$12))</f>
        <v/>
      </c>
      <c r="P491" s="25">
        <f>SQRT(SUMPRODUCT(MMULT(I491:N491,'07 Annualised Inputs'!$B$17:$G$22),I491:N491))</f>
        <v/>
      </c>
      <c r="Q491" s="37">
        <f>(O491-'02 Config'!$B$10)/P491</f>
        <v/>
      </c>
    </row>
    <row r="492">
      <c r="A492" s="12" t="n">
        <v>487</v>
      </c>
      <c r="B492" s="36" t="n">
        <v>0.2441190750855766</v>
      </c>
      <c r="C492" s="36" t="n">
        <v>0.8543927909934985</v>
      </c>
      <c r="D492" s="36" t="n">
        <v>0.03447099283276278</v>
      </c>
      <c r="E492" s="36" t="n">
        <v>0.7088620784408124</v>
      </c>
      <c r="F492" s="36" t="n">
        <v>0.9993900365145268</v>
      </c>
      <c r="G492" s="36" t="n">
        <v>0.007482996106766615</v>
      </c>
      <c r="H492" s="37">
        <f>SUM(B492:G492)</f>
        <v/>
      </c>
      <c r="I492" s="25">
        <f>B492/$H492</f>
        <v/>
      </c>
      <c r="J492" s="25">
        <f>C492/$H492</f>
        <v/>
      </c>
      <c r="K492" s="25">
        <f>D492/$H492</f>
        <v/>
      </c>
      <c r="L492" s="25">
        <f>E492/$H492</f>
        <v/>
      </c>
      <c r="M492" s="25">
        <f>F492/$H492</f>
        <v/>
      </c>
      <c r="N492" s="25">
        <f>G492/$H492</f>
        <v/>
      </c>
      <c r="O492" s="25">
        <f>SUM(MMULT(I492:N492,'07 Annualised Inputs'!$D$7:$D$12))</f>
        <v/>
      </c>
      <c r="P492" s="25">
        <f>SQRT(SUMPRODUCT(MMULT(I492:N492,'07 Annualised Inputs'!$B$17:$G$22),I492:N492))</f>
        <v/>
      </c>
      <c r="Q492" s="37">
        <f>(O492-'02 Config'!$B$10)/P492</f>
        <v/>
      </c>
    </row>
    <row r="493">
      <c r="A493" s="12" t="n">
        <v>488</v>
      </c>
      <c r="B493" s="36" t="n">
        <v>0.1610456828199399</v>
      </c>
      <c r="C493" s="36" t="n">
        <v>0.6741443008931345</v>
      </c>
      <c r="D493" s="36" t="n">
        <v>0.05999083458534826</v>
      </c>
      <c r="E493" s="36" t="n">
        <v>0.5897899838558589</v>
      </c>
      <c r="F493" s="36" t="n">
        <v>0.6840001035610561</v>
      </c>
      <c r="G493" s="36" t="n">
        <v>0.5881463481140702</v>
      </c>
      <c r="H493" s="37">
        <f>SUM(B493:G493)</f>
        <v/>
      </c>
      <c r="I493" s="25">
        <f>B493/$H493</f>
        <v/>
      </c>
      <c r="J493" s="25">
        <f>C493/$H493</f>
        <v/>
      </c>
      <c r="K493" s="25">
        <f>D493/$H493</f>
        <v/>
      </c>
      <c r="L493" s="25">
        <f>E493/$H493</f>
        <v/>
      </c>
      <c r="M493" s="25">
        <f>F493/$H493</f>
        <v/>
      </c>
      <c r="N493" s="25">
        <f>G493/$H493</f>
        <v/>
      </c>
      <c r="O493" s="25">
        <f>SUM(MMULT(I493:N493,'07 Annualised Inputs'!$D$7:$D$12))</f>
        <v/>
      </c>
      <c r="P493" s="25">
        <f>SQRT(SUMPRODUCT(MMULT(I493:N493,'07 Annualised Inputs'!$B$17:$G$22),I493:N493))</f>
        <v/>
      </c>
      <c r="Q493" s="37">
        <f>(O493-'02 Config'!$B$10)/P493</f>
        <v/>
      </c>
    </row>
    <row r="494">
      <c r="A494" s="12" t="n">
        <v>489</v>
      </c>
      <c r="B494" s="36" t="n">
        <v>0.3651847030210672</v>
      </c>
      <c r="C494" s="36" t="n">
        <v>0.6972822959866389</v>
      </c>
      <c r="D494" s="36" t="n">
        <v>0.5942944280138205</v>
      </c>
      <c r="E494" s="36" t="n">
        <v>0.2076371720939197</v>
      </c>
      <c r="F494" s="36" t="n">
        <v>0.5631355435851098</v>
      </c>
      <c r="G494" s="36" t="n">
        <v>0.8819072171389275</v>
      </c>
      <c r="H494" s="37">
        <f>SUM(B494:G494)</f>
        <v/>
      </c>
      <c r="I494" s="25">
        <f>B494/$H494</f>
        <v/>
      </c>
      <c r="J494" s="25">
        <f>C494/$H494</f>
        <v/>
      </c>
      <c r="K494" s="25">
        <f>D494/$H494</f>
        <v/>
      </c>
      <c r="L494" s="25">
        <f>E494/$H494</f>
        <v/>
      </c>
      <c r="M494" s="25">
        <f>F494/$H494</f>
        <v/>
      </c>
      <c r="N494" s="25">
        <f>G494/$H494</f>
        <v/>
      </c>
      <c r="O494" s="25">
        <f>SUM(MMULT(I494:N494,'07 Annualised Inputs'!$D$7:$D$12))</f>
        <v/>
      </c>
      <c r="P494" s="25">
        <f>SQRT(SUMPRODUCT(MMULT(I494:N494,'07 Annualised Inputs'!$B$17:$G$22),I494:N494))</f>
        <v/>
      </c>
      <c r="Q494" s="37">
        <f>(O494-'02 Config'!$B$10)/P494</f>
        <v/>
      </c>
    </row>
    <row r="495">
      <c r="A495" s="12" t="n">
        <v>490</v>
      </c>
      <c r="B495" s="36" t="n">
        <v>0.66683328569045</v>
      </c>
      <c r="C495" s="36" t="n">
        <v>0.4717915073938471</v>
      </c>
      <c r="D495" s="36" t="n">
        <v>0.3215841028694512</v>
      </c>
      <c r="E495" s="36" t="n">
        <v>0.08588620943757286</v>
      </c>
      <c r="F495" s="36" t="n">
        <v>0.2446271327590287</v>
      </c>
      <c r="G495" s="36" t="n">
        <v>0.01118675308687689</v>
      </c>
      <c r="H495" s="37">
        <f>SUM(B495:G495)</f>
        <v/>
      </c>
      <c r="I495" s="25">
        <f>B495/$H495</f>
        <v/>
      </c>
      <c r="J495" s="25">
        <f>C495/$H495</f>
        <v/>
      </c>
      <c r="K495" s="25">
        <f>D495/$H495</f>
        <v/>
      </c>
      <c r="L495" s="25">
        <f>E495/$H495</f>
        <v/>
      </c>
      <c r="M495" s="25">
        <f>F495/$H495</f>
        <v/>
      </c>
      <c r="N495" s="25">
        <f>G495/$H495</f>
        <v/>
      </c>
      <c r="O495" s="25">
        <f>SUM(MMULT(I495:N495,'07 Annualised Inputs'!$D$7:$D$12))</f>
        <v/>
      </c>
      <c r="P495" s="25">
        <f>SQRT(SUMPRODUCT(MMULT(I495:N495,'07 Annualised Inputs'!$B$17:$G$22),I495:N495))</f>
        <v/>
      </c>
      <c r="Q495" s="37">
        <f>(O495-'02 Config'!$B$10)/P495</f>
        <v/>
      </c>
    </row>
    <row r="496">
      <c r="A496" s="12" t="n">
        <v>491</v>
      </c>
      <c r="B496" s="36" t="n">
        <v>0.9866259175249644</v>
      </c>
      <c r="C496" s="36" t="n">
        <v>0.22248225212874</v>
      </c>
      <c r="D496" s="36" t="n">
        <v>0.8148759426853727</v>
      </c>
      <c r="E496" s="36" t="n">
        <v>0.1686448818049786</v>
      </c>
      <c r="F496" s="36" t="n">
        <v>0.2836011496055739</v>
      </c>
      <c r="G496" s="36" t="n">
        <v>0.4182773192283668</v>
      </c>
      <c r="H496" s="37">
        <f>SUM(B496:G496)</f>
        <v/>
      </c>
      <c r="I496" s="25">
        <f>B496/$H496</f>
        <v/>
      </c>
      <c r="J496" s="25">
        <f>C496/$H496</f>
        <v/>
      </c>
      <c r="K496" s="25">
        <f>D496/$H496</f>
        <v/>
      </c>
      <c r="L496" s="25">
        <f>E496/$H496</f>
        <v/>
      </c>
      <c r="M496" s="25">
        <f>F496/$H496</f>
        <v/>
      </c>
      <c r="N496" s="25">
        <f>G496/$H496</f>
        <v/>
      </c>
      <c r="O496" s="25">
        <f>SUM(MMULT(I496:N496,'07 Annualised Inputs'!$D$7:$D$12))</f>
        <v/>
      </c>
      <c r="P496" s="25">
        <f>SQRT(SUMPRODUCT(MMULT(I496:N496,'07 Annualised Inputs'!$B$17:$G$22),I496:N496))</f>
        <v/>
      </c>
      <c r="Q496" s="37">
        <f>(O496-'02 Config'!$B$10)/P496</f>
        <v/>
      </c>
    </row>
    <row r="497">
      <c r="A497" s="12" t="n">
        <v>492</v>
      </c>
      <c r="B497" s="36" t="n">
        <v>0.3244056641416051</v>
      </c>
      <c r="C497" s="36" t="n">
        <v>0.7983508127598611</v>
      </c>
      <c r="D497" s="36" t="n">
        <v>0.9576934080154231</v>
      </c>
      <c r="E497" s="36" t="n">
        <v>0.8752944836508485</v>
      </c>
      <c r="F497" s="36" t="n">
        <v>0.1535778669477565</v>
      </c>
      <c r="G497" s="36" t="n">
        <v>0.7766886763492903</v>
      </c>
      <c r="H497" s="37">
        <f>SUM(B497:G497)</f>
        <v/>
      </c>
      <c r="I497" s="25">
        <f>B497/$H497</f>
        <v/>
      </c>
      <c r="J497" s="25">
        <f>C497/$H497</f>
        <v/>
      </c>
      <c r="K497" s="25">
        <f>D497/$H497</f>
        <v/>
      </c>
      <c r="L497" s="25">
        <f>E497/$H497</f>
        <v/>
      </c>
      <c r="M497" s="25">
        <f>F497/$H497</f>
        <v/>
      </c>
      <c r="N497" s="25">
        <f>G497/$H497</f>
        <v/>
      </c>
      <c r="O497" s="25">
        <f>SUM(MMULT(I497:N497,'07 Annualised Inputs'!$D$7:$D$12))</f>
        <v/>
      </c>
      <c r="P497" s="25">
        <f>SQRT(SUMPRODUCT(MMULT(I497:N497,'07 Annualised Inputs'!$B$17:$G$22),I497:N497))</f>
        <v/>
      </c>
      <c r="Q497" s="37">
        <f>(O497-'02 Config'!$B$10)/P497</f>
        <v/>
      </c>
    </row>
    <row r="498">
      <c r="A498" s="12" t="n">
        <v>493</v>
      </c>
      <c r="B498" s="36" t="n">
        <v>0.1479469133047114</v>
      </c>
      <c r="C498" s="36" t="n">
        <v>0.9133811065621014</v>
      </c>
      <c r="D498" s="36" t="n">
        <v>0.5178785756685784</v>
      </c>
      <c r="E498" s="36" t="n">
        <v>0.3363810880567067</v>
      </c>
      <c r="F498" s="36" t="n">
        <v>0.1570254973341928</v>
      </c>
      <c r="G498" s="36" t="n">
        <v>0.01180908817900461</v>
      </c>
      <c r="H498" s="37">
        <f>SUM(B498:G498)</f>
        <v/>
      </c>
      <c r="I498" s="25">
        <f>B498/$H498</f>
        <v/>
      </c>
      <c r="J498" s="25">
        <f>C498/$H498</f>
        <v/>
      </c>
      <c r="K498" s="25">
        <f>D498/$H498</f>
        <v/>
      </c>
      <c r="L498" s="25">
        <f>E498/$H498</f>
        <v/>
      </c>
      <c r="M498" s="25">
        <f>F498/$H498</f>
        <v/>
      </c>
      <c r="N498" s="25">
        <f>G498/$H498</f>
        <v/>
      </c>
      <c r="O498" s="25">
        <f>SUM(MMULT(I498:N498,'07 Annualised Inputs'!$D$7:$D$12))</f>
        <v/>
      </c>
      <c r="P498" s="25">
        <f>SQRT(SUMPRODUCT(MMULT(I498:N498,'07 Annualised Inputs'!$B$17:$G$22),I498:N498))</f>
        <v/>
      </c>
      <c r="Q498" s="37">
        <f>(O498-'02 Config'!$B$10)/P498</f>
        <v/>
      </c>
    </row>
    <row r="499">
      <c r="A499" s="12" t="n">
        <v>494</v>
      </c>
      <c r="B499" s="36" t="n">
        <v>0.2479469916608847</v>
      </c>
      <c r="C499" s="36" t="n">
        <v>0.9140200632813119</v>
      </c>
      <c r="D499" s="36" t="n">
        <v>0.7972621922722275</v>
      </c>
      <c r="E499" s="36" t="n">
        <v>0.9697937077507195</v>
      </c>
      <c r="F499" s="36" t="n">
        <v>0.100761521121373</v>
      </c>
      <c r="G499" s="36" t="n">
        <v>0.5921787435056695</v>
      </c>
      <c r="H499" s="37">
        <f>SUM(B499:G499)</f>
        <v/>
      </c>
      <c r="I499" s="25">
        <f>B499/$H499</f>
        <v/>
      </c>
      <c r="J499" s="25">
        <f>C499/$H499</f>
        <v/>
      </c>
      <c r="K499" s="25">
        <f>D499/$H499</f>
        <v/>
      </c>
      <c r="L499" s="25">
        <f>E499/$H499</f>
        <v/>
      </c>
      <c r="M499" s="25">
        <f>F499/$H499</f>
        <v/>
      </c>
      <c r="N499" s="25">
        <f>G499/$H499</f>
        <v/>
      </c>
      <c r="O499" s="25">
        <f>SUM(MMULT(I499:N499,'07 Annualised Inputs'!$D$7:$D$12))</f>
        <v/>
      </c>
      <c r="P499" s="25">
        <f>SQRT(SUMPRODUCT(MMULT(I499:N499,'07 Annualised Inputs'!$B$17:$G$22),I499:N499))</f>
        <v/>
      </c>
      <c r="Q499" s="37">
        <f>(O499-'02 Config'!$B$10)/P499</f>
        <v/>
      </c>
    </row>
    <row r="500">
      <c r="A500" s="12" t="n">
        <v>495</v>
      </c>
      <c r="B500" s="36" t="n">
        <v>0.2571504740307766</v>
      </c>
      <c r="C500" s="36" t="n">
        <v>0.5429417057724074</v>
      </c>
      <c r="D500" s="36" t="n">
        <v>0.3204548855634551</v>
      </c>
      <c r="E500" s="36" t="n">
        <v>0.2834655502433575</v>
      </c>
      <c r="F500" s="36" t="n">
        <v>0.5738453020245975</v>
      </c>
      <c r="G500" s="36" t="n">
        <v>0.1833181618695403</v>
      </c>
      <c r="H500" s="37">
        <f>SUM(B500:G500)</f>
        <v/>
      </c>
      <c r="I500" s="25">
        <f>B500/$H500</f>
        <v/>
      </c>
      <c r="J500" s="25">
        <f>C500/$H500</f>
        <v/>
      </c>
      <c r="K500" s="25">
        <f>D500/$H500</f>
        <v/>
      </c>
      <c r="L500" s="25">
        <f>E500/$H500</f>
        <v/>
      </c>
      <c r="M500" s="25">
        <f>F500/$H500</f>
        <v/>
      </c>
      <c r="N500" s="25">
        <f>G500/$H500</f>
        <v/>
      </c>
      <c r="O500" s="25">
        <f>SUM(MMULT(I500:N500,'07 Annualised Inputs'!$D$7:$D$12))</f>
        <v/>
      </c>
      <c r="P500" s="25">
        <f>SQRT(SUMPRODUCT(MMULT(I500:N500,'07 Annualised Inputs'!$B$17:$G$22),I500:N500))</f>
        <v/>
      </c>
      <c r="Q500" s="37">
        <f>(O500-'02 Config'!$B$10)/P500</f>
        <v/>
      </c>
    </row>
    <row r="501">
      <c r="A501" s="12" t="n">
        <v>496</v>
      </c>
      <c r="B501" s="36" t="n">
        <v>0.4691334369721168</v>
      </c>
      <c r="C501" s="36" t="n">
        <v>0.6508122650440348</v>
      </c>
      <c r="D501" s="36" t="n">
        <v>0.1281820731828041</v>
      </c>
      <c r="E501" s="36" t="n">
        <v>0.9305942708769041</v>
      </c>
      <c r="F501" s="36" t="n">
        <v>0.5057246994541248</v>
      </c>
      <c r="G501" s="36" t="n">
        <v>0.8195279718843422</v>
      </c>
      <c r="H501" s="37">
        <f>SUM(B501:G501)</f>
        <v/>
      </c>
      <c r="I501" s="25">
        <f>B501/$H501</f>
        <v/>
      </c>
      <c r="J501" s="25">
        <f>C501/$H501</f>
        <v/>
      </c>
      <c r="K501" s="25">
        <f>D501/$H501</f>
        <v/>
      </c>
      <c r="L501" s="25">
        <f>E501/$H501</f>
        <v/>
      </c>
      <c r="M501" s="25">
        <f>F501/$H501</f>
        <v/>
      </c>
      <c r="N501" s="25">
        <f>G501/$H501</f>
        <v/>
      </c>
      <c r="O501" s="25">
        <f>SUM(MMULT(I501:N501,'07 Annualised Inputs'!$D$7:$D$12))</f>
        <v/>
      </c>
      <c r="P501" s="25">
        <f>SQRT(SUMPRODUCT(MMULT(I501:N501,'07 Annualised Inputs'!$B$17:$G$22),I501:N501))</f>
        <v/>
      </c>
      <c r="Q501" s="37">
        <f>(O501-'02 Config'!$B$10)/P501</f>
        <v/>
      </c>
    </row>
    <row r="502">
      <c r="A502" s="12" t="n">
        <v>497</v>
      </c>
      <c r="B502" s="36" t="n">
        <v>0.6539054306210633</v>
      </c>
      <c r="C502" s="36" t="n">
        <v>0.7100009412225455</v>
      </c>
      <c r="D502" s="36" t="n">
        <v>0.716130940992838</v>
      </c>
      <c r="E502" s="36" t="n">
        <v>0.8750998970614726</v>
      </c>
      <c r="F502" s="36" t="n">
        <v>0.6136054350469241</v>
      </c>
      <c r="G502" s="36" t="n">
        <v>0.2782171517213896</v>
      </c>
      <c r="H502" s="37">
        <f>SUM(B502:G502)</f>
        <v/>
      </c>
      <c r="I502" s="25">
        <f>B502/$H502</f>
        <v/>
      </c>
      <c r="J502" s="25">
        <f>C502/$H502</f>
        <v/>
      </c>
      <c r="K502" s="25">
        <f>D502/$H502</f>
        <v/>
      </c>
      <c r="L502" s="25">
        <f>E502/$H502</f>
        <v/>
      </c>
      <c r="M502" s="25">
        <f>F502/$H502</f>
        <v/>
      </c>
      <c r="N502" s="25">
        <f>G502/$H502</f>
        <v/>
      </c>
      <c r="O502" s="25">
        <f>SUM(MMULT(I502:N502,'07 Annualised Inputs'!$D$7:$D$12))</f>
        <v/>
      </c>
      <c r="P502" s="25">
        <f>SQRT(SUMPRODUCT(MMULT(I502:N502,'07 Annualised Inputs'!$B$17:$G$22),I502:N502))</f>
        <v/>
      </c>
      <c r="Q502" s="37">
        <f>(O502-'02 Config'!$B$10)/P502</f>
        <v/>
      </c>
    </row>
    <row r="503">
      <c r="A503" s="12" t="n">
        <v>498</v>
      </c>
      <c r="B503" s="36" t="n">
        <v>0.09950964286545716</v>
      </c>
      <c r="C503" s="36" t="n">
        <v>0.6062506194501415</v>
      </c>
      <c r="D503" s="36" t="n">
        <v>0.06635280377058106</v>
      </c>
      <c r="E503" s="36" t="n">
        <v>0.2412934516895302</v>
      </c>
      <c r="F503" s="36" t="n">
        <v>0.06070718460191171</v>
      </c>
      <c r="G503" s="36" t="n">
        <v>0.5488875890065671</v>
      </c>
      <c r="H503" s="37">
        <f>SUM(B503:G503)</f>
        <v/>
      </c>
      <c r="I503" s="25">
        <f>B503/$H503</f>
        <v/>
      </c>
      <c r="J503" s="25">
        <f>C503/$H503</f>
        <v/>
      </c>
      <c r="K503" s="25">
        <f>D503/$H503</f>
        <v/>
      </c>
      <c r="L503" s="25">
        <f>E503/$H503</f>
        <v/>
      </c>
      <c r="M503" s="25">
        <f>F503/$H503</f>
        <v/>
      </c>
      <c r="N503" s="25">
        <f>G503/$H503</f>
        <v/>
      </c>
      <c r="O503" s="25">
        <f>SUM(MMULT(I503:N503,'07 Annualised Inputs'!$D$7:$D$12))</f>
        <v/>
      </c>
      <c r="P503" s="25">
        <f>SQRT(SUMPRODUCT(MMULT(I503:N503,'07 Annualised Inputs'!$B$17:$G$22),I503:N503))</f>
        <v/>
      </c>
      <c r="Q503" s="37">
        <f>(O503-'02 Config'!$B$10)/P503</f>
        <v/>
      </c>
    </row>
    <row r="504">
      <c r="A504" s="12" t="n">
        <v>499</v>
      </c>
      <c r="B504" s="36" t="n">
        <v>0.160338124942868</v>
      </c>
      <c r="C504" s="36" t="n">
        <v>0.6104073194334733</v>
      </c>
      <c r="D504" s="36" t="n">
        <v>0.7908651308632676</v>
      </c>
      <c r="E504" s="36" t="n">
        <v>0.8218807207718624</v>
      </c>
      <c r="F504" s="36" t="n">
        <v>0.3095435081376274</v>
      </c>
      <c r="G504" s="36" t="n">
        <v>0.548954532694496</v>
      </c>
      <c r="H504" s="37">
        <f>SUM(B504:G504)</f>
        <v/>
      </c>
      <c r="I504" s="25">
        <f>B504/$H504</f>
        <v/>
      </c>
      <c r="J504" s="25">
        <f>C504/$H504</f>
        <v/>
      </c>
      <c r="K504" s="25">
        <f>D504/$H504</f>
        <v/>
      </c>
      <c r="L504" s="25">
        <f>E504/$H504</f>
        <v/>
      </c>
      <c r="M504" s="25">
        <f>F504/$H504</f>
        <v/>
      </c>
      <c r="N504" s="25">
        <f>G504/$H504</f>
        <v/>
      </c>
      <c r="O504" s="25">
        <f>SUM(MMULT(I504:N504,'07 Annualised Inputs'!$D$7:$D$12))</f>
        <v/>
      </c>
      <c r="P504" s="25">
        <f>SQRT(SUMPRODUCT(MMULT(I504:N504,'07 Annualised Inputs'!$B$17:$G$22),I504:N504))</f>
        <v/>
      </c>
      <c r="Q504" s="37">
        <f>(O504-'02 Config'!$B$10)/P504</f>
        <v/>
      </c>
    </row>
    <row r="505">
      <c r="A505" s="12" t="n">
        <v>500</v>
      </c>
      <c r="B505" s="36" t="n">
        <v>0.563010760086359</v>
      </c>
      <c r="C505" s="36" t="n">
        <v>0.4728871821541666</v>
      </c>
      <c r="D505" s="36" t="n">
        <v>0.6551138914247648</v>
      </c>
      <c r="E505" s="36" t="n">
        <v>0.2100871238235336</v>
      </c>
      <c r="F505" s="36" t="n">
        <v>0.9792432395867943</v>
      </c>
      <c r="G505" s="36" t="n">
        <v>0.09807982709093244</v>
      </c>
      <c r="H505" s="37">
        <f>SUM(B505:G505)</f>
        <v/>
      </c>
      <c r="I505" s="25">
        <f>B505/$H505</f>
        <v/>
      </c>
      <c r="J505" s="25">
        <f>C505/$H505</f>
        <v/>
      </c>
      <c r="K505" s="25">
        <f>D505/$H505</f>
        <v/>
      </c>
      <c r="L505" s="25">
        <f>E505/$H505</f>
        <v/>
      </c>
      <c r="M505" s="25">
        <f>F505/$H505</f>
        <v/>
      </c>
      <c r="N505" s="25">
        <f>G505/$H505</f>
        <v/>
      </c>
      <c r="O505" s="25">
        <f>SUM(MMULT(I505:N505,'07 Annualised Inputs'!$D$7:$D$12))</f>
        <v/>
      </c>
      <c r="P505" s="25">
        <f>SQRT(SUMPRODUCT(MMULT(I505:N505,'07 Annualised Inputs'!$B$17:$G$22),I505:N505))</f>
        <v/>
      </c>
      <c r="Q505" s="37">
        <f>(O505-'02 Config'!$B$10)/P505</f>
        <v/>
      </c>
    </row>
    <row r="506">
      <c r="A506" s="12" t="n">
        <v>501</v>
      </c>
      <c r="B506" s="36" t="n">
        <v>0.8292211412031192</v>
      </c>
      <c r="C506" s="36" t="n">
        <v>0.5940959869511878</v>
      </c>
      <c r="D506" s="36" t="n">
        <v>0.2448547471937159</v>
      </c>
      <c r="E506" s="36" t="n">
        <v>0.7456750006602998</v>
      </c>
      <c r="F506" s="36" t="n">
        <v>0.08448089567707195</v>
      </c>
      <c r="G506" s="36" t="n">
        <v>0.7744178344487831</v>
      </c>
      <c r="H506" s="37">
        <f>SUM(B506:G506)</f>
        <v/>
      </c>
      <c r="I506" s="25">
        <f>B506/$H506</f>
        <v/>
      </c>
      <c r="J506" s="25">
        <f>C506/$H506</f>
        <v/>
      </c>
      <c r="K506" s="25">
        <f>D506/$H506</f>
        <v/>
      </c>
      <c r="L506" s="25">
        <f>E506/$H506</f>
        <v/>
      </c>
      <c r="M506" s="25">
        <f>F506/$H506</f>
        <v/>
      </c>
      <c r="N506" s="25">
        <f>G506/$H506</f>
        <v/>
      </c>
      <c r="O506" s="25">
        <f>SUM(MMULT(I506:N506,'07 Annualised Inputs'!$D$7:$D$12))</f>
        <v/>
      </c>
      <c r="P506" s="25">
        <f>SQRT(SUMPRODUCT(MMULT(I506:N506,'07 Annualised Inputs'!$B$17:$G$22),I506:N506))</f>
        <v/>
      </c>
      <c r="Q506" s="37">
        <f>(O506-'02 Config'!$B$10)/P506</f>
        <v/>
      </c>
    </row>
    <row r="507">
      <c r="A507" s="12" t="n">
        <v>502</v>
      </c>
      <c r="B507" s="36" t="n">
        <v>0.5899852222430135</v>
      </c>
      <c r="C507" s="36" t="n">
        <v>0.1107503183964016</v>
      </c>
      <c r="D507" s="36" t="n">
        <v>0.07950556309237022</v>
      </c>
      <c r="E507" s="36" t="n">
        <v>0.7508363334364625</v>
      </c>
      <c r="F507" s="36" t="n">
        <v>0.2929359065038372</v>
      </c>
      <c r="G507" s="36" t="n">
        <v>0.8893018507672135</v>
      </c>
      <c r="H507" s="37">
        <f>SUM(B507:G507)</f>
        <v/>
      </c>
      <c r="I507" s="25">
        <f>B507/$H507</f>
        <v/>
      </c>
      <c r="J507" s="25">
        <f>C507/$H507</f>
        <v/>
      </c>
      <c r="K507" s="25">
        <f>D507/$H507</f>
        <v/>
      </c>
      <c r="L507" s="25">
        <f>E507/$H507</f>
        <v/>
      </c>
      <c r="M507" s="25">
        <f>F507/$H507</f>
        <v/>
      </c>
      <c r="N507" s="25">
        <f>G507/$H507</f>
        <v/>
      </c>
      <c r="O507" s="25">
        <f>SUM(MMULT(I507:N507,'07 Annualised Inputs'!$D$7:$D$12))</f>
        <v/>
      </c>
      <c r="P507" s="25">
        <f>SQRT(SUMPRODUCT(MMULT(I507:N507,'07 Annualised Inputs'!$B$17:$G$22),I507:N507))</f>
        <v/>
      </c>
      <c r="Q507" s="37">
        <f>(O507-'02 Config'!$B$10)/P507</f>
        <v/>
      </c>
    </row>
    <row r="508">
      <c r="A508" s="12" t="n">
        <v>503</v>
      </c>
      <c r="B508" s="36" t="n">
        <v>0.762073021030176</v>
      </c>
      <c r="C508" s="36" t="n">
        <v>0.6981902447177161</v>
      </c>
      <c r="D508" s="36" t="n">
        <v>0.278606052633451</v>
      </c>
      <c r="E508" s="36" t="n">
        <v>0.7089445190216179</v>
      </c>
      <c r="F508" s="36" t="n">
        <v>0.948147684514834</v>
      </c>
      <c r="G508" s="36" t="n">
        <v>0.09155983437056892</v>
      </c>
      <c r="H508" s="37">
        <f>SUM(B508:G508)</f>
        <v/>
      </c>
      <c r="I508" s="25">
        <f>B508/$H508</f>
        <v/>
      </c>
      <c r="J508" s="25">
        <f>C508/$H508</f>
        <v/>
      </c>
      <c r="K508" s="25">
        <f>D508/$H508</f>
        <v/>
      </c>
      <c r="L508" s="25">
        <f>E508/$H508</f>
        <v/>
      </c>
      <c r="M508" s="25">
        <f>F508/$H508</f>
        <v/>
      </c>
      <c r="N508" s="25">
        <f>G508/$H508</f>
        <v/>
      </c>
      <c r="O508" s="25">
        <f>SUM(MMULT(I508:N508,'07 Annualised Inputs'!$D$7:$D$12))</f>
        <v/>
      </c>
      <c r="P508" s="25">
        <f>SQRT(SUMPRODUCT(MMULT(I508:N508,'07 Annualised Inputs'!$B$17:$G$22),I508:N508))</f>
        <v/>
      </c>
      <c r="Q508" s="37">
        <f>(O508-'02 Config'!$B$10)/P508</f>
        <v/>
      </c>
    </row>
    <row r="509">
      <c r="A509" s="12" t="n">
        <v>504</v>
      </c>
      <c r="B509" s="36" t="n">
        <v>0.326162642003566</v>
      </c>
      <c r="C509" s="36" t="n">
        <v>0.2346722654615941</v>
      </c>
      <c r="D509" s="36" t="n">
        <v>0.3932501344006667</v>
      </c>
      <c r="E509" s="36" t="n">
        <v>0.7423326548539464</v>
      </c>
      <c r="F509" s="36" t="n">
        <v>0.4742425814253866</v>
      </c>
      <c r="G509" s="36" t="n">
        <v>0.5707306061202463</v>
      </c>
      <c r="H509" s="37">
        <f>SUM(B509:G509)</f>
        <v/>
      </c>
      <c r="I509" s="25">
        <f>B509/$H509</f>
        <v/>
      </c>
      <c r="J509" s="25">
        <f>C509/$H509</f>
        <v/>
      </c>
      <c r="K509" s="25">
        <f>D509/$H509</f>
        <v/>
      </c>
      <c r="L509" s="25">
        <f>E509/$H509</f>
        <v/>
      </c>
      <c r="M509" s="25">
        <f>F509/$H509</f>
        <v/>
      </c>
      <c r="N509" s="25">
        <f>G509/$H509</f>
        <v/>
      </c>
      <c r="O509" s="25">
        <f>SUM(MMULT(I509:N509,'07 Annualised Inputs'!$D$7:$D$12))</f>
        <v/>
      </c>
      <c r="P509" s="25">
        <f>SQRT(SUMPRODUCT(MMULT(I509:N509,'07 Annualised Inputs'!$B$17:$G$22),I509:N509))</f>
        <v/>
      </c>
      <c r="Q509" s="37">
        <f>(O509-'02 Config'!$B$10)/P509</f>
        <v/>
      </c>
    </row>
    <row r="510">
      <c r="A510" s="12" t="n">
        <v>505</v>
      </c>
      <c r="B510" s="36" t="n">
        <v>0.3141548880783424</v>
      </c>
      <c r="C510" s="36" t="n">
        <v>0.1412892670871005</v>
      </c>
      <c r="D510" s="36" t="n">
        <v>0.2669336489377285</v>
      </c>
      <c r="E510" s="36" t="n">
        <v>0.859680301241987</v>
      </c>
      <c r="F510" s="36" t="n">
        <v>0.6024169621534105</v>
      </c>
      <c r="G510" s="36" t="n">
        <v>0.3779886731972337</v>
      </c>
      <c r="H510" s="37">
        <f>SUM(B510:G510)</f>
        <v/>
      </c>
      <c r="I510" s="25">
        <f>B510/$H510</f>
        <v/>
      </c>
      <c r="J510" s="25">
        <f>C510/$H510</f>
        <v/>
      </c>
      <c r="K510" s="25">
        <f>D510/$H510</f>
        <v/>
      </c>
      <c r="L510" s="25">
        <f>E510/$H510</f>
        <v/>
      </c>
      <c r="M510" s="25">
        <f>F510/$H510</f>
        <v/>
      </c>
      <c r="N510" s="25">
        <f>G510/$H510</f>
        <v/>
      </c>
      <c r="O510" s="25">
        <f>SUM(MMULT(I510:N510,'07 Annualised Inputs'!$D$7:$D$12))</f>
        <v/>
      </c>
      <c r="P510" s="25">
        <f>SQRT(SUMPRODUCT(MMULT(I510:N510,'07 Annualised Inputs'!$B$17:$G$22),I510:N510))</f>
        <v/>
      </c>
      <c r="Q510" s="37">
        <f>(O510-'02 Config'!$B$10)/P510</f>
        <v/>
      </c>
    </row>
    <row r="511">
      <c r="A511" s="12" t="n">
        <v>506</v>
      </c>
      <c r="B511" s="36" t="n">
        <v>0.7899059817355876</v>
      </c>
      <c r="C511" s="36" t="n">
        <v>0.06445743245490876</v>
      </c>
      <c r="D511" s="36" t="n">
        <v>0.2538910879223857</v>
      </c>
      <c r="E511" s="36" t="n">
        <v>0.2301031540573393</v>
      </c>
      <c r="F511" s="36" t="n">
        <v>0.9853645621682221</v>
      </c>
      <c r="G511" s="36" t="n">
        <v>0.7060985823927602</v>
      </c>
      <c r="H511" s="37">
        <f>SUM(B511:G511)</f>
        <v/>
      </c>
      <c r="I511" s="25">
        <f>B511/$H511</f>
        <v/>
      </c>
      <c r="J511" s="25">
        <f>C511/$H511</f>
        <v/>
      </c>
      <c r="K511" s="25">
        <f>D511/$H511</f>
        <v/>
      </c>
      <c r="L511" s="25">
        <f>E511/$H511</f>
        <v/>
      </c>
      <c r="M511" s="25">
        <f>F511/$H511</f>
        <v/>
      </c>
      <c r="N511" s="25">
        <f>G511/$H511</f>
        <v/>
      </c>
      <c r="O511" s="25">
        <f>SUM(MMULT(I511:N511,'07 Annualised Inputs'!$D$7:$D$12))</f>
        <v/>
      </c>
      <c r="P511" s="25">
        <f>SQRT(SUMPRODUCT(MMULT(I511:N511,'07 Annualised Inputs'!$B$17:$G$22),I511:N511))</f>
        <v/>
      </c>
      <c r="Q511" s="37">
        <f>(O511-'02 Config'!$B$10)/P511</f>
        <v/>
      </c>
    </row>
    <row r="512">
      <c r="A512" s="12" t="n">
        <v>507</v>
      </c>
      <c r="B512" s="36" t="n">
        <v>0.6177859363885542</v>
      </c>
      <c r="C512" s="36" t="n">
        <v>0.004984965294472898</v>
      </c>
      <c r="D512" s="36" t="n">
        <v>0.1843100020898574</v>
      </c>
      <c r="E512" s="36" t="n">
        <v>0.6355412929730783</v>
      </c>
      <c r="F512" s="36" t="n">
        <v>0.3797193264816657</v>
      </c>
      <c r="G512" s="36" t="n">
        <v>0.9242803836790608</v>
      </c>
      <c r="H512" s="37">
        <f>SUM(B512:G512)</f>
        <v/>
      </c>
      <c r="I512" s="25">
        <f>B512/$H512</f>
        <v/>
      </c>
      <c r="J512" s="25">
        <f>C512/$H512</f>
        <v/>
      </c>
      <c r="K512" s="25">
        <f>D512/$H512</f>
        <v/>
      </c>
      <c r="L512" s="25">
        <f>E512/$H512</f>
        <v/>
      </c>
      <c r="M512" s="25">
        <f>F512/$H512</f>
        <v/>
      </c>
      <c r="N512" s="25">
        <f>G512/$H512</f>
        <v/>
      </c>
      <c r="O512" s="25">
        <f>SUM(MMULT(I512:N512,'07 Annualised Inputs'!$D$7:$D$12))</f>
        <v/>
      </c>
      <c r="P512" s="25">
        <f>SQRT(SUMPRODUCT(MMULT(I512:N512,'07 Annualised Inputs'!$B$17:$G$22),I512:N512))</f>
        <v/>
      </c>
      <c r="Q512" s="37">
        <f>(O512-'02 Config'!$B$10)/P512</f>
        <v/>
      </c>
    </row>
    <row r="513">
      <c r="A513" s="12" t="n">
        <v>508</v>
      </c>
      <c r="B513" s="36" t="n">
        <v>0.7647242191417579</v>
      </c>
      <c r="C513" s="36" t="n">
        <v>0.44738407280412</v>
      </c>
      <c r="D513" s="36" t="n">
        <v>0.7495149775382705</v>
      </c>
      <c r="E513" s="36" t="n">
        <v>0.9754043238262216</v>
      </c>
      <c r="F513" s="36" t="n">
        <v>0.4609808247014706</v>
      </c>
      <c r="G513" s="36" t="n">
        <v>0.6425258878885334</v>
      </c>
      <c r="H513" s="37">
        <f>SUM(B513:G513)</f>
        <v/>
      </c>
      <c r="I513" s="25">
        <f>B513/$H513</f>
        <v/>
      </c>
      <c r="J513" s="25">
        <f>C513/$H513</f>
        <v/>
      </c>
      <c r="K513" s="25">
        <f>D513/$H513</f>
        <v/>
      </c>
      <c r="L513" s="25">
        <f>E513/$H513</f>
        <v/>
      </c>
      <c r="M513" s="25">
        <f>F513/$H513</f>
        <v/>
      </c>
      <c r="N513" s="25">
        <f>G513/$H513</f>
        <v/>
      </c>
      <c r="O513" s="25">
        <f>SUM(MMULT(I513:N513,'07 Annualised Inputs'!$D$7:$D$12))</f>
        <v/>
      </c>
      <c r="P513" s="25">
        <f>SQRT(SUMPRODUCT(MMULT(I513:N513,'07 Annualised Inputs'!$B$17:$G$22),I513:N513))</f>
        <v/>
      </c>
      <c r="Q513" s="37">
        <f>(O513-'02 Config'!$B$10)/P513</f>
        <v/>
      </c>
    </row>
    <row r="514">
      <c r="A514" s="12" t="n">
        <v>509</v>
      </c>
      <c r="B514" s="36" t="n">
        <v>0.9186646150612952</v>
      </c>
      <c r="C514" s="36" t="n">
        <v>0.2486746620361733</v>
      </c>
      <c r="D514" s="36" t="n">
        <v>0.8865579136662783</v>
      </c>
      <c r="E514" s="36" t="n">
        <v>0.09754470677298266</v>
      </c>
      <c r="F514" s="36" t="n">
        <v>0.6484481705876465</v>
      </c>
      <c r="G514" s="36" t="n">
        <v>0.7828381550557844</v>
      </c>
      <c r="H514" s="37">
        <f>SUM(B514:G514)</f>
        <v/>
      </c>
      <c r="I514" s="25">
        <f>B514/$H514</f>
        <v/>
      </c>
      <c r="J514" s="25">
        <f>C514/$H514</f>
        <v/>
      </c>
      <c r="K514" s="25">
        <f>D514/$H514</f>
        <v/>
      </c>
      <c r="L514" s="25">
        <f>E514/$H514</f>
        <v/>
      </c>
      <c r="M514" s="25">
        <f>F514/$H514</f>
        <v/>
      </c>
      <c r="N514" s="25">
        <f>G514/$H514</f>
        <v/>
      </c>
      <c r="O514" s="25">
        <f>SUM(MMULT(I514:N514,'07 Annualised Inputs'!$D$7:$D$12))</f>
        <v/>
      </c>
      <c r="P514" s="25">
        <f>SQRT(SUMPRODUCT(MMULT(I514:N514,'07 Annualised Inputs'!$B$17:$G$22),I514:N514))</f>
        <v/>
      </c>
      <c r="Q514" s="37">
        <f>(O514-'02 Config'!$B$10)/P514</f>
        <v/>
      </c>
    </row>
    <row r="515">
      <c r="A515" s="12" t="n">
        <v>510</v>
      </c>
      <c r="B515" s="36" t="n">
        <v>0.6146062192524261</v>
      </c>
      <c r="C515" s="36" t="n">
        <v>0.495534804152543</v>
      </c>
      <c r="D515" s="36" t="n">
        <v>0.617347099925686</v>
      </c>
      <c r="E515" s="36" t="n">
        <v>0.1516637087794446</v>
      </c>
      <c r="F515" s="36" t="n">
        <v>0.2155707103302184</v>
      </c>
      <c r="G515" s="36" t="n">
        <v>0.269899343956342</v>
      </c>
      <c r="H515" s="37">
        <f>SUM(B515:G515)</f>
        <v/>
      </c>
      <c r="I515" s="25">
        <f>B515/$H515</f>
        <v/>
      </c>
      <c r="J515" s="25">
        <f>C515/$H515</f>
        <v/>
      </c>
      <c r="K515" s="25">
        <f>D515/$H515</f>
        <v/>
      </c>
      <c r="L515" s="25">
        <f>E515/$H515</f>
        <v/>
      </c>
      <c r="M515" s="25">
        <f>F515/$H515</f>
        <v/>
      </c>
      <c r="N515" s="25">
        <f>G515/$H515</f>
        <v/>
      </c>
      <c r="O515" s="25">
        <f>SUM(MMULT(I515:N515,'07 Annualised Inputs'!$D$7:$D$12))</f>
        <v/>
      </c>
      <c r="P515" s="25">
        <f>SQRT(SUMPRODUCT(MMULT(I515:N515,'07 Annualised Inputs'!$B$17:$G$22),I515:N515))</f>
        <v/>
      </c>
      <c r="Q515" s="37">
        <f>(O515-'02 Config'!$B$10)/P515</f>
        <v/>
      </c>
    </row>
    <row r="516">
      <c r="A516" s="12" t="n">
        <v>511</v>
      </c>
      <c r="B516" s="36" t="n">
        <v>0.5977793406300381</v>
      </c>
      <c r="C516" s="36" t="n">
        <v>0.4419010737450705</v>
      </c>
      <c r="D516" s="36" t="n">
        <v>0.2444758424858395</v>
      </c>
      <c r="E516" s="36" t="n">
        <v>0.8828093321445801</v>
      </c>
      <c r="F516" s="36" t="n">
        <v>0.3739218402932234</v>
      </c>
      <c r="G516" s="36" t="n">
        <v>0.4460317192298912</v>
      </c>
      <c r="H516" s="37">
        <f>SUM(B516:G516)</f>
        <v/>
      </c>
      <c r="I516" s="25">
        <f>B516/$H516</f>
        <v/>
      </c>
      <c r="J516" s="25">
        <f>C516/$H516</f>
        <v/>
      </c>
      <c r="K516" s="25">
        <f>D516/$H516</f>
        <v/>
      </c>
      <c r="L516" s="25">
        <f>E516/$H516</f>
        <v/>
      </c>
      <c r="M516" s="25">
        <f>F516/$H516</f>
        <v/>
      </c>
      <c r="N516" s="25">
        <f>G516/$H516</f>
        <v/>
      </c>
      <c r="O516" s="25">
        <f>SUM(MMULT(I516:N516,'07 Annualised Inputs'!$D$7:$D$12))</f>
        <v/>
      </c>
      <c r="P516" s="25">
        <f>SQRT(SUMPRODUCT(MMULT(I516:N516,'07 Annualised Inputs'!$B$17:$G$22),I516:N516))</f>
        <v/>
      </c>
      <c r="Q516" s="37">
        <f>(O516-'02 Config'!$B$10)/P516</f>
        <v/>
      </c>
    </row>
    <row r="517">
      <c r="A517" s="12" t="n">
        <v>512</v>
      </c>
      <c r="B517" s="36" t="n">
        <v>0.4097010765489946</v>
      </c>
      <c r="C517" s="36" t="n">
        <v>0.1819429552767526</v>
      </c>
      <c r="D517" s="36" t="n">
        <v>0.7316270154302333</v>
      </c>
      <c r="E517" s="36" t="n">
        <v>0.448458262268858</v>
      </c>
      <c r="F517" s="36" t="n">
        <v>0.01625710989271845</v>
      </c>
      <c r="G517" s="36" t="n">
        <v>0.964013702359797</v>
      </c>
      <c r="H517" s="37">
        <f>SUM(B517:G517)</f>
        <v/>
      </c>
      <c r="I517" s="25">
        <f>B517/$H517</f>
        <v/>
      </c>
      <c r="J517" s="25">
        <f>C517/$H517</f>
        <v/>
      </c>
      <c r="K517" s="25">
        <f>D517/$H517</f>
        <v/>
      </c>
      <c r="L517" s="25">
        <f>E517/$H517</f>
        <v/>
      </c>
      <c r="M517" s="25">
        <f>F517/$H517</f>
        <v/>
      </c>
      <c r="N517" s="25">
        <f>G517/$H517</f>
        <v/>
      </c>
      <c r="O517" s="25">
        <f>SUM(MMULT(I517:N517,'07 Annualised Inputs'!$D$7:$D$12))</f>
        <v/>
      </c>
      <c r="P517" s="25">
        <f>SQRT(SUMPRODUCT(MMULT(I517:N517,'07 Annualised Inputs'!$B$17:$G$22),I517:N517))</f>
        <v/>
      </c>
      <c r="Q517" s="37">
        <f>(O517-'02 Config'!$B$10)/P517</f>
        <v/>
      </c>
    </row>
    <row r="518">
      <c r="A518" s="12" t="n">
        <v>513</v>
      </c>
      <c r="B518" s="36" t="n">
        <v>0.8157636115954137</v>
      </c>
      <c r="C518" s="36" t="n">
        <v>0.7235593540918033</v>
      </c>
      <c r="D518" s="36" t="n">
        <v>0.869091870518529</v>
      </c>
      <c r="E518" s="36" t="n">
        <v>0.9068072536055503</v>
      </c>
      <c r="F518" s="36" t="n">
        <v>0.3374897063844386</v>
      </c>
      <c r="G518" s="36" t="n">
        <v>0.6109586784166986</v>
      </c>
      <c r="H518" s="37">
        <f>SUM(B518:G518)</f>
        <v/>
      </c>
      <c r="I518" s="25">
        <f>B518/$H518</f>
        <v/>
      </c>
      <c r="J518" s="25">
        <f>C518/$H518</f>
        <v/>
      </c>
      <c r="K518" s="25">
        <f>D518/$H518</f>
        <v/>
      </c>
      <c r="L518" s="25">
        <f>E518/$H518</f>
        <v/>
      </c>
      <c r="M518" s="25">
        <f>F518/$H518</f>
        <v/>
      </c>
      <c r="N518" s="25">
        <f>G518/$H518</f>
        <v/>
      </c>
      <c r="O518" s="25">
        <f>SUM(MMULT(I518:N518,'07 Annualised Inputs'!$D$7:$D$12))</f>
        <v/>
      </c>
      <c r="P518" s="25">
        <f>SQRT(SUMPRODUCT(MMULT(I518:N518,'07 Annualised Inputs'!$B$17:$G$22),I518:N518))</f>
        <v/>
      </c>
      <c r="Q518" s="37">
        <f>(O518-'02 Config'!$B$10)/P518</f>
        <v/>
      </c>
    </row>
    <row r="519">
      <c r="A519" s="12" t="n">
        <v>514</v>
      </c>
      <c r="B519" s="36" t="n">
        <v>0.6088078092055942</v>
      </c>
      <c r="C519" s="36" t="n">
        <v>0.267299668810597</v>
      </c>
      <c r="D519" s="36" t="n">
        <v>0.2219522514470672</v>
      </c>
      <c r="E519" s="36" t="n">
        <v>0.1139072548190221</v>
      </c>
      <c r="F519" s="36" t="n">
        <v>0.6593141959164528</v>
      </c>
      <c r="G519" s="36" t="n">
        <v>0.7809189910307799</v>
      </c>
      <c r="H519" s="37">
        <f>SUM(B519:G519)</f>
        <v/>
      </c>
      <c r="I519" s="25">
        <f>B519/$H519</f>
        <v/>
      </c>
      <c r="J519" s="25">
        <f>C519/$H519</f>
        <v/>
      </c>
      <c r="K519" s="25">
        <f>D519/$H519</f>
        <v/>
      </c>
      <c r="L519" s="25">
        <f>E519/$H519</f>
        <v/>
      </c>
      <c r="M519" s="25">
        <f>F519/$H519</f>
        <v/>
      </c>
      <c r="N519" s="25">
        <f>G519/$H519</f>
        <v/>
      </c>
      <c r="O519" s="25">
        <f>SUM(MMULT(I519:N519,'07 Annualised Inputs'!$D$7:$D$12))</f>
        <v/>
      </c>
      <c r="P519" s="25">
        <f>SQRT(SUMPRODUCT(MMULT(I519:N519,'07 Annualised Inputs'!$B$17:$G$22),I519:N519))</f>
        <v/>
      </c>
      <c r="Q519" s="37">
        <f>(O519-'02 Config'!$B$10)/P519</f>
        <v/>
      </c>
    </row>
    <row r="520">
      <c r="A520" s="12" t="n">
        <v>515</v>
      </c>
      <c r="B520" s="36" t="n">
        <v>0.7609529795170038</v>
      </c>
      <c r="C520" s="36" t="n">
        <v>0.3162753771849743</v>
      </c>
      <c r="D520" s="36" t="n">
        <v>0.2052598504652022</v>
      </c>
      <c r="E520" s="36" t="n">
        <v>0.4536141784546219</v>
      </c>
      <c r="F520" s="36" t="n">
        <v>0.5468134602405106</v>
      </c>
      <c r="G520" s="36" t="n">
        <v>0.9190871279685557</v>
      </c>
      <c r="H520" s="37">
        <f>SUM(B520:G520)</f>
        <v/>
      </c>
      <c r="I520" s="25">
        <f>B520/$H520</f>
        <v/>
      </c>
      <c r="J520" s="25">
        <f>C520/$H520</f>
        <v/>
      </c>
      <c r="K520" s="25">
        <f>D520/$H520</f>
        <v/>
      </c>
      <c r="L520" s="25">
        <f>E520/$H520</f>
        <v/>
      </c>
      <c r="M520" s="25">
        <f>F520/$H520</f>
        <v/>
      </c>
      <c r="N520" s="25">
        <f>G520/$H520</f>
        <v/>
      </c>
      <c r="O520" s="25">
        <f>SUM(MMULT(I520:N520,'07 Annualised Inputs'!$D$7:$D$12))</f>
        <v/>
      </c>
      <c r="P520" s="25">
        <f>SQRT(SUMPRODUCT(MMULT(I520:N520,'07 Annualised Inputs'!$B$17:$G$22),I520:N520))</f>
        <v/>
      </c>
      <c r="Q520" s="37">
        <f>(O520-'02 Config'!$B$10)/P520</f>
        <v/>
      </c>
    </row>
    <row r="521">
      <c r="A521" s="12" t="n">
        <v>516</v>
      </c>
      <c r="B521" s="36" t="n">
        <v>0.8748231542740541</v>
      </c>
      <c r="C521" s="36" t="n">
        <v>0.9160583313018277</v>
      </c>
      <c r="D521" s="36" t="n">
        <v>0.8502623851359796</v>
      </c>
      <c r="E521" s="36" t="n">
        <v>0.9645812044363112</v>
      </c>
      <c r="F521" s="36" t="n">
        <v>0.4654999971690574</v>
      </c>
      <c r="G521" s="36" t="n">
        <v>0.04747349743309437</v>
      </c>
      <c r="H521" s="37">
        <f>SUM(B521:G521)</f>
        <v/>
      </c>
      <c r="I521" s="25">
        <f>B521/$H521</f>
        <v/>
      </c>
      <c r="J521" s="25">
        <f>C521/$H521</f>
        <v/>
      </c>
      <c r="K521" s="25">
        <f>D521/$H521</f>
        <v/>
      </c>
      <c r="L521" s="25">
        <f>E521/$H521</f>
        <v/>
      </c>
      <c r="M521" s="25">
        <f>F521/$H521</f>
        <v/>
      </c>
      <c r="N521" s="25">
        <f>G521/$H521</f>
        <v/>
      </c>
      <c r="O521" s="25">
        <f>SUM(MMULT(I521:N521,'07 Annualised Inputs'!$D$7:$D$12))</f>
        <v/>
      </c>
      <c r="P521" s="25">
        <f>SQRT(SUMPRODUCT(MMULT(I521:N521,'07 Annualised Inputs'!$B$17:$G$22),I521:N521))</f>
        <v/>
      </c>
      <c r="Q521" s="37">
        <f>(O521-'02 Config'!$B$10)/P521</f>
        <v/>
      </c>
    </row>
    <row r="522">
      <c r="A522" s="12" t="n">
        <v>517</v>
      </c>
      <c r="B522" s="36" t="n">
        <v>0.08356203214847824</v>
      </c>
      <c r="C522" s="36" t="n">
        <v>0.3902761417723432</v>
      </c>
      <c r="D522" s="36" t="n">
        <v>0.2576870912729973</v>
      </c>
      <c r="E522" s="36" t="n">
        <v>0.1699405913610673</v>
      </c>
      <c r="F522" s="36" t="n">
        <v>0.9532037745086486</v>
      </c>
      <c r="G522" s="36" t="n">
        <v>0.1954195884106225</v>
      </c>
      <c r="H522" s="37">
        <f>SUM(B522:G522)</f>
        <v/>
      </c>
      <c r="I522" s="25">
        <f>B522/$H522</f>
        <v/>
      </c>
      <c r="J522" s="25">
        <f>C522/$H522</f>
        <v/>
      </c>
      <c r="K522" s="25">
        <f>D522/$H522</f>
        <v/>
      </c>
      <c r="L522" s="25">
        <f>E522/$H522</f>
        <v/>
      </c>
      <c r="M522" s="25">
        <f>F522/$H522</f>
        <v/>
      </c>
      <c r="N522" s="25">
        <f>G522/$H522</f>
        <v/>
      </c>
      <c r="O522" s="25">
        <f>SUM(MMULT(I522:N522,'07 Annualised Inputs'!$D$7:$D$12))</f>
        <v/>
      </c>
      <c r="P522" s="25">
        <f>SQRT(SUMPRODUCT(MMULT(I522:N522,'07 Annualised Inputs'!$B$17:$G$22),I522:N522))</f>
        <v/>
      </c>
      <c r="Q522" s="37">
        <f>(O522-'02 Config'!$B$10)/P522</f>
        <v/>
      </c>
    </row>
    <row r="523">
      <c r="A523" s="12" t="n">
        <v>518</v>
      </c>
      <c r="B523" s="36" t="n">
        <v>0.959379272315231</v>
      </c>
      <c r="C523" s="36" t="n">
        <v>0.7608388403212071</v>
      </c>
      <c r="D523" s="36" t="n">
        <v>0.6409456721252235</v>
      </c>
      <c r="E523" s="36" t="n">
        <v>0.6760189600893783</v>
      </c>
      <c r="F523" s="36" t="n">
        <v>0.331474323659124</v>
      </c>
      <c r="G523" s="36" t="n">
        <v>0.6464270380582822</v>
      </c>
      <c r="H523" s="37">
        <f>SUM(B523:G523)</f>
        <v/>
      </c>
      <c r="I523" s="25">
        <f>B523/$H523</f>
        <v/>
      </c>
      <c r="J523" s="25">
        <f>C523/$H523</f>
        <v/>
      </c>
      <c r="K523" s="25">
        <f>D523/$H523</f>
        <v/>
      </c>
      <c r="L523" s="25">
        <f>E523/$H523</f>
        <v/>
      </c>
      <c r="M523" s="25">
        <f>F523/$H523</f>
        <v/>
      </c>
      <c r="N523" s="25">
        <f>G523/$H523</f>
        <v/>
      </c>
      <c r="O523" s="25">
        <f>SUM(MMULT(I523:N523,'07 Annualised Inputs'!$D$7:$D$12))</f>
        <v/>
      </c>
      <c r="P523" s="25">
        <f>SQRT(SUMPRODUCT(MMULT(I523:N523,'07 Annualised Inputs'!$B$17:$G$22),I523:N523))</f>
        <v/>
      </c>
      <c r="Q523" s="37">
        <f>(O523-'02 Config'!$B$10)/P523</f>
        <v/>
      </c>
    </row>
    <row r="524">
      <c r="A524" s="12" t="n">
        <v>519</v>
      </c>
      <c r="B524" s="36" t="n">
        <v>0.1866921182812653</v>
      </c>
      <c r="C524" s="36" t="n">
        <v>0.9377054325359795</v>
      </c>
      <c r="D524" s="36" t="n">
        <v>0.3017933399605935</v>
      </c>
      <c r="E524" s="36" t="n">
        <v>0.2551865122935422</v>
      </c>
      <c r="F524" s="36" t="n">
        <v>0.7111627981941575</v>
      </c>
      <c r="G524" s="36" t="n">
        <v>0.6564487180661819</v>
      </c>
      <c r="H524" s="37">
        <f>SUM(B524:G524)</f>
        <v/>
      </c>
      <c r="I524" s="25">
        <f>B524/$H524</f>
        <v/>
      </c>
      <c r="J524" s="25">
        <f>C524/$H524</f>
        <v/>
      </c>
      <c r="K524" s="25">
        <f>D524/$H524</f>
        <v/>
      </c>
      <c r="L524" s="25">
        <f>E524/$H524</f>
        <v/>
      </c>
      <c r="M524" s="25">
        <f>F524/$H524</f>
        <v/>
      </c>
      <c r="N524" s="25">
        <f>G524/$H524</f>
        <v/>
      </c>
      <c r="O524" s="25">
        <f>SUM(MMULT(I524:N524,'07 Annualised Inputs'!$D$7:$D$12))</f>
        <v/>
      </c>
      <c r="P524" s="25">
        <f>SQRT(SUMPRODUCT(MMULT(I524:N524,'07 Annualised Inputs'!$B$17:$G$22),I524:N524))</f>
        <v/>
      </c>
      <c r="Q524" s="37">
        <f>(O524-'02 Config'!$B$10)/P524</f>
        <v/>
      </c>
    </row>
    <row r="525">
      <c r="A525" s="12" t="n">
        <v>520</v>
      </c>
      <c r="B525" s="36" t="n">
        <v>0.4512989183433053</v>
      </c>
      <c r="C525" s="36" t="n">
        <v>0.6324462346907863</v>
      </c>
      <c r="D525" s="36" t="n">
        <v>0.1594930717608561</v>
      </c>
      <c r="E525" s="36" t="n">
        <v>0.673328307401955</v>
      </c>
      <c r="F525" s="36" t="n">
        <v>0.2706106951951939</v>
      </c>
      <c r="G525" s="36" t="n">
        <v>0.2728359766764573</v>
      </c>
      <c r="H525" s="37">
        <f>SUM(B525:G525)</f>
        <v/>
      </c>
      <c r="I525" s="25">
        <f>B525/$H525</f>
        <v/>
      </c>
      <c r="J525" s="25">
        <f>C525/$H525</f>
        <v/>
      </c>
      <c r="K525" s="25">
        <f>D525/$H525</f>
        <v/>
      </c>
      <c r="L525" s="25">
        <f>E525/$H525</f>
        <v/>
      </c>
      <c r="M525" s="25">
        <f>F525/$H525</f>
        <v/>
      </c>
      <c r="N525" s="25">
        <f>G525/$H525</f>
        <v/>
      </c>
      <c r="O525" s="25">
        <f>SUM(MMULT(I525:N525,'07 Annualised Inputs'!$D$7:$D$12))</f>
        <v/>
      </c>
      <c r="P525" s="25">
        <f>SQRT(SUMPRODUCT(MMULT(I525:N525,'07 Annualised Inputs'!$B$17:$G$22),I525:N525))</f>
        <v/>
      </c>
      <c r="Q525" s="37">
        <f>(O525-'02 Config'!$B$10)/P525</f>
        <v/>
      </c>
    </row>
    <row r="526">
      <c r="A526" s="12" t="n">
        <v>521</v>
      </c>
      <c r="B526" s="36" t="n">
        <v>0.1621799349437846</v>
      </c>
      <c r="C526" s="36" t="n">
        <v>0.3323771350361646</v>
      </c>
      <c r="D526" s="36" t="n">
        <v>0.3312510603113281</v>
      </c>
      <c r="E526" s="36" t="n">
        <v>0.4541790117022693</v>
      </c>
      <c r="F526" s="36" t="n">
        <v>0.1904195046663495</v>
      </c>
      <c r="G526" s="36" t="n">
        <v>0.1930075361587663</v>
      </c>
      <c r="H526" s="37">
        <f>SUM(B526:G526)</f>
        <v/>
      </c>
      <c r="I526" s="25">
        <f>B526/$H526</f>
        <v/>
      </c>
      <c r="J526" s="25">
        <f>C526/$H526</f>
        <v/>
      </c>
      <c r="K526" s="25">
        <f>D526/$H526</f>
        <v/>
      </c>
      <c r="L526" s="25">
        <f>E526/$H526</f>
        <v/>
      </c>
      <c r="M526" s="25">
        <f>F526/$H526</f>
        <v/>
      </c>
      <c r="N526" s="25">
        <f>G526/$H526</f>
        <v/>
      </c>
      <c r="O526" s="25">
        <f>SUM(MMULT(I526:N526,'07 Annualised Inputs'!$D$7:$D$12))</f>
        <v/>
      </c>
      <c r="P526" s="25">
        <f>SQRT(SUMPRODUCT(MMULT(I526:N526,'07 Annualised Inputs'!$B$17:$G$22),I526:N526))</f>
        <v/>
      </c>
      <c r="Q526" s="37">
        <f>(O526-'02 Config'!$B$10)/P526</f>
        <v/>
      </c>
    </row>
    <row r="527">
      <c r="A527" s="12" t="n">
        <v>522</v>
      </c>
      <c r="B527" s="36" t="n">
        <v>0.5417385716632284</v>
      </c>
      <c r="C527" s="36" t="n">
        <v>0.1288774046704751</v>
      </c>
      <c r="D527" s="36" t="n">
        <v>0.6888970079888351</v>
      </c>
      <c r="E527" s="36" t="n">
        <v>0.9439471258625965</v>
      </c>
      <c r="F527" s="36" t="n">
        <v>0.4267956216643782</v>
      </c>
      <c r="G527" s="36" t="n">
        <v>0.9011053131506768</v>
      </c>
      <c r="H527" s="37">
        <f>SUM(B527:G527)</f>
        <v/>
      </c>
      <c r="I527" s="25">
        <f>B527/$H527</f>
        <v/>
      </c>
      <c r="J527" s="25">
        <f>C527/$H527</f>
        <v/>
      </c>
      <c r="K527" s="25">
        <f>D527/$H527</f>
        <v/>
      </c>
      <c r="L527" s="25">
        <f>E527/$H527</f>
        <v/>
      </c>
      <c r="M527" s="25">
        <f>F527/$H527</f>
        <v/>
      </c>
      <c r="N527" s="25">
        <f>G527/$H527</f>
        <v/>
      </c>
      <c r="O527" s="25">
        <f>SUM(MMULT(I527:N527,'07 Annualised Inputs'!$D$7:$D$12))</f>
        <v/>
      </c>
      <c r="P527" s="25">
        <f>SQRT(SUMPRODUCT(MMULT(I527:N527,'07 Annualised Inputs'!$B$17:$G$22),I527:N527))</f>
        <v/>
      </c>
      <c r="Q527" s="37">
        <f>(O527-'02 Config'!$B$10)/P527</f>
        <v/>
      </c>
    </row>
    <row r="528">
      <c r="A528" s="12" t="n">
        <v>523</v>
      </c>
      <c r="B528" s="36" t="n">
        <v>0.09831659112586444</v>
      </c>
      <c r="C528" s="36" t="n">
        <v>0.04295762737564457</v>
      </c>
      <c r="D528" s="36" t="n">
        <v>0.7213688775138399</v>
      </c>
      <c r="E528" s="36" t="n">
        <v>0.7610215729814965</v>
      </c>
      <c r="F528" s="36" t="n">
        <v>0.8430582409657513</v>
      </c>
      <c r="G528" s="36" t="n">
        <v>0.05681767839998142</v>
      </c>
      <c r="H528" s="37">
        <f>SUM(B528:G528)</f>
        <v/>
      </c>
      <c r="I528" s="25">
        <f>B528/$H528</f>
        <v/>
      </c>
      <c r="J528" s="25">
        <f>C528/$H528</f>
        <v/>
      </c>
      <c r="K528" s="25">
        <f>D528/$H528</f>
        <v/>
      </c>
      <c r="L528" s="25">
        <f>E528/$H528</f>
        <v/>
      </c>
      <c r="M528" s="25">
        <f>F528/$H528</f>
        <v/>
      </c>
      <c r="N528" s="25">
        <f>G528/$H528</f>
        <v/>
      </c>
      <c r="O528" s="25">
        <f>SUM(MMULT(I528:N528,'07 Annualised Inputs'!$D$7:$D$12))</f>
        <v/>
      </c>
      <c r="P528" s="25">
        <f>SQRT(SUMPRODUCT(MMULT(I528:N528,'07 Annualised Inputs'!$B$17:$G$22),I528:N528))</f>
        <v/>
      </c>
      <c r="Q528" s="37">
        <f>(O528-'02 Config'!$B$10)/P528</f>
        <v/>
      </c>
    </row>
    <row r="529">
      <c r="A529" s="12" t="n">
        <v>524</v>
      </c>
      <c r="B529" s="36" t="n">
        <v>0.7769070549568304</v>
      </c>
      <c r="C529" s="36" t="n">
        <v>0.3765387327965818</v>
      </c>
      <c r="D529" s="36" t="n">
        <v>0.3033376326821986</v>
      </c>
      <c r="E529" s="36" t="n">
        <v>0.1730239213432969</v>
      </c>
      <c r="F529" s="36" t="n">
        <v>0.996015755102527</v>
      </c>
      <c r="G529" s="36" t="n">
        <v>0.06366358931886362</v>
      </c>
      <c r="H529" s="37">
        <f>SUM(B529:G529)</f>
        <v/>
      </c>
      <c r="I529" s="25">
        <f>B529/$H529</f>
        <v/>
      </c>
      <c r="J529" s="25">
        <f>C529/$H529</f>
        <v/>
      </c>
      <c r="K529" s="25">
        <f>D529/$H529</f>
        <v/>
      </c>
      <c r="L529" s="25">
        <f>E529/$H529</f>
        <v/>
      </c>
      <c r="M529" s="25">
        <f>F529/$H529</f>
        <v/>
      </c>
      <c r="N529" s="25">
        <f>G529/$H529</f>
        <v/>
      </c>
      <c r="O529" s="25">
        <f>SUM(MMULT(I529:N529,'07 Annualised Inputs'!$D$7:$D$12))</f>
        <v/>
      </c>
      <c r="P529" s="25">
        <f>SQRT(SUMPRODUCT(MMULT(I529:N529,'07 Annualised Inputs'!$B$17:$G$22),I529:N529))</f>
        <v/>
      </c>
      <c r="Q529" s="37">
        <f>(O529-'02 Config'!$B$10)/P529</f>
        <v/>
      </c>
    </row>
    <row r="530">
      <c r="A530" s="12" t="n">
        <v>525</v>
      </c>
      <c r="B530" s="36" t="n">
        <v>0.8270080146079994</v>
      </c>
      <c r="C530" s="36" t="n">
        <v>0.6394944354905275</v>
      </c>
      <c r="D530" s="36" t="n">
        <v>0.7350804442618671</v>
      </c>
      <c r="E530" s="36" t="n">
        <v>0.7117171199217964</v>
      </c>
      <c r="F530" s="36" t="n">
        <v>0.8584344850731825</v>
      </c>
      <c r="G530" s="36" t="n">
        <v>0.1837920698561083</v>
      </c>
      <c r="H530" s="37">
        <f>SUM(B530:G530)</f>
        <v/>
      </c>
      <c r="I530" s="25">
        <f>B530/$H530</f>
        <v/>
      </c>
      <c r="J530" s="25">
        <f>C530/$H530</f>
        <v/>
      </c>
      <c r="K530" s="25">
        <f>D530/$H530</f>
        <v/>
      </c>
      <c r="L530" s="25">
        <f>E530/$H530</f>
        <v/>
      </c>
      <c r="M530" s="25">
        <f>F530/$H530</f>
        <v/>
      </c>
      <c r="N530" s="25">
        <f>G530/$H530</f>
        <v/>
      </c>
      <c r="O530" s="25">
        <f>SUM(MMULT(I530:N530,'07 Annualised Inputs'!$D$7:$D$12))</f>
        <v/>
      </c>
      <c r="P530" s="25">
        <f>SQRT(SUMPRODUCT(MMULT(I530:N530,'07 Annualised Inputs'!$B$17:$G$22),I530:N530))</f>
        <v/>
      </c>
      <c r="Q530" s="37">
        <f>(O530-'02 Config'!$B$10)/P530</f>
        <v/>
      </c>
    </row>
    <row r="531">
      <c r="A531" s="12" t="n">
        <v>526</v>
      </c>
      <c r="B531" s="36" t="n">
        <v>0.0008246168346853766</v>
      </c>
      <c r="C531" s="36" t="n">
        <v>0.5985284890432662</v>
      </c>
      <c r="D531" s="36" t="n">
        <v>0.3538586393233339</v>
      </c>
      <c r="E531" s="36" t="n">
        <v>0.1237873311171377</v>
      </c>
      <c r="F531" s="36" t="n">
        <v>0.1861387541042389</v>
      </c>
      <c r="G531" s="36" t="n">
        <v>0.3317493124592229</v>
      </c>
      <c r="H531" s="37">
        <f>SUM(B531:G531)</f>
        <v/>
      </c>
      <c r="I531" s="25">
        <f>B531/$H531</f>
        <v/>
      </c>
      <c r="J531" s="25">
        <f>C531/$H531</f>
        <v/>
      </c>
      <c r="K531" s="25">
        <f>D531/$H531</f>
        <v/>
      </c>
      <c r="L531" s="25">
        <f>E531/$H531</f>
        <v/>
      </c>
      <c r="M531" s="25">
        <f>F531/$H531</f>
        <v/>
      </c>
      <c r="N531" s="25">
        <f>G531/$H531</f>
        <v/>
      </c>
      <c r="O531" s="25">
        <f>SUM(MMULT(I531:N531,'07 Annualised Inputs'!$D$7:$D$12))</f>
        <v/>
      </c>
      <c r="P531" s="25">
        <f>SQRT(SUMPRODUCT(MMULT(I531:N531,'07 Annualised Inputs'!$B$17:$G$22),I531:N531))</f>
        <v/>
      </c>
      <c r="Q531" s="37">
        <f>(O531-'02 Config'!$B$10)/P531</f>
        <v/>
      </c>
    </row>
    <row r="532">
      <c r="A532" s="12" t="n">
        <v>527</v>
      </c>
      <c r="B532" s="36" t="n">
        <v>0.07023337088670323</v>
      </c>
      <c r="C532" s="36" t="n">
        <v>0.05691320212845086</v>
      </c>
      <c r="D532" s="36" t="n">
        <v>0.9160262548324442</v>
      </c>
      <c r="E532" s="36" t="n">
        <v>0.3121027493536962</v>
      </c>
      <c r="F532" s="36" t="n">
        <v>0.9822306974735849</v>
      </c>
      <c r="G532" s="36" t="n">
        <v>0.9643670083303999</v>
      </c>
      <c r="H532" s="37">
        <f>SUM(B532:G532)</f>
        <v/>
      </c>
      <c r="I532" s="25">
        <f>B532/$H532</f>
        <v/>
      </c>
      <c r="J532" s="25">
        <f>C532/$H532</f>
        <v/>
      </c>
      <c r="K532" s="25">
        <f>D532/$H532</f>
        <v/>
      </c>
      <c r="L532" s="25">
        <f>E532/$H532</f>
        <v/>
      </c>
      <c r="M532" s="25">
        <f>F532/$H532</f>
        <v/>
      </c>
      <c r="N532" s="25">
        <f>G532/$H532</f>
        <v/>
      </c>
      <c r="O532" s="25">
        <f>SUM(MMULT(I532:N532,'07 Annualised Inputs'!$D$7:$D$12))</f>
        <v/>
      </c>
      <c r="P532" s="25">
        <f>SQRT(SUMPRODUCT(MMULT(I532:N532,'07 Annualised Inputs'!$B$17:$G$22),I532:N532))</f>
        <v/>
      </c>
      <c r="Q532" s="37">
        <f>(O532-'02 Config'!$B$10)/P532</f>
        <v/>
      </c>
    </row>
    <row r="533">
      <c r="A533" s="12" t="n">
        <v>528</v>
      </c>
      <c r="B533" s="36" t="n">
        <v>0.1425712823271138</v>
      </c>
      <c r="C533" s="36" t="n">
        <v>0.7149243028961909</v>
      </c>
      <c r="D533" s="36" t="n">
        <v>0.6008048891270692</v>
      </c>
      <c r="E533" s="36" t="n">
        <v>0.6906470731051536</v>
      </c>
      <c r="F533" s="36" t="n">
        <v>0.09619100001447478</v>
      </c>
      <c r="G533" s="36" t="n">
        <v>0.188560078634558</v>
      </c>
      <c r="H533" s="37">
        <f>SUM(B533:G533)</f>
        <v/>
      </c>
      <c r="I533" s="25">
        <f>B533/$H533</f>
        <v/>
      </c>
      <c r="J533" s="25">
        <f>C533/$H533</f>
        <v/>
      </c>
      <c r="K533" s="25">
        <f>D533/$H533</f>
        <v/>
      </c>
      <c r="L533" s="25">
        <f>E533/$H533</f>
        <v/>
      </c>
      <c r="M533" s="25">
        <f>F533/$H533</f>
        <v/>
      </c>
      <c r="N533" s="25">
        <f>G533/$H533</f>
        <v/>
      </c>
      <c r="O533" s="25">
        <f>SUM(MMULT(I533:N533,'07 Annualised Inputs'!$D$7:$D$12))</f>
        <v/>
      </c>
      <c r="P533" s="25">
        <f>SQRT(SUMPRODUCT(MMULT(I533:N533,'07 Annualised Inputs'!$B$17:$G$22),I533:N533))</f>
        <v/>
      </c>
      <c r="Q533" s="37">
        <f>(O533-'02 Config'!$B$10)/P533</f>
        <v/>
      </c>
    </row>
    <row r="534">
      <c r="A534" s="12" t="n">
        <v>529</v>
      </c>
      <c r="B534" s="36" t="n">
        <v>0.0766386614508815</v>
      </c>
      <c r="C534" s="36" t="n">
        <v>0.6041342052170712</v>
      </c>
      <c r="D534" s="36" t="n">
        <v>0.9865910758490911</v>
      </c>
      <c r="E534" s="36" t="n">
        <v>0.6719845376579414</v>
      </c>
      <c r="F534" s="36" t="n">
        <v>0.7107615350219296</v>
      </c>
      <c r="G534" s="36" t="n">
        <v>0.9845850415432811</v>
      </c>
      <c r="H534" s="37">
        <f>SUM(B534:G534)</f>
        <v/>
      </c>
      <c r="I534" s="25">
        <f>B534/$H534</f>
        <v/>
      </c>
      <c r="J534" s="25">
        <f>C534/$H534</f>
        <v/>
      </c>
      <c r="K534" s="25">
        <f>D534/$H534</f>
        <v/>
      </c>
      <c r="L534" s="25">
        <f>E534/$H534</f>
        <v/>
      </c>
      <c r="M534" s="25">
        <f>F534/$H534</f>
        <v/>
      </c>
      <c r="N534" s="25">
        <f>G534/$H534</f>
        <v/>
      </c>
      <c r="O534" s="25">
        <f>SUM(MMULT(I534:N534,'07 Annualised Inputs'!$D$7:$D$12))</f>
        <v/>
      </c>
      <c r="P534" s="25">
        <f>SQRT(SUMPRODUCT(MMULT(I534:N534,'07 Annualised Inputs'!$B$17:$G$22),I534:N534))</f>
        <v/>
      </c>
      <c r="Q534" s="37">
        <f>(O534-'02 Config'!$B$10)/P534</f>
        <v/>
      </c>
    </row>
    <row r="535">
      <c r="A535" s="12" t="n">
        <v>530</v>
      </c>
      <c r="B535" s="36" t="n">
        <v>0.6780115541717961</v>
      </c>
      <c r="C535" s="36" t="n">
        <v>0.04018157262847033</v>
      </c>
      <c r="D535" s="36" t="n">
        <v>0.8670056008565976</v>
      </c>
      <c r="E535" s="36" t="n">
        <v>0.3646782903787963</v>
      </c>
      <c r="F535" s="36" t="n">
        <v>0.004363621514715366</v>
      </c>
      <c r="G535" s="36" t="n">
        <v>0.5072341775608206</v>
      </c>
      <c r="H535" s="37">
        <f>SUM(B535:G535)</f>
        <v/>
      </c>
      <c r="I535" s="25">
        <f>B535/$H535</f>
        <v/>
      </c>
      <c r="J535" s="25">
        <f>C535/$H535</f>
        <v/>
      </c>
      <c r="K535" s="25">
        <f>D535/$H535</f>
        <v/>
      </c>
      <c r="L535" s="25">
        <f>E535/$H535</f>
        <v/>
      </c>
      <c r="M535" s="25">
        <f>F535/$H535</f>
        <v/>
      </c>
      <c r="N535" s="25">
        <f>G535/$H535</f>
        <v/>
      </c>
      <c r="O535" s="25">
        <f>SUM(MMULT(I535:N535,'07 Annualised Inputs'!$D$7:$D$12))</f>
        <v/>
      </c>
      <c r="P535" s="25">
        <f>SQRT(SUMPRODUCT(MMULT(I535:N535,'07 Annualised Inputs'!$B$17:$G$22),I535:N535))</f>
        <v/>
      </c>
      <c r="Q535" s="37">
        <f>(O535-'02 Config'!$B$10)/P535</f>
        <v/>
      </c>
    </row>
    <row r="536">
      <c r="A536" s="12" t="n">
        <v>531</v>
      </c>
      <c r="B536" s="36" t="n">
        <v>0.9370150008762637</v>
      </c>
      <c r="C536" s="36" t="n">
        <v>0.2573306871949832</v>
      </c>
      <c r="D536" s="36" t="n">
        <v>0.4915131730528399</v>
      </c>
      <c r="E536" s="36" t="n">
        <v>0.1737768877823908</v>
      </c>
      <c r="F536" s="36" t="n">
        <v>0.0576926716664401</v>
      </c>
      <c r="G536" s="36" t="n">
        <v>0.08054494671311319</v>
      </c>
      <c r="H536" s="37">
        <f>SUM(B536:G536)</f>
        <v/>
      </c>
      <c r="I536" s="25">
        <f>B536/$H536</f>
        <v/>
      </c>
      <c r="J536" s="25">
        <f>C536/$H536</f>
        <v/>
      </c>
      <c r="K536" s="25">
        <f>D536/$H536</f>
        <v/>
      </c>
      <c r="L536" s="25">
        <f>E536/$H536</f>
        <v/>
      </c>
      <c r="M536" s="25">
        <f>F536/$H536</f>
        <v/>
      </c>
      <c r="N536" s="25">
        <f>G536/$H536</f>
        <v/>
      </c>
      <c r="O536" s="25">
        <f>SUM(MMULT(I536:N536,'07 Annualised Inputs'!$D$7:$D$12))</f>
        <v/>
      </c>
      <c r="P536" s="25">
        <f>SQRT(SUMPRODUCT(MMULT(I536:N536,'07 Annualised Inputs'!$B$17:$G$22),I536:N536))</f>
        <v/>
      </c>
      <c r="Q536" s="37">
        <f>(O536-'02 Config'!$B$10)/P536</f>
        <v/>
      </c>
    </row>
    <row r="537">
      <c r="A537" s="12" t="n">
        <v>532</v>
      </c>
      <c r="B537" s="36" t="n">
        <v>0.7270109059613554</v>
      </c>
      <c r="C537" s="36" t="n">
        <v>0.864074470742149</v>
      </c>
      <c r="D537" s="36" t="n">
        <v>0.1432988392524911</v>
      </c>
      <c r="E537" s="36" t="n">
        <v>0.2883185678104687</v>
      </c>
      <c r="F537" s="36" t="n">
        <v>0.1950294676448273</v>
      </c>
      <c r="G537" s="36" t="n">
        <v>0.02685577692642793</v>
      </c>
      <c r="H537" s="37">
        <f>SUM(B537:G537)</f>
        <v/>
      </c>
      <c r="I537" s="25">
        <f>B537/$H537</f>
        <v/>
      </c>
      <c r="J537" s="25">
        <f>C537/$H537</f>
        <v/>
      </c>
      <c r="K537" s="25">
        <f>D537/$H537</f>
        <v/>
      </c>
      <c r="L537" s="25">
        <f>E537/$H537</f>
        <v/>
      </c>
      <c r="M537" s="25">
        <f>F537/$H537</f>
        <v/>
      </c>
      <c r="N537" s="25">
        <f>G537/$H537</f>
        <v/>
      </c>
      <c r="O537" s="25">
        <f>SUM(MMULT(I537:N537,'07 Annualised Inputs'!$D$7:$D$12))</f>
        <v/>
      </c>
      <c r="P537" s="25">
        <f>SQRT(SUMPRODUCT(MMULT(I537:N537,'07 Annualised Inputs'!$B$17:$G$22),I537:N537))</f>
        <v/>
      </c>
      <c r="Q537" s="37">
        <f>(O537-'02 Config'!$B$10)/P537</f>
        <v/>
      </c>
    </row>
    <row r="538">
      <c r="A538" s="12" t="n">
        <v>533</v>
      </c>
      <c r="B538" s="36" t="n">
        <v>0.5534313698869836</v>
      </c>
      <c r="C538" s="36" t="n">
        <v>0.6999221701376476</v>
      </c>
      <c r="D538" s="36" t="n">
        <v>0.6478774808850705</v>
      </c>
      <c r="E538" s="36" t="n">
        <v>0.3880535473022476</v>
      </c>
      <c r="F538" s="36" t="n">
        <v>0.5550102459399053</v>
      </c>
      <c r="G538" s="36" t="n">
        <v>0.09409930663622468</v>
      </c>
      <c r="H538" s="37">
        <f>SUM(B538:G538)</f>
        <v/>
      </c>
      <c r="I538" s="25">
        <f>B538/$H538</f>
        <v/>
      </c>
      <c r="J538" s="25">
        <f>C538/$H538</f>
        <v/>
      </c>
      <c r="K538" s="25">
        <f>D538/$H538</f>
        <v/>
      </c>
      <c r="L538" s="25">
        <f>E538/$H538</f>
        <v/>
      </c>
      <c r="M538" s="25">
        <f>F538/$H538</f>
        <v/>
      </c>
      <c r="N538" s="25">
        <f>G538/$H538</f>
        <v/>
      </c>
      <c r="O538" s="25">
        <f>SUM(MMULT(I538:N538,'07 Annualised Inputs'!$D$7:$D$12))</f>
        <v/>
      </c>
      <c r="P538" s="25">
        <f>SQRT(SUMPRODUCT(MMULT(I538:N538,'07 Annualised Inputs'!$B$17:$G$22),I538:N538))</f>
        <v/>
      </c>
      <c r="Q538" s="37">
        <f>(O538-'02 Config'!$B$10)/P538</f>
        <v/>
      </c>
    </row>
    <row r="539">
      <c r="A539" s="12" t="n">
        <v>534</v>
      </c>
      <c r="B539" s="36" t="n">
        <v>0.1543037187226844</v>
      </c>
      <c r="C539" s="36" t="n">
        <v>0.9317946195529834</v>
      </c>
      <c r="D539" s="36" t="n">
        <v>0.7615077478198968</v>
      </c>
      <c r="E539" s="36" t="n">
        <v>0.9227390958251673</v>
      </c>
      <c r="F539" s="36" t="n">
        <v>0.9166802844993672</v>
      </c>
      <c r="G539" s="36" t="n">
        <v>0.6493926171077407</v>
      </c>
      <c r="H539" s="37">
        <f>SUM(B539:G539)</f>
        <v/>
      </c>
      <c r="I539" s="25">
        <f>B539/$H539</f>
        <v/>
      </c>
      <c r="J539" s="25">
        <f>C539/$H539</f>
        <v/>
      </c>
      <c r="K539" s="25">
        <f>D539/$H539</f>
        <v/>
      </c>
      <c r="L539" s="25">
        <f>E539/$H539</f>
        <v/>
      </c>
      <c r="M539" s="25">
        <f>F539/$H539</f>
        <v/>
      </c>
      <c r="N539" s="25">
        <f>G539/$H539</f>
        <v/>
      </c>
      <c r="O539" s="25">
        <f>SUM(MMULT(I539:N539,'07 Annualised Inputs'!$D$7:$D$12))</f>
        <v/>
      </c>
      <c r="P539" s="25">
        <f>SQRT(SUMPRODUCT(MMULT(I539:N539,'07 Annualised Inputs'!$B$17:$G$22),I539:N539))</f>
        <v/>
      </c>
      <c r="Q539" s="37">
        <f>(O539-'02 Config'!$B$10)/P539</f>
        <v/>
      </c>
    </row>
    <row r="540">
      <c r="A540" s="12" t="n">
        <v>535</v>
      </c>
      <c r="B540" s="36" t="n">
        <v>0.9282386481121652</v>
      </c>
      <c r="C540" s="36" t="n">
        <v>0.4167041030824632</v>
      </c>
      <c r="D540" s="36" t="n">
        <v>0.003616244784940936</v>
      </c>
      <c r="E540" s="36" t="n">
        <v>0.06257111584615938</v>
      </c>
      <c r="F540" s="36" t="n">
        <v>0.1094873257008152</v>
      </c>
      <c r="G540" s="36" t="n">
        <v>0.09535345318286026</v>
      </c>
      <c r="H540" s="37">
        <f>SUM(B540:G540)</f>
        <v/>
      </c>
      <c r="I540" s="25">
        <f>B540/$H540</f>
        <v/>
      </c>
      <c r="J540" s="25">
        <f>C540/$H540</f>
        <v/>
      </c>
      <c r="K540" s="25">
        <f>D540/$H540</f>
        <v/>
      </c>
      <c r="L540" s="25">
        <f>E540/$H540</f>
        <v/>
      </c>
      <c r="M540" s="25">
        <f>F540/$H540</f>
        <v/>
      </c>
      <c r="N540" s="25">
        <f>G540/$H540</f>
        <v/>
      </c>
      <c r="O540" s="25">
        <f>SUM(MMULT(I540:N540,'07 Annualised Inputs'!$D$7:$D$12))</f>
        <v/>
      </c>
      <c r="P540" s="25">
        <f>SQRT(SUMPRODUCT(MMULT(I540:N540,'07 Annualised Inputs'!$B$17:$G$22),I540:N540))</f>
        <v/>
      </c>
      <c r="Q540" s="37">
        <f>(O540-'02 Config'!$B$10)/P540</f>
        <v/>
      </c>
    </row>
    <row r="541">
      <c r="A541" s="12" t="n">
        <v>536</v>
      </c>
      <c r="B541" s="36" t="n">
        <v>0.3517023908502634</v>
      </c>
      <c r="C541" s="36" t="n">
        <v>0.7012708071093576</v>
      </c>
      <c r="D541" s="36" t="n">
        <v>0.790648806600495</v>
      </c>
      <c r="E541" s="36" t="n">
        <v>0.5902132743446247</v>
      </c>
      <c r="F541" s="36" t="n">
        <v>0.1464361745569795</v>
      </c>
      <c r="G541" s="36" t="n">
        <v>0.7479016021481752</v>
      </c>
      <c r="H541" s="37">
        <f>SUM(B541:G541)</f>
        <v/>
      </c>
      <c r="I541" s="25">
        <f>B541/$H541</f>
        <v/>
      </c>
      <c r="J541" s="25">
        <f>C541/$H541</f>
        <v/>
      </c>
      <c r="K541" s="25">
        <f>D541/$H541</f>
        <v/>
      </c>
      <c r="L541" s="25">
        <f>E541/$H541</f>
        <v/>
      </c>
      <c r="M541" s="25">
        <f>F541/$H541</f>
        <v/>
      </c>
      <c r="N541" s="25">
        <f>G541/$H541</f>
        <v/>
      </c>
      <c r="O541" s="25">
        <f>SUM(MMULT(I541:N541,'07 Annualised Inputs'!$D$7:$D$12))</f>
        <v/>
      </c>
      <c r="P541" s="25">
        <f>SQRT(SUMPRODUCT(MMULT(I541:N541,'07 Annualised Inputs'!$B$17:$G$22),I541:N541))</f>
        <v/>
      </c>
      <c r="Q541" s="37">
        <f>(O541-'02 Config'!$B$10)/P541</f>
        <v/>
      </c>
    </row>
    <row r="542">
      <c r="A542" s="12" t="n">
        <v>537</v>
      </c>
      <c r="B542" s="36" t="n">
        <v>0.354801919137599</v>
      </c>
      <c r="C542" s="36" t="n">
        <v>0.01299334867179625</v>
      </c>
      <c r="D542" s="36" t="n">
        <v>0.2805886205327494</v>
      </c>
      <c r="E542" s="36" t="n">
        <v>0.3306005541409779</v>
      </c>
      <c r="F542" s="36" t="n">
        <v>0.2742455352181029</v>
      </c>
      <c r="G542" s="36" t="n">
        <v>0.8118701531875856</v>
      </c>
      <c r="H542" s="37">
        <f>SUM(B542:G542)</f>
        <v/>
      </c>
      <c r="I542" s="25">
        <f>B542/$H542</f>
        <v/>
      </c>
      <c r="J542" s="25">
        <f>C542/$H542</f>
        <v/>
      </c>
      <c r="K542" s="25">
        <f>D542/$H542</f>
        <v/>
      </c>
      <c r="L542" s="25">
        <f>E542/$H542</f>
        <v/>
      </c>
      <c r="M542" s="25">
        <f>F542/$H542</f>
        <v/>
      </c>
      <c r="N542" s="25">
        <f>G542/$H542</f>
        <v/>
      </c>
      <c r="O542" s="25">
        <f>SUM(MMULT(I542:N542,'07 Annualised Inputs'!$D$7:$D$12))</f>
        <v/>
      </c>
      <c r="P542" s="25">
        <f>SQRT(SUMPRODUCT(MMULT(I542:N542,'07 Annualised Inputs'!$B$17:$G$22),I542:N542))</f>
        <v/>
      </c>
      <c r="Q542" s="37">
        <f>(O542-'02 Config'!$B$10)/P542</f>
        <v/>
      </c>
    </row>
    <row r="543">
      <c r="A543" s="12" t="n">
        <v>538</v>
      </c>
      <c r="B543" s="36" t="n">
        <v>0.7599263975940903</v>
      </c>
      <c r="C543" s="36" t="n">
        <v>0.6955520304126415</v>
      </c>
      <c r="D543" s="36" t="n">
        <v>0.1390050785122653</v>
      </c>
      <c r="E543" s="36" t="n">
        <v>0.807833909706282</v>
      </c>
      <c r="F543" s="36" t="n">
        <v>0.6771759616633237</v>
      </c>
      <c r="G543" s="36" t="n">
        <v>0.1948376864813919</v>
      </c>
      <c r="H543" s="37">
        <f>SUM(B543:G543)</f>
        <v/>
      </c>
      <c r="I543" s="25">
        <f>B543/$H543</f>
        <v/>
      </c>
      <c r="J543" s="25">
        <f>C543/$H543</f>
        <v/>
      </c>
      <c r="K543" s="25">
        <f>D543/$H543</f>
        <v/>
      </c>
      <c r="L543" s="25">
        <f>E543/$H543</f>
        <v/>
      </c>
      <c r="M543" s="25">
        <f>F543/$H543</f>
        <v/>
      </c>
      <c r="N543" s="25">
        <f>G543/$H543</f>
        <v/>
      </c>
      <c r="O543" s="25">
        <f>SUM(MMULT(I543:N543,'07 Annualised Inputs'!$D$7:$D$12))</f>
        <v/>
      </c>
      <c r="P543" s="25">
        <f>SQRT(SUMPRODUCT(MMULT(I543:N543,'07 Annualised Inputs'!$B$17:$G$22),I543:N543))</f>
        <v/>
      </c>
      <c r="Q543" s="37">
        <f>(O543-'02 Config'!$B$10)/P543</f>
        <v/>
      </c>
    </row>
    <row r="544">
      <c r="A544" s="12" t="n">
        <v>539</v>
      </c>
      <c r="B544" s="36" t="n">
        <v>0.6480939302815164</v>
      </c>
      <c r="C544" s="36" t="n">
        <v>0.483511641003681</v>
      </c>
      <c r="D544" s="36" t="n">
        <v>0.439350061856225</v>
      </c>
      <c r="E544" s="36" t="n">
        <v>0.1121231634723888</v>
      </c>
      <c r="F544" s="36" t="n">
        <v>0.5183042758451654</v>
      </c>
      <c r="G544" s="36" t="n">
        <v>0.09993180897236364</v>
      </c>
      <c r="H544" s="37">
        <f>SUM(B544:G544)</f>
        <v/>
      </c>
      <c r="I544" s="25">
        <f>B544/$H544</f>
        <v/>
      </c>
      <c r="J544" s="25">
        <f>C544/$H544</f>
        <v/>
      </c>
      <c r="K544" s="25">
        <f>D544/$H544</f>
        <v/>
      </c>
      <c r="L544" s="25">
        <f>E544/$H544</f>
        <v/>
      </c>
      <c r="M544" s="25">
        <f>F544/$H544</f>
        <v/>
      </c>
      <c r="N544" s="25">
        <f>G544/$H544</f>
        <v/>
      </c>
      <c r="O544" s="25">
        <f>SUM(MMULT(I544:N544,'07 Annualised Inputs'!$D$7:$D$12))</f>
        <v/>
      </c>
      <c r="P544" s="25">
        <f>SQRT(SUMPRODUCT(MMULT(I544:N544,'07 Annualised Inputs'!$B$17:$G$22),I544:N544))</f>
        <v/>
      </c>
      <c r="Q544" s="37">
        <f>(O544-'02 Config'!$B$10)/P544</f>
        <v/>
      </c>
    </row>
    <row r="545">
      <c r="A545" s="12" t="n">
        <v>540</v>
      </c>
      <c r="B545" s="36" t="n">
        <v>0.1642533872542666</v>
      </c>
      <c r="C545" s="36" t="n">
        <v>0.1325463142747627</v>
      </c>
      <c r="D545" s="36" t="n">
        <v>0.9541082790700076</v>
      </c>
      <c r="E545" s="36" t="n">
        <v>0.2848646904438901</v>
      </c>
      <c r="F545" s="36" t="n">
        <v>0.3552043235960077</v>
      </c>
      <c r="G545" s="36" t="n">
        <v>0.3220806062960361</v>
      </c>
      <c r="H545" s="37">
        <f>SUM(B545:G545)</f>
        <v/>
      </c>
      <c r="I545" s="25">
        <f>B545/$H545</f>
        <v/>
      </c>
      <c r="J545" s="25">
        <f>C545/$H545</f>
        <v/>
      </c>
      <c r="K545" s="25">
        <f>D545/$H545</f>
        <v/>
      </c>
      <c r="L545" s="25">
        <f>E545/$H545</f>
        <v/>
      </c>
      <c r="M545" s="25">
        <f>F545/$H545</f>
        <v/>
      </c>
      <c r="N545" s="25">
        <f>G545/$H545</f>
        <v/>
      </c>
      <c r="O545" s="25">
        <f>SUM(MMULT(I545:N545,'07 Annualised Inputs'!$D$7:$D$12))</f>
        <v/>
      </c>
      <c r="P545" s="25">
        <f>SQRT(SUMPRODUCT(MMULT(I545:N545,'07 Annualised Inputs'!$B$17:$G$22),I545:N545))</f>
        <v/>
      </c>
      <c r="Q545" s="37">
        <f>(O545-'02 Config'!$B$10)/P545</f>
        <v/>
      </c>
    </row>
    <row r="546">
      <c r="A546" s="12" t="n">
        <v>541</v>
      </c>
      <c r="B546" s="36" t="n">
        <v>0.8982504451781438</v>
      </c>
      <c r="C546" s="36" t="n">
        <v>0.5629659113348885</v>
      </c>
      <c r="D546" s="36" t="n">
        <v>0.9191598989333117</v>
      </c>
      <c r="E546" s="36" t="n">
        <v>0.2999249058278955</v>
      </c>
      <c r="F546" s="36" t="n">
        <v>0.1148346744319489</v>
      </c>
      <c r="G546" s="36" t="n">
        <v>0.5562184527241746</v>
      </c>
      <c r="H546" s="37">
        <f>SUM(B546:G546)</f>
        <v/>
      </c>
      <c r="I546" s="25">
        <f>B546/$H546</f>
        <v/>
      </c>
      <c r="J546" s="25">
        <f>C546/$H546</f>
        <v/>
      </c>
      <c r="K546" s="25">
        <f>D546/$H546</f>
        <v/>
      </c>
      <c r="L546" s="25">
        <f>E546/$H546</f>
        <v/>
      </c>
      <c r="M546" s="25">
        <f>F546/$H546</f>
        <v/>
      </c>
      <c r="N546" s="25">
        <f>G546/$H546</f>
        <v/>
      </c>
      <c r="O546" s="25">
        <f>SUM(MMULT(I546:N546,'07 Annualised Inputs'!$D$7:$D$12))</f>
        <v/>
      </c>
      <c r="P546" s="25">
        <f>SQRT(SUMPRODUCT(MMULT(I546:N546,'07 Annualised Inputs'!$B$17:$G$22),I546:N546))</f>
        <v/>
      </c>
      <c r="Q546" s="37">
        <f>(O546-'02 Config'!$B$10)/P546</f>
        <v/>
      </c>
    </row>
    <row r="547">
      <c r="A547" s="12" t="n">
        <v>542</v>
      </c>
      <c r="B547" s="36" t="n">
        <v>0.3455369917900175</v>
      </c>
      <c r="C547" s="36" t="n">
        <v>0.8019068334907483</v>
      </c>
      <c r="D547" s="36" t="n">
        <v>0.8794234089116586</v>
      </c>
      <c r="E547" s="36" t="n">
        <v>0.4725735109070718</v>
      </c>
      <c r="F547" s="36" t="n">
        <v>0.9713590240855083</v>
      </c>
      <c r="G547" s="36" t="n">
        <v>0.5530130063444059</v>
      </c>
      <c r="H547" s="37">
        <f>SUM(B547:G547)</f>
        <v/>
      </c>
      <c r="I547" s="25">
        <f>B547/$H547</f>
        <v/>
      </c>
      <c r="J547" s="25">
        <f>C547/$H547</f>
        <v/>
      </c>
      <c r="K547" s="25">
        <f>D547/$H547</f>
        <v/>
      </c>
      <c r="L547" s="25">
        <f>E547/$H547</f>
        <v/>
      </c>
      <c r="M547" s="25">
        <f>F547/$H547</f>
        <v/>
      </c>
      <c r="N547" s="25">
        <f>G547/$H547</f>
        <v/>
      </c>
      <c r="O547" s="25">
        <f>SUM(MMULT(I547:N547,'07 Annualised Inputs'!$D$7:$D$12))</f>
        <v/>
      </c>
      <c r="P547" s="25">
        <f>SQRT(SUMPRODUCT(MMULT(I547:N547,'07 Annualised Inputs'!$B$17:$G$22),I547:N547))</f>
        <v/>
      </c>
      <c r="Q547" s="37">
        <f>(O547-'02 Config'!$B$10)/P547</f>
        <v/>
      </c>
    </row>
    <row r="548">
      <c r="A548" s="12" t="n">
        <v>543</v>
      </c>
      <c r="B548" s="36" t="n">
        <v>0.2709203933863125</v>
      </c>
      <c r="C548" s="36" t="n">
        <v>0.4889755153442745</v>
      </c>
      <c r="D548" s="36" t="n">
        <v>0.0373102924029276</v>
      </c>
      <c r="E548" s="36" t="n">
        <v>0.8040011602630676</v>
      </c>
      <c r="F548" s="36" t="n">
        <v>0.1014350508544209</v>
      </c>
      <c r="G548" s="36" t="n">
        <v>0.308748488503005</v>
      </c>
      <c r="H548" s="37">
        <f>SUM(B548:G548)</f>
        <v/>
      </c>
      <c r="I548" s="25">
        <f>B548/$H548</f>
        <v/>
      </c>
      <c r="J548" s="25">
        <f>C548/$H548</f>
        <v/>
      </c>
      <c r="K548" s="25">
        <f>D548/$H548</f>
        <v/>
      </c>
      <c r="L548" s="25">
        <f>E548/$H548</f>
        <v/>
      </c>
      <c r="M548" s="25">
        <f>F548/$H548</f>
        <v/>
      </c>
      <c r="N548" s="25">
        <f>G548/$H548</f>
        <v/>
      </c>
      <c r="O548" s="25">
        <f>SUM(MMULT(I548:N548,'07 Annualised Inputs'!$D$7:$D$12))</f>
        <v/>
      </c>
      <c r="P548" s="25">
        <f>SQRT(SUMPRODUCT(MMULT(I548:N548,'07 Annualised Inputs'!$B$17:$G$22),I548:N548))</f>
        <v/>
      </c>
      <c r="Q548" s="37">
        <f>(O548-'02 Config'!$B$10)/P548</f>
        <v/>
      </c>
    </row>
    <row r="549">
      <c r="A549" s="12" t="n">
        <v>544</v>
      </c>
      <c r="B549" s="36" t="n">
        <v>0.5653165470049434</v>
      </c>
      <c r="C549" s="36" t="n">
        <v>0.04297512564689887</v>
      </c>
      <c r="D549" s="36" t="n">
        <v>0.07931689918144824</v>
      </c>
      <c r="E549" s="36" t="n">
        <v>0.6961163576130128</v>
      </c>
      <c r="F549" s="36" t="n">
        <v>0.07177709306076874</v>
      </c>
      <c r="G549" s="36" t="n">
        <v>0.4770828662473765</v>
      </c>
      <c r="H549" s="37">
        <f>SUM(B549:G549)</f>
        <v/>
      </c>
      <c r="I549" s="25">
        <f>B549/$H549</f>
        <v/>
      </c>
      <c r="J549" s="25">
        <f>C549/$H549</f>
        <v/>
      </c>
      <c r="K549" s="25">
        <f>D549/$H549</f>
        <v/>
      </c>
      <c r="L549" s="25">
        <f>E549/$H549</f>
        <v/>
      </c>
      <c r="M549" s="25">
        <f>F549/$H549</f>
        <v/>
      </c>
      <c r="N549" s="25">
        <f>G549/$H549</f>
        <v/>
      </c>
      <c r="O549" s="25">
        <f>SUM(MMULT(I549:N549,'07 Annualised Inputs'!$D$7:$D$12))</f>
        <v/>
      </c>
      <c r="P549" s="25">
        <f>SQRT(SUMPRODUCT(MMULT(I549:N549,'07 Annualised Inputs'!$B$17:$G$22),I549:N549))</f>
        <v/>
      </c>
      <c r="Q549" s="37">
        <f>(O549-'02 Config'!$B$10)/P549</f>
        <v/>
      </c>
    </row>
    <row r="550">
      <c r="A550" s="12" t="n">
        <v>545</v>
      </c>
      <c r="B550" s="36" t="n">
        <v>0.3386956334207504</v>
      </c>
      <c r="C550" s="36" t="n">
        <v>0.2280794079564165</v>
      </c>
      <c r="D550" s="36" t="n">
        <v>0.1887788978636654</v>
      </c>
      <c r="E550" s="36" t="n">
        <v>0.7634112937325794</v>
      </c>
      <c r="F550" s="36" t="n">
        <v>0.9515421931502825</v>
      </c>
      <c r="G550" s="36" t="n">
        <v>0.1401797422033317</v>
      </c>
      <c r="H550" s="37">
        <f>SUM(B550:G550)</f>
        <v/>
      </c>
      <c r="I550" s="25">
        <f>B550/$H550</f>
        <v/>
      </c>
      <c r="J550" s="25">
        <f>C550/$H550</f>
        <v/>
      </c>
      <c r="K550" s="25">
        <f>D550/$H550</f>
        <v/>
      </c>
      <c r="L550" s="25">
        <f>E550/$H550</f>
        <v/>
      </c>
      <c r="M550" s="25">
        <f>F550/$H550</f>
        <v/>
      </c>
      <c r="N550" s="25">
        <f>G550/$H550</f>
        <v/>
      </c>
      <c r="O550" s="25">
        <f>SUM(MMULT(I550:N550,'07 Annualised Inputs'!$D$7:$D$12))</f>
        <v/>
      </c>
      <c r="P550" s="25">
        <f>SQRT(SUMPRODUCT(MMULT(I550:N550,'07 Annualised Inputs'!$B$17:$G$22),I550:N550))</f>
        <v/>
      </c>
      <c r="Q550" s="37">
        <f>(O550-'02 Config'!$B$10)/P550</f>
        <v/>
      </c>
    </row>
    <row r="551">
      <c r="A551" s="12" t="n">
        <v>546</v>
      </c>
      <c r="B551" s="36" t="n">
        <v>0.959681219174127</v>
      </c>
      <c r="C551" s="36" t="n">
        <v>0.5947625034751037</v>
      </c>
      <c r="D551" s="36" t="n">
        <v>0.6416604053632571</v>
      </c>
      <c r="E551" s="36" t="n">
        <v>0.7099263781425819</v>
      </c>
      <c r="F551" s="36" t="n">
        <v>0.704118890354581</v>
      </c>
      <c r="G551" s="36" t="n">
        <v>0.8198111081856883</v>
      </c>
      <c r="H551" s="37">
        <f>SUM(B551:G551)</f>
        <v/>
      </c>
      <c r="I551" s="25">
        <f>B551/$H551</f>
        <v/>
      </c>
      <c r="J551" s="25">
        <f>C551/$H551</f>
        <v/>
      </c>
      <c r="K551" s="25">
        <f>D551/$H551</f>
        <v/>
      </c>
      <c r="L551" s="25">
        <f>E551/$H551</f>
        <v/>
      </c>
      <c r="M551" s="25">
        <f>F551/$H551</f>
        <v/>
      </c>
      <c r="N551" s="25">
        <f>G551/$H551</f>
        <v/>
      </c>
      <c r="O551" s="25">
        <f>SUM(MMULT(I551:N551,'07 Annualised Inputs'!$D$7:$D$12))</f>
        <v/>
      </c>
      <c r="P551" s="25">
        <f>SQRT(SUMPRODUCT(MMULT(I551:N551,'07 Annualised Inputs'!$B$17:$G$22),I551:N551))</f>
        <v/>
      </c>
      <c r="Q551" s="37">
        <f>(O551-'02 Config'!$B$10)/P551</f>
        <v/>
      </c>
    </row>
    <row r="552">
      <c r="A552" s="12" t="n">
        <v>547</v>
      </c>
      <c r="B552" s="36" t="n">
        <v>0.4834686513476975</v>
      </c>
      <c r="C552" s="36" t="n">
        <v>0.5333585875147011</v>
      </c>
      <c r="D552" s="36" t="n">
        <v>0.3238270024634159</v>
      </c>
      <c r="E552" s="36" t="n">
        <v>0.1052575937831171</v>
      </c>
      <c r="F552" s="36" t="n">
        <v>0.6646401909262191</v>
      </c>
      <c r="G552" s="36" t="n">
        <v>0.03360996918625092</v>
      </c>
      <c r="H552" s="37">
        <f>SUM(B552:G552)</f>
        <v/>
      </c>
      <c r="I552" s="25">
        <f>B552/$H552</f>
        <v/>
      </c>
      <c r="J552" s="25">
        <f>C552/$H552</f>
        <v/>
      </c>
      <c r="K552" s="25">
        <f>D552/$H552</f>
        <v/>
      </c>
      <c r="L552" s="25">
        <f>E552/$H552</f>
        <v/>
      </c>
      <c r="M552" s="25">
        <f>F552/$H552</f>
        <v/>
      </c>
      <c r="N552" s="25">
        <f>G552/$H552</f>
        <v/>
      </c>
      <c r="O552" s="25">
        <f>SUM(MMULT(I552:N552,'07 Annualised Inputs'!$D$7:$D$12))</f>
        <v/>
      </c>
      <c r="P552" s="25">
        <f>SQRT(SUMPRODUCT(MMULT(I552:N552,'07 Annualised Inputs'!$B$17:$G$22),I552:N552))</f>
        <v/>
      </c>
      <c r="Q552" s="37">
        <f>(O552-'02 Config'!$B$10)/P552</f>
        <v/>
      </c>
    </row>
    <row r="553">
      <c r="A553" s="12" t="n">
        <v>548</v>
      </c>
      <c r="B553" s="36" t="n">
        <v>0.2756350510833683</v>
      </c>
      <c r="C553" s="36" t="n">
        <v>0.09422986444610026</v>
      </c>
      <c r="D553" s="36" t="n">
        <v>0.1907271573227181</v>
      </c>
      <c r="E553" s="36" t="n">
        <v>0.6387309128973808</v>
      </c>
      <c r="F553" s="36" t="n">
        <v>0.6284766302049182</v>
      </c>
      <c r="G553" s="36" t="n">
        <v>0.4210549129957121</v>
      </c>
      <c r="H553" s="37">
        <f>SUM(B553:G553)</f>
        <v/>
      </c>
      <c r="I553" s="25">
        <f>B553/$H553</f>
        <v/>
      </c>
      <c r="J553" s="25">
        <f>C553/$H553</f>
        <v/>
      </c>
      <c r="K553" s="25">
        <f>D553/$H553</f>
        <v/>
      </c>
      <c r="L553" s="25">
        <f>E553/$H553</f>
        <v/>
      </c>
      <c r="M553" s="25">
        <f>F553/$H553</f>
        <v/>
      </c>
      <c r="N553" s="25">
        <f>G553/$H553</f>
        <v/>
      </c>
      <c r="O553" s="25">
        <f>SUM(MMULT(I553:N553,'07 Annualised Inputs'!$D$7:$D$12))</f>
        <v/>
      </c>
      <c r="P553" s="25">
        <f>SQRT(SUMPRODUCT(MMULT(I553:N553,'07 Annualised Inputs'!$B$17:$G$22),I553:N553))</f>
        <v/>
      </c>
      <c r="Q553" s="37">
        <f>(O553-'02 Config'!$B$10)/P553</f>
        <v/>
      </c>
    </row>
    <row r="554">
      <c r="A554" s="12" t="n">
        <v>549</v>
      </c>
      <c r="B554" s="36" t="n">
        <v>0.09017197648949116</v>
      </c>
      <c r="C554" s="36" t="n">
        <v>0.4333739164594084</v>
      </c>
      <c r="D554" s="36" t="n">
        <v>0.3527448718582934</v>
      </c>
      <c r="E554" s="36" t="n">
        <v>0.7204591528559497</v>
      </c>
      <c r="F554" s="36" t="n">
        <v>0.5790266081990517</v>
      </c>
      <c r="G554" s="36" t="n">
        <v>0.491565767336999</v>
      </c>
      <c r="H554" s="37">
        <f>SUM(B554:G554)</f>
        <v/>
      </c>
      <c r="I554" s="25">
        <f>B554/$H554</f>
        <v/>
      </c>
      <c r="J554" s="25">
        <f>C554/$H554</f>
        <v/>
      </c>
      <c r="K554" s="25">
        <f>D554/$H554</f>
        <v/>
      </c>
      <c r="L554" s="25">
        <f>E554/$H554</f>
        <v/>
      </c>
      <c r="M554" s="25">
        <f>F554/$H554</f>
        <v/>
      </c>
      <c r="N554" s="25">
        <f>G554/$H554</f>
        <v/>
      </c>
      <c r="O554" s="25">
        <f>SUM(MMULT(I554:N554,'07 Annualised Inputs'!$D$7:$D$12))</f>
        <v/>
      </c>
      <c r="P554" s="25">
        <f>SQRT(SUMPRODUCT(MMULT(I554:N554,'07 Annualised Inputs'!$B$17:$G$22),I554:N554))</f>
        <v/>
      </c>
      <c r="Q554" s="37">
        <f>(O554-'02 Config'!$B$10)/P554</f>
        <v/>
      </c>
    </row>
    <row r="555">
      <c r="A555" s="12" t="n">
        <v>550</v>
      </c>
      <c r="B555" s="36" t="n">
        <v>0.4869820823049952</v>
      </c>
      <c r="C555" s="36" t="n">
        <v>0.9662968872604188</v>
      </c>
      <c r="D555" s="36" t="n">
        <v>0.7562942217034505</v>
      </c>
      <c r="E555" s="36" t="n">
        <v>0.4969795604601278</v>
      </c>
      <c r="F555" s="36" t="n">
        <v>0.4792226128889776</v>
      </c>
      <c r="G555" s="36" t="n">
        <v>0.02647910130496345</v>
      </c>
      <c r="H555" s="37">
        <f>SUM(B555:G555)</f>
        <v/>
      </c>
      <c r="I555" s="25">
        <f>B555/$H555</f>
        <v/>
      </c>
      <c r="J555" s="25">
        <f>C555/$H555</f>
        <v/>
      </c>
      <c r="K555" s="25">
        <f>D555/$H555</f>
        <v/>
      </c>
      <c r="L555" s="25">
        <f>E555/$H555</f>
        <v/>
      </c>
      <c r="M555" s="25">
        <f>F555/$H555</f>
        <v/>
      </c>
      <c r="N555" s="25">
        <f>G555/$H555</f>
        <v/>
      </c>
      <c r="O555" s="25">
        <f>SUM(MMULT(I555:N555,'07 Annualised Inputs'!$D$7:$D$12))</f>
        <v/>
      </c>
      <c r="P555" s="25">
        <f>SQRT(SUMPRODUCT(MMULT(I555:N555,'07 Annualised Inputs'!$B$17:$G$22),I555:N555))</f>
        <v/>
      </c>
      <c r="Q555" s="37">
        <f>(O555-'02 Config'!$B$10)/P555</f>
        <v/>
      </c>
    </row>
    <row r="556">
      <c r="A556" s="12" t="n">
        <v>551</v>
      </c>
      <c r="B556" s="36" t="n">
        <v>0.9425092633198067</v>
      </c>
      <c r="C556" s="36" t="n">
        <v>0.3191739717673296</v>
      </c>
      <c r="D556" s="36" t="n">
        <v>0.2559390818807438</v>
      </c>
      <c r="E556" s="36" t="n">
        <v>0.9994089253876713</v>
      </c>
      <c r="F556" s="36" t="n">
        <v>0.7186896715045245</v>
      </c>
      <c r="G556" s="36" t="n">
        <v>0.04736377329928798</v>
      </c>
      <c r="H556" s="37">
        <f>SUM(B556:G556)</f>
        <v/>
      </c>
      <c r="I556" s="25">
        <f>B556/$H556</f>
        <v/>
      </c>
      <c r="J556" s="25">
        <f>C556/$H556</f>
        <v/>
      </c>
      <c r="K556" s="25">
        <f>D556/$H556</f>
        <v/>
      </c>
      <c r="L556" s="25">
        <f>E556/$H556</f>
        <v/>
      </c>
      <c r="M556" s="25">
        <f>F556/$H556</f>
        <v/>
      </c>
      <c r="N556" s="25">
        <f>G556/$H556</f>
        <v/>
      </c>
      <c r="O556" s="25">
        <f>SUM(MMULT(I556:N556,'07 Annualised Inputs'!$D$7:$D$12))</f>
        <v/>
      </c>
      <c r="P556" s="25">
        <f>SQRT(SUMPRODUCT(MMULT(I556:N556,'07 Annualised Inputs'!$B$17:$G$22),I556:N556))</f>
        <v/>
      </c>
      <c r="Q556" s="37">
        <f>(O556-'02 Config'!$B$10)/P556</f>
        <v/>
      </c>
    </row>
    <row r="557">
      <c r="A557" s="12" t="n">
        <v>552</v>
      </c>
      <c r="B557" s="36" t="n">
        <v>0.06188547702557645</v>
      </c>
      <c r="C557" s="36" t="n">
        <v>0.02550156396019787</v>
      </c>
      <c r="D557" s="36" t="n">
        <v>0.5996188995128691</v>
      </c>
      <c r="E557" s="36" t="n">
        <v>0.07156450006195181</v>
      </c>
      <c r="F557" s="36" t="n">
        <v>0.9333883568449306</v>
      </c>
      <c r="G557" s="36" t="n">
        <v>0.9369065400226779</v>
      </c>
      <c r="H557" s="37">
        <f>SUM(B557:G557)</f>
        <v/>
      </c>
      <c r="I557" s="25">
        <f>B557/$H557</f>
        <v/>
      </c>
      <c r="J557" s="25">
        <f>C557/$H557</f>
        <v/>
      </c>
      <c r="K557" s="25">
        <f>D557/$H557</f>
        <v/>
      </c>
      <c r="L557" s="25">
        <f>E557/$H557</f>
        <v/>
      </c>
      <c r="M557" s="25">
        <f>F557/$H557</f>
        <v/>
      </c>
      <c r="N557" s="25">
        <f>G557/$H557</f>
        <v/>
      </c>
      <c r="O557" s="25">
        <f>SUM(MMULT(I557:N557,'07 Annualised Inputs'!$D$7:$D$12))</f>
        <v/>
      </c>
      <c r="P557" s="25">
        <f>SQRT(SUMPRODUCT(MMULT(I557:N557,'07 Annualised Inputs'!$B$17:$G$22),I557:N557))</f>
        <v/>
      </c>
      <c r="Q557" s="37">
        <f>(O557-'02 Config'!$B$10)/P557</f>
        <v/>
      </c>
    </row>
    <row r="558">
      <c r="A558" s="12" t="n">
        <v>553</v>
      </c>
      <c r="B558" s="36" t="n">
        <v>0.5460540667480798</v>
      </c>
      <c r="C558" s="36" t="n">
        <v>0.6166389313959508</v>
      </c>
      <c r="D558" s="36" t="n">
        <v>0.2918944015252498</v>
      </c>
      <c r="E558" s="36" t="n">
        <v>0.06397254240827333</v>
      </c>
      <c r="F558" s="36" t="n">
        <v>0.7374604451918155</v>
      </c>
      <c r="G558" s="36" t="n">
        <v>0.1017859887490175</v>
      </c>
      <c r="H558" s="37">
        <f>SUM(B558:G558)</f>
        <v/>
      </c>
      <c r="I558" s="25">
        <f>B558/$H558</f>
        <v/>
      </c>
      <c r="J558" s="25">
        <f>C558/$H558</f>
        <v/>
      </c>
      <c r="K558" s="25">
        <f>D558/$H558</f>
        <v/>
      </c>
      <c r="L558" s="25">
        <f>E558/$H558</f>
        <v/>
      </c>
      <c r="M558" s="25">
        <f>F558/$H558</f>
        <v/>
      </c>
      <c r="N558" s="25">
        <f>G558/$H558</f>
        <v/>
      </c>
      <c r="O558" s="25">
        <f>SUM(MMULT(I558:N558,'07 Annualised Inputs'!$D$7:$D$12))</f>
        <v/>
      </c>
      <c r="P558" s="25">
        <f>SQRT(SUMPRODUCT(MMULT(I558:N558,'07 Annualised Inputs'!$B$17:$G$22),I558:N558))</f>
        <v/>
      </c>
      <c r="Q558" s="37">
        <f>(O558-'02 Config'!$B$10)/P558</f>
        <v/>
      </c>
    </row>
    <row r="559">
      <c r="A559" s="12" t="n">
        <v>554</v>
      </c>
      <c r="B559" s="36" t="n">
        <v>0.08555764101839314</v>
      </c>
      <c r="C559" s="36" t="n">
        <v>0.3112231092042238</v>
      </c>
      <c r="D559" s="36" t="n">
        <v>0.01246565983788206</v>
      </c>
      <c r="E559" s="36" t="n">
        <v>0.434035615756316</v>
      </c>
      <c r="F559" s="36" t="n">
        <v>0.7076809100800767</v>
      </c>
      <c r="G559" s="36" t="n">
        <v>0.801348931421939</v>
      </c>
      <c r="H559" s="37">
        <f>SUM(B559:G559)</f>
        <v/>
      </c>
      <c r="I559" s="25">
        <f>B559/$H559</f>
        <v/>
      </c>
      <c r="J559" s="25">
        <f>C559/$H559</f>
        <v/>
      </c>
      <c r="K559" s="25">
        <f>D559/$H559</f>
        <v/>
      </c>
      <c r="L559" s="25">
        <f>E559/$H559</f>
        <v/>
      </c>
      <c r="M559" s="25">
        <f>F559/$H559</f>
        <v/>
      </c>
      <c r="N559" s="25">
        <f>G559/$H559</f>
        <v/>
      </c>
      <c r="O559" s="25">
        <f>SUM(MMULT(I559:N559,'07 Annualised Inputs'!$D$7:$D$12))</f>
        <v/>
      </c>
      <c r="P559" s="25">
        <f>SQRT(SUMPRODUCT(MMULT(I559:N559,'07 Annualised Inputs'!$B$17:$G$22),I559:N559))</f>
        <v/>
      </c>
      <c r="Q559" s="37">
        <f>(O559-'02 Config'!$B$10)/P559</f>
        <v/>
      </c>
    </row>
    <row r="560">
      <c r="A560" s="12" t="n">
        <v>555</v>
      </c>
      <c r="B560" s="36" t="n">
        <v>0.6043073037989213</v>
      </c>
      <c r="C560" s="36" t="n">
        <v>0.8468742031139126</v>
      </c>
      <c r="D560" s="36" t="n">
        <v>0.4065022037671103</v>
      </c>
      <c r="E560" s="36" t="n">
        <v>0.8487720850604766</v>
      </c>
      <c r="F560" s="36" t="n">
        <v>0.5064733104983793</v>
      </c>
      <c r="G560" s="36" t="n">
        <v>0.2230361279982953</v>
      </c>
      <c r="H560" s="37">
        <f>SUM(B560:G560)</f>
        <v/>
      </c>
      <c r="I560" s="25">
        <f>B560/$H560</f>
        <v/>
      </c>
      <c r="J560" s="25">
        <f>C560/$H560</f>
        <v/>
      </c>
      <c r="K560" s="25">
        <f>D560/$H560</f>
        <v/>
      </c>
      <c r="L560" s="25">
        <f>E560/$H560</f>
        <v/>
      </c>
      <c r="M560" s="25">
        <f>F560/$H560</f>
        <v/>
      </c>
      <c r="N560" s="25">
        <f>G560/$H560</f>
        <v/>
      </c>
      <c r="O560" s="25">
        <f>SUM(MMULT(I560:N560,'07 Annualised Inputs'!$D$7:$D$12))</f>
        <v/>
      </c>
      <c r="P560" s="25">
        <f>SQRT(SUMPRODUCT(MMULT(I560:N560,'07 Annualised Inputs'!$B$17:$G$22),I560:N560))</f>
        <v/>
      </c>
      <c r="Q560" s="37">
        <f>(O560-'02 Config'!$B$10)/P560</f>
        <v/>
      </c>
    </row>
    <row r="561">
      <c r="A561" s="12" t="n">
        <v>556</v>
      </c>
      <c r="B561" s="36" t="n">
        <v>0.944145646660466</v>
      </c>
      <c r="C561" s="36" t="n">
        <v>0.2749708738371165</v>
      </c>
      <c r="D561" s="36" t="n">
        <v>0.02620148418779311</v>
      </c>
      <c r="E561" s="36" t="n">
        <v>0.2426740429550269</v>
      </c>
      <c r="F561" s="36" t="n">
        <v>0.3666875612574277</v>
      </c>
      <c r="G561" s="36" t="n">
        <v>0.3513496832892641</v>
      </c>
      <c r="H561" s="37">
        <f>SUM(B561:G561)</f>
        <v/>
      </c>
      <c r="I561" s="25">
        <f>B561/$H561</f>
        <v/>
      </c>
      <c r="J561" s="25">
        <f>C561/$H561</f>
        <v/>
      </c>
      <c r="K561" s="25">
        <f>D561/$H561</f>
        <v/>
      </c>
      <c r="L561" s="25">
        <f>E561/$H561</f>
        <v/>
      </c>
      <c r="M561" s="25">
        <f>F561/$H561</f>
        <v/>
      </c>
      <c r="N561" s="25">
        <f>G561/$H561</f>
        <v/>
      </c>
      <c r="O561" s="25">
        <f>SUM(MMULT(I561:N561,'07 Annualised Inputs'!$D$7:$D$12))</f>
        <v/>
      </c>
      <c r="P561" s="25">
        <f>SQRT(SUMPRODUCT(MMULT(I561:N561,'07 Annualised Inputs'!$B$17:$G$22),I561:N561))</f>
        <v/>
      </c>
      <c r="Q561" s="37">
        <f>(O561-'02 Config'!$B$10)/P561</f>
        <v/>
      </c>
    </row>
    <row r="562">
      <c r="A562" s="12" t="n">
        <v>557</v>
      </c>
      <c r="B562" s="36" t="n">
        <v>0.5246675094435717</v>
      </c>
      <c r="C562" s="36" t="n">
        <v>0.8831268820359235</v>
      </c>
      <c r="D562" s="36" t="n">
        <v>0.2923382271096991</v>
      </c>
      <c r="E562" s="36" t="n">
        <v>0.5207706079591689</v>
      </c>
      <c r="F562" s="36" t="n">
        <v>0.3401389536884794</v>
      </c>
      <c r="G562" s="36" t="n">
        <v>0.8217730593732004</v>
      </c>
      <c r="H562" s="37">
        <f>SUM(B562:G562)</f>
        <v/>
      </c>
      <c r="I562" s="25">
        <f>B562/$H562</f>
        <v/>
      </c>
      <c r="J562" s="25">
        <f>C562/$H562</f>
        <v/>
      </c>
      <c r="K562" s="25">
        <f>D562/$H562</f>
        <v/>
      </c>
      <c r="L562" s="25">
        <f>E562/$H562</f>
        <v/>
      </c>
      <c r="M562" s="25">
        <f>F562/$H562</f>
        <v/>
      </c>
      <c r="N562" s="25">
        <f>G562/$H562</f>
        <v/>
      </c>
      <c r="O562" s="25">
        <f>SUM(MMULT(I562:N562,'07 Annualised Inputs'!$D$7:$D$12))</f>
        <v/>
      </c>
      <c r="P562" s="25">
        <f>SQRT(SUMPRODUCT(MMULT(I562:N562,'07 Annualised Inputs'!$B$17:$G$22),I562:N562))</f>
        <v/>
      </c>
      <c r="Q562" s="37">
        <f>(O562-'02 Config'!$B$10)/P562</f>
        <v/>
      </c>
    </row>
    <row r="563">
      <c r="A563" s="12" t="n">
        <v>558</v>
      </c>
      <c r="B563" s="36" t="n">
        <v>0.1576015132884784</v>
      </c>
      <c r="C563" s="36" t="n">
        <v>0.1035102683100585</v>
      </c>
      <c r="D563" s="36" t="n">
        <v>0.5029952532376017</v>
      </c>
      <c r="E563" s="36" t="n">
        <v>0.6718875857654919</v>
      </c>
      <c r="F563" s="36" t="n">
        <v>0.7955252010907665</v>
      </c>
      <c r="G563" s="36" t="n">
        <v>0.5896248529053164</v>
      </c>
      <c r="H563" s="37">
        <f>SUM(B563:G563)</f>
        <v/>
      </c>
      <c r="I563" s="25">
        <f>B563/$H563</f>
        <v/>
      </c>
      <c r="J563" s="25">
        <f>C563/$H563</f>
        <v/>
      </c>
      <c r="K563" s="25">
        <f>D563/$H563</f>
        <v/>
      </c>
      <c r="L563" s="25">
        <f>E563/$H563</f>
        <v/>
      </c>
      <c r="M563" s="25">
        <f>F563/$H563</f>
        <v/>
      </c>
      <c r="N563" s="25">
        <f>G563/$H563</f>
        <v/>
      </c>
      <c r="O563" s="25">
        <f>SUM(MMULT(I563:N563,'07 Annualised Inputs'!$D$7:$D$12))</f>
        <v/>
      </c>
      <c r="P563" s="25">
        <f>SQRT(SUMPRODUCT(MMULT(I563:N563,'07 Annualised Inputs'!$B$17:$G$22),I563:N563))</f>
        <v/>
      </c>
      <c r="Q563" s="37">
        <f>(O563-'02 Config'!$B$10)/P563</f>
        <v/>
      </c>
    </row>
    <row r="564">
      <c r="A564" s="12" t="n">
        <v>559</v>
      </c>
      <c r="B564" s="36" t="n">
        <v>0.7738497613190006</v>
      </c>
      <c r="C564" s="36" t="n">
        <v>0.3927100585609238</v>
      </c>
      <c r="D564" s="36" t="n">
        <v>0.03286767026646897</v>
      </c>
      <c r="E564" s="36" t="n">
        <v>0.1160993079015565</v>
      </c>
      <c r="F564" s="36" t="n">
        <v>0.03872260122899618</v>
      </c>
      <c r="G564" s="36" t="n">
        <v>0.3289436504764927</v>
      </c>
      <c r="H564" s="37">
        <f>SUM(B564:G564)</f>
        <v/>
      </c>
      <c r="I564" s="25">
        <f>B564/$H564</f>
        <v/>
      </c>
      <c r="J564" s="25">
        <f>C564/$H564</f>
        <v/>
      </c>
      <c r="K564" s="25">
        <f>D564/$H564</f>
        <v/>
      </c>
      <c r="L564" s="25">
        <f>E564/$H564</f>
        <v/>
      </c>
      <c r="M564" s="25">
        <f>F564/$H564</f>
        <v/>
      </c>
      <c r="N564" s="25">
        <f>G564/$H564</f>
        <v/>
      </c>
      <c r="O564" s="25">
        <f>SUM(MMULT(I564:N564,'07 Annualised Inputs'!$D$7:$D$12))</f>
        <v/>
      </c>
      <c r="P564" s="25">
        <f>SQRT(SUMPRODUCT(MMULT(I564:N564,'07 Annualised Inputs'!$B$17:$G$22),I564:N564))</f>
        <v/>
      </c>
      <c r="Q564" s="37">
        <f>(O564-'02 Config'!$B$10)/P564</f>
        <v/>
      </c>
    </row>
    <row r="565">
      <c r="A565" s="12" t="n">
        <v>560</v>
      </c>
      <c r="B565" s="36" t="n">
        <v>0.4954913412686823</v>
      </c>
      <c r="C565" s="36" t="n">
        <v>0.3563174836569394</v>
      </c>
      <c r="D565" s="36" t="n">
        <v>0.5605994750663922</v>
      </c>
      <c r="E565" s="36" t="n">
        <v>0.4806091484927877</v>
      </c>
      <c r="F565" s="36" t="n">
        <v>0.6779428018639403</v>
      </c>
      <c r="G565" s="36" t="n">
        <v>0.6669621635634062</v>
      </c>
      <c r="H565" s="37">
        <f>SUM(B565:G565)</f>
        <v/>
      </c>
      <c r="I565" s="25">
        <f>B565/$H565</f>
        <v/>
      </c>
      <c r="J565" s="25">
        <f>C565/$H565</f>
        <v/>
      </c>
      <c r="K565" s="25">
        <f>D565/$H565</f>
        <v/>
      </c>
      <c r="L565" s="25">
        <f>E565/$H565</f>
        <v/>
      </c>
      <c r="M565" s="25">
        <f>F565/$H565</f>
        <v/>
      </c>
      <c r="N565" s="25">
        <f>G565/$H565</f>
        <v/>
      </c>
      <c r="O565" s="25">
        <f>SUM(MMULT(I565:N565,'07 Annualised Inputs'!$D$7:$D$12))</f>
        <v/>
      </c>
      <c r="P565" s="25">
        <f>SQRT(SUMPRODUCT(MMULT(I565:N565,'07 Annualised Inputs'!$B$17:$G$22),I565:N565))</f>
        <v/>
      </c>
      <c r="Q565" s="37">
        <f>(O565-'02 Config'!$B$10)/P565</f>
        <v/>
      </c>
    </row>
    <row r="566">
      <c r="A566" s="12" t="n">
        <v>561</v>
      </c>
      <c r="B566" s="36" t="n">
        <v>0.3180641471086795</v>
      </c>
      <c r="C566" s="36" t="n">
        <v>0.3462144553610915</v>
      </c>
      <c r="D566" s="36" t="n">
        <v>0.5851478216413033</v>
      </c>
      <c r="E566" s="36" t="n">
        <v>0.5964324678908418</v>
      </c>
      <c r="F566" s="36" t="n">
        <v>0.3146999136371331</v>
      </c>
      <c r="G566" s="36" t="n">
        <v>0.3303178857754252</v>
      </c>
      <c r="H566" s="37">
        <f>SUM(B566:G566)</f>
        <v/>
      </c>
      <c r="I566" s="25">
        <f>B566/$H566</f>
        <v/>
      </c>
      <c r="J566" s="25">
        <f>C566/$H566</f>
        <v/>
      </c>
      <c r="K566" s="25">
        <f>D566/$H566</f>
        <v/>
      </c>
      <c r="L566" s="25">
        <f>E566/$H566</f>
        <v/>
      </c>
      <c r="M566" s="25">
        <f>F566/$H566</f>
        <v/>
      </c>
      <c r="N566" s="25">
        <f>G566/$H566</f>
        <v/>
      </c>
      <c r="O566" s="25">
        <f>SUM(MMULT(I566:N566,'07 Annualised Inputs'!$D$7:$D$12))</f>
        <v/>
      </c>
      <c r="P566" s="25">
        <f>SQRT(SUMPRODUCT(MMULT(I566:N566,'07 Annualised Inputs'!$B$17:$G$22),I566:N566))</f>
        <v/>
      </c>
      <c r="Q566" s="37">
        <f>(O566-'02 Config'!$B$10)/P566</f>
        <v/>
      </c>
    </row>
    <row r="567">
      <c r="A567" s="12" t="n">
        <v>562</v>
      </c>
      <c r="B567" s="36" t="n">
        <v>0.6940450131861471</v>
      </c>
      <c r="C567" s="36" t="n">
        <v>0.6474108228760695</v>
      </c>
      <c r="D567" s="36" t="n">
        <v>0.1350508046797747</v>
      </c>
      <c r="E567" s="36" t="n">
        <v>0.4410418796753934</v>
      </c>
      <c r="F567" s="36" t="n">
        <v>0.8927060787105903</v>
      </c>
      <c r="G567" s="36" t="n">
        <v>0.03630567610447522</v>
      </c>
      <c r="H567" s="37">
        <f>SUM(B567:G567)</f>
        <v/>
      </c>
      <c r="I567" s="25">
        <f>B567/$H567</f>
        <v/>
      </c>
      <c r="J567" s="25">
        <f>C567/$H567</f>
        <v/>
      </c>
      <c r="K567" s="25">
        <f>D567/$H567</f>
        <v/>
      </c>
      <c r="L567" s="25">
        <f>E567/$H567</f>
        <v/>
      </c>
      <c r="M567" s="25">
        <f>F567/$H567</f>
        <v/>
      </c>
      <c r="N567" s="25">
        <f>G567/$H567</f>
        <v/>
      </c>
      <c r="O567" s="25">
        <f>SUM(MMULT(I567:N567,'07 Annualised Inputs'!$D$7:$D$12))</f>
        <v/>
      </c>
      <c r="P567" s="25">
        <f>SQRT(SUMPRODUCT(MMULT(I567:N567,'07 Annualised Inputs'!$B$17:$G$22),I567:N567))</f>
        <v/>
      </c>
      <c r="Q567" s="37">
        <f>(O567-'02 Config'!$B$10)/P567</f>
        <v/>
      </c>
    </row>
    <row r="568">
      <c r="A568" s="12" t="n">
        <v>563</v>
      </c>
      <c r="B568" s="36" t="n">
        <v>0.8551639464842137</v>
      </c>
      <c r="C568" s="36" t="n">
        <v>0.1631781570641436</v>
      </c>
      <c r="D568" s="36" t="n">
        <v>0.5072486324617159</v>
      </c>
      <c r="E568" s="36" t="n">
        <v>0.4243364289230115</v>
      </c>
      <c r="F568" s="36" t="n">
        <v>0.01012933734145882</v>
      </c>
      <c r="G568" s="36" t="n">
        <v>0.915396937089632</v>
      </c>
      <c r="H568" s="37">
        <f>SUM(B568:G568)</f>
        <v/>
      </c>
      <c r="I568" s="25">
        <f>B568/$H568</f>
        <v/>
      </c>
      <c r="J568" s="25">
        <f>C568/$H568</f>
        <v/>
      </c>
      <c r="K568" s="25">
        <f>D568/$H568</f>
        <v/>
      </c>
      <c r="L568" s="25">
        <f>E568/$H568</f>
        <v/>
      </c>
      <c r="M568" s="25">
        <f>F568/$H568</f>
        <v/>
      </c>
      <c r="N568" s="25">
        <f>G568/$H568</f>
        <v/>
      </c>
      <c r="O568" s="25">
        <f>SUM(MMULT(I568:N568,'07 Annualised Inputs'!$D$7:$D$12))</f>
        <v/>
      </c>
      <c r="P568" s="25">
        <f>SQRT(SUMPRODUCT(MMULT(I568:N568,'07 Annualised Inputs'!$B$17:$G$22),I568:N568))</f>
        <v/>
      </c>
      <c r="Q568" s="37">
        <f>(O568-'02 Config'!$B$10)/P568</f>
        <v/>
      </c>
    </row>
    <row r="569">
      <c r="A569" s="12" t="n">
        <v>564</v>
      </c>
      <c r="B569" s="36" t="n">
        <v>0.4549252273343056</v>
      </c>
      <c r="C569" s="36" t="n">
        <v>0.954268276760615</v>
      </c>
      <c r="D569" s="36" t="n">
        <v>0.2867439009792179</v>
      </c>
      <c r="E569" s="36" t="n">
        <v>0.8662757734159724</v>
      </c>
      <c r="F569" s="36" t="n">
        <v>0.9223895739956305</v>
      </c>
      <c r="G569" s="36" t="n">
        <v>0.5568324163707806</v>
      </c>
      <c r="H569" s="37">
        <f>SUM(B569:G569)</f>
        <v/>
      </c>
      <c r="I569" s="25">
        <f>B569/$H569</f>
        <v/>
      </c>
      <c r="J569" s="25">
        <f>C569/$H569</f>
        <v/>
      </c>
      <c r="K569" s="25">
        <f>D569/$H569</f>
        <v/>
      </c>
      <c r="L569" s="25">
        <f>E569/$H569</f>
        <v/>
      </c>
      <c r="M569" s="25">
        <f>F569/$H569</f>
        <v/>
      </c>
      <c r="N569" s="25">
        <f>G569/$H569</f>
        <v/>
      </c>
      <c r="O569" s="25">
        <f>SUM(MMULT(I569:N569,'07 Annualised Inputs'!$D$7:$D$12))</f>
        <v/>
      </c>
      <c r="P569" s="25">
        <f>SQRT(SUMPRODUCT(MMULT(I569:N569,'07 Annualised Inputs'!$B$17:$G$22),I569:N569))</f>
        <v/>
      </c>
      <c r="Q569" s="37">
        <f>(O569-'02 Config'!$B$10)/P569</f>
        <v/>
      </c>
    </row>
    <row r="570">
      <c r="A570" s="12" t="n">
        <v>565</v>
      </c>
      <c r="B570" s="36" t="n">
        <v>0.2026777878677175</v>
      </c>
      <c r="C570" s="36" t="n">
        <v>0.68524743210572</v>
      </c>
      <c r="D570" s="36" t="n">
        <v>0.5489780665294601</v>
      </c>
      <c r="E570" s="36" t="n">
        <v>0.9445296658526259</v>
      </c>
      <c r="F570" s="36" t="n">
        <v>0.4392720618104918</v>
      </c>
      <c r="G570" s="36" t="n">
        <v>0.268513647639822</v>
      </c>
      <c r="H570" s="37">
        <f>SUM(B570:G570)</f>
        <v/>
      </c>
      <c r="I570" s="25">
        <f>B570/$H570</f>
        <v/>
      </c>
      <c r="J570" s="25">
        <f>C570/$H570</f>
        <v/>
      </c>
      <c r="K570" s="25">
        <f>D570/$H570</f>
        <v/>
      </c>
      <c r="L570" s="25">
        <f>E570/$H570</f>
        <v/>
      </c>
      <c r="M570" s="25">
        <f>F570/$H570</f>
        <v/>
      </c>
      <c r="N570" s="25">
        <f>G570/$H570</f>
        <v/>
      </c>
      <c r="O570" s="25">
        <f>SUM(MMULT(I570:N570,'07 Annualised Inputs'!$D$7:$D$12))</f>
        <v/>
      </c>
      <c r="P570" s="25">
        <f>SQRT(SUMPRODUCT(MMULT(I570:N570,'07 Annualised Inputs'!$B$17:$G$22),I570:N570))</f>
        <v/>
      </c>
      <c r="Q570" s="37">
        <f>(O570-'02 Config'!$B$10)/P570</f>
        <v/>
      </c>
    </row>
    <row r="571">
      <c r="A571" s="12" t="n">
        <v>566</v>
      </c>
      <c r="B571" s="36" t="n">
        <v>0.1382870014941071</v>
      </c>
      <c r="C571" s="36" t="n">
        <v>0.6986335686866795</v>
      </c>
      <c r="D571" s="36" t="n">
        <v>0.9741096189805822</v>
      </c>
      <c r="E571" s="36" t="n">
        <v>0.02834377057139847</v>
      </c>
      <c r="F571" s="36" t="n">
        <v>0.7404453547781268</v>
      </c>
      <c r="G571" s="36" t="n">
        <v>0.9269303625596667</v>
      </c>
      <c r="H571" s="37">
        <f>SUM(B571:G571)</f>
        <v/>
      </c>
      <c r="I571" s="25">
        <f>B571/$H571</f>
        <v/>
      </c>
      <c r="J571" s="25">
        <f>C571/$H571</f>
        <v/>
      </c>
      <c r="K571" s="25">
        <f>D571/$H571</f>
        <v/>
      </c>
      <c r="L571" s="25">
        <f>E571/$H571</f>
        <v/>
      </c>
      <c r="M571" s="25">
        <f>F571/$H571</f>
        <v/>
      </c>
      <c r="N571" s="25">
        <f>G571/$H571</f>
        <v/>
      </c>
      <c r="O571" s="25">
        <f>SUM(MMULT(I571:N571,'07 Annualised Inputs'!$D$7:$D$12))</f>
        <v/>
      </c>
      <c r="P571" s="25">
        <f>SQRT(SUMPRODUCT(MMULT(I571:N571,'07 Annualised Inputs'!$B$17:$G$22),I571:N571))</f>
        <v/>
      </c>
      <c r="Q571" s="37">
        <f>(O571-'02 Config'!$B$10)/P571</f>
        <v/>
      </c>
    </row>
    <row r="572">
      <c r="A572" s="12" t="n">
        <v>567</v>
      </c>
      <c r="B572" s="36" t="n">
        <v>0.07478153422734934</v>
      </c>
      <c r="C572" s="36" t="n">
        <v>0.1101700451061332</v>
      </c>
      <c r="D572" s="36" t="n">
        <v>0.6919570984497087</v>
      </c>
      <c r="E572" s="36" t="n">
        <v>0.6479633758957883</v>
      </c>
      <c r="F572" s="36" t="n">
        <v>0.0688274153162457</v>
      </c>
      <c r="G572" s="36" t="n">
        <v>0.8344227521511565</v>
      </c>
      <c r="H572" s="37">
        <f>SUM(B572:G572)</f>
        <v/>
      </c>
      <c r="I572" s="25">
        <f>B572/$H572</f>
        <v/>
      </c>
      <c r="J572" s="25">
        <f>C572/$H572</f>
        <v/>
      </c>
      <c r="K572" s="25">
        <f>D572/$H572</f>
        <v/>
      </c>
      <c r="L572" s="25">
        <f>E572/$H572</f>
        <v/>
      </c>
      <c r="M572" s="25">
        <f>F572/$H572</f>
        <v/>
      </c>
      <c r="N572" s="25">
        <f>G572/$H572</f>
        <v/>
      </c>
      <c r="O572" s="25">
        <f>SUM(MMULT(I572:N572,'07 Annualised Inputs'!$D$7:$D$12))</f>
        <v/>
      </c>
      <c r="P572" s="25">
        <f>SQRT(SUMPRODUCT(MMULT(I572:N572,'07 Annualised Inputs'!$B$17:$G$22),I572:N572))</f>
        <v/>
      </c>
      <c r="Q572" s="37">
        <f>(O572-'02 Config'!$B$10)/P572</f>
        <v/>
      </c>
    </row>
    <row r="573">
      <c r="A573" s="12" t="n">
        <v>568</v>
      </c>
      <c r="B573" s="36" t="n">
        <v>0.5234238478448924</v>
      </c>
      <c r="C573" s="36" t="n">
        <v>0.9071973733366125</v>
      </c>
      <c r="D573" s="36" t="n">
        <v>0.8779908809927044</v>
      </c>
      <c r="E573" s="36" t="n">
        <v>0.8125077690501658</v>
      </c>
      <c r="F573" s="36" t="n">
        <v>0.5158988962444213</v>
      </c>
      <c r="G573" s="36" t="n">
        <v>0.2517106417494323</v>
      </c>
      <c r="H573" s="37">
        <f>SUM(B573:G573)</f>
        <v/>
      </c>
      <c r="I573" s="25">
        <f>B573/$H573</f>
        <v/>
      </c>
      <c r="J573" s="25">
        <f>C573/$H573</f>
        <v/>
      </c>
      <c r="K573" s="25">
        <f>D573/$H573</f>
        <v/>
      </c>
      <c r="L573" s="25">
        <f>E573/$H573</f>
        <v/>
      </c>
      <c r="M573" s="25">
        <f>F573/$H573</f>
        <v/>
      </c>
      <c r="N573" s="25">
        <f>G573/$H573</f>
        <v/>
      </c>
      <c r="O573" s="25">
        <f>SUM(MMULT(I573:N573,'07 Annualised Inputs'!$D$7:$D$12))</f>
        <v/>
      </c>
      <c r="P573" s="25">
        <f>SQRT(SUMPRODUCT(MMULT(I573:N573,'07 Annualised Inputs'!$B$17:$G$22),I573:N573))</f>
        <v/>
      </c>
      <c r="Q573" s="37">
        <f>(O573-'02 Config'!$B$10)/P573</f>
        <v/>
      </c>
    </row>
    <row r="574">
      <c r="A574" s="12" t="n">
        <v>569</v>
      </c>
      <c r="B574" s="36" t="n">
        <v>0.5059755039111326</v>
      </c>
      <c r="C574" s="36" t="n">
        <v>0.1008113778017801</v>
      </c>
      <c r="D574" s="36" t="n">
        <v>0.6588461484734262</v>
      </c>
      <c r="E574" s="36" t="n">
        <v>0.1339772192290076</v>
      </c>
      <c r="F574" s="36" t="n">
        <v>0.5111729625007231</v>
      </c>
      <c r="G574" s="36" t="n">
        <v>0.05438197416681778</v>
      </c>
      <c r="H574" s="37">
        <f>SUM(B574:G574)</f>
        <v/>
      </c>
      <c r="I574" s="25">
        <f>B574/$H574</f>
        <v/>
      </c>
      <c r="J574" s="25">
        <f>C574/$H574</f>
        <v/>
      </c>
      <c r="K574" s="25">
        <f>D574/$H574</f>
        <v/>
      </c>
      <c r="L574" s="25">
        <f>E574/$H574</f>
        <v/>
      </c>
      <c r="M574" s="25">
        <f>F574/$H574</f>
        <v/>
      </c>
      <c r="N574" s="25">
        <f>G574/$H574</f>
        <v/>
      </c>
      <c r="O574" s="25">
        <f>SUM(MMULT(I574:N574,'07 Annualised Inputs'!$D$7:$D$12))</f>
        <v/>
      </c>
      <c r="P574" s="25">
        <f>SQRT(SUMPRODUCT(MMULT(I574:N574,'07 Annualised Inputs'!$B$17:$G$22),I574:N574))</f>
        <v/>
      </c>
      <c r="Q574" s="37">
        <f>(O574-'02 Config'!$B$10)/P574</f>
        <v/>
      </c>
    </row>
    <row r="575">
      <c r="A575" s="12" t="n">
        <v>570</v>
      </c>
      <c r="B575" s="36" t="n">
        <v>0.2995124902746459</v>
      </c>
      <c r="C575" s="36" t="n">
        <v>0.2320804606697878</v>
      </c>
      <c r="D575" s="36" t="n">
        <v>0.6200315427116705</v>
      </c>
      <c r="E575" s="36" t="n">
        <v>0.7867867120225087</v>
      </c>
      <c r="F575" s="36" t="n">
        <v>0.05730295454052614</v>
      </c>
      <c r="G575" s="36" t="n">
        <v>0.8502836851553842</v>
      </c>
      <c r="H575" s="37">
        <f>SUM(B575:G575)</f>
        <v/>
      </c>
      <c r="I575" s="25">
        <f>B575/$H575</f>
        <v/>
      </c>
      <c r="J575" s="25">
        <f>C575/$H575</f>
        <v/>
      </c>
      <c r="K575" s="25">
        <f>D575/$H575</f>
        <v/>
      </c>
      <c r="L575" s="25">
        <f>E575/$H575</f>
        <v/>
      </c>
      <c r="M575" s="25">
        <f>F575/$H575</f>
        <v/>
      </c>
      <c r="N575" s="25">
        <f>G575/$H575</f>
        <v/>
      </c>
      <c r="O575" s="25">
        <f>SUM(MMULT(I575:N575,'07 Annualised Inputs'!$D$7:$D$12))</f>
        <v/>
      </c>
      <c r="P575" s="25">
        <f>SQRT(SUMPRODUCT(MMULT(I575:N575,'07 Annualised Inputs'!$B$17:$G$22),I575:N575))</f>
        <v/>
      </c>
      <c r="Q575" s="37">
        <f>(O575-'02 Config'!$B$10)/P575</f>
        <v/>
      </c>
    </row>
    <row r="576">
      <c r="A576" s="12" t="n">
        <v>571</v>
      </c>
      <c r="B576" s="36" t="n">
        <v>0.8607676949546045</v>
      </c>
      <c r="C576" s="36" t="n">
        <v>0.3422690742880228</v>
      </c>
      <c r="D576" s="36" t="n">
        <v>0.6590040659703221</v>
      </c>
      <c r="E576" s="36" t="n">
        <v>0.4026130317034495</v>
      </c>
      <c r="F576" s="36" t="n">
        <v>0.1541908821896315</v>
      </c>
      <c r="G576" s="36" t="n">
        <v>0.5286624185631104</v>
      </c>
      <c r="H576" s="37">
        <f>SUM(B576:G576)</f>
        <v/>
      </c>
      <c r="I576" s="25">
        <f>B576/$H576</f>
        <v/>
      </c>
      <c r="J576" s="25">
        <f>C576/$H576</f>
        <v/>
      </c>
      <c r="K576" s="25">
        <f>D576/$H576</f>
        <v/>
      </c>
      <c r="L576" s="25">
        <f>E576/$H576</f>
        <v/>
      </c>
      <c r="M576" s="25">
        <f>F576/$H576</f>
        <v/>
      </c>
      <c r="N576" s="25">
        <f>G576/$H576</f>
        <v/>
      </c>
      <c r="O576" s="25">
        <f>SUM(MMULT(I576:N576,'07 Annualised Inputs'!$D$7:$D$12))</f>
        <v/>
      </c>
      <c r="P576" s="25">
        <f>SQRT(SUMPRODUCT(MMULT(I576:N576,'07 Annualised Inputs'!$B$17:$G$22),I576:N576))</f>
        <v/>
      </c>
      <c r="Q576" s="37">
        <f>(O576-'02 Config'!$B$10)/P576</f>
        <v/>
      </c>
    </row>
    <row r="577">
      <c r="A577" s="12" t="n">
        <v>572</v>
      </c>
      <c r="B577" s="36" t="n">
        <v>0.08635967450159665</v>
      </c>
      <c r="C577" s="36" t="n">
        <v>0.8784721553959879</v>
      </c>
      <c r="D577" s="36" t="n">
        <v>0.9242897594096086</v>
      </c>
      <c r="E577" s="36" t="n">
        <v>0.8216131370114036</v>
      </c>
      <c r="F577" s="36" t="n">
        <v>0.5625281207559786</v>
      </c>
      <c r="G577" s="36" t="n">
        <v>0.557598591125455</v>
      </c>
      <c r="H577" s="37">
        <f>SUM(B577:G577)</f>
        <v/>
      </c>
      <c r="I577" s="25">
        <f>B577/$H577</f>
        <v/>
      </c>
      <c r="J577" s="25">
        <f>C577/$H577</f>
        <v/>
      </c>
      <c r="K577" s="25">
        <f>D577/$H577</f>
        <v/>
      </c>
      <c r="L577" s="25">
        <f>E577/$H577</f>
        <v/>
      </c>
      <c r="M577" s="25">
        <f>F577/$H577</f>
        <v/>
      </c>
      <c r="N577" s="25">
        <f>G577/$H577</f>
        <v/>
      </c>
      <c r="O577" s="25">
        <f>SUM(MMULT(I577:N577,'07 Annualised Inputs'!$D$7:$D$12))</f>
        <v/>
      </c>
      <c r="P577" s="25">
        <f>SQRT(SUMPRODUCT(MMULT(I577:N577,'07 Annualised Inputs'!$B$17:$G$22),I577:N577))</f>
        <v/>
      </c>
      <c r="Q577" s="37">
        <f>(O577-'02 Config'!$B$10)/P577</f>
        <v/>
      </c>
    </row>
    <row r="578">
      <c r="A578" s="12" t="n">
        <v>573</v>
      </c>
      <c r="B578" s="36" t="n">
        <v>0.9846073766009298</v>
      </c>
      <c r="C578" s="36" t="n">
        <v>0.2479016898311829</v>
      </c>
      <c r="D578" s="36" t="n">
        <v>0.07594836590520748</v>
      </c>
      <c r="E578" s="36" t="n">
        <v>0.5619409236011778</v>
      </c>
      <c r="F578" s="36" t="n">
        <v>0.3287855978101033</v>
      </c>
      <c r="G578" s="36" t="n">
        <v>0.3223387728080442</v>
      </c>
      <c r="H578" s="37">
        <f>SUM(B578:G578)</f>
        <v/>
      </c>
      <c r="I578" s="25">
        <f>B578/$H578</f>
        <v/>
      </c>
      <c r="J578" s="25">
        <f>C578/$H578</f>
        <v/>
      </c>
      <c r="K578" s="25">
        <f>D578/$H578</f>
        <v/>
      </c>
      <c r="L578" s="25">
        <f>E578/$H578</f>
        <v/>
      </c>
      <c r="M578" s="25">
        <f>F578/$H578</f>
        <v/>
      </c>
      <c r="N578" s="25">
        <f>G578/$H578</f>
        <v/>
      </c>
      <c r="O578" s="25">
        <f>SUM(MMULT(I578:N578,'07 Annualised Inputs'!$D$7:$D$12))</f>
        <v/>
      </c>
      <c r="P578" s="25">
        <f>SQRT(SUMPRODUCT(MMULT(I578:N578,'07 Annualised Inputs'!$B$17:$G$22),I578:N578))</f>
        <v/>
      </c>
      <c r="Q578" s="37">
        <f>(O578-'02 Config'!$B$10)/P578</f>
        <v/>
      </c>
    </row>
    <row r="579">
      <c r="A579" s="12" t="n">
        <v>574</v>
      </c>
      <c r="B579" s="36" t="n">
        <v>0.007085354169948044</v>
      </c>
      <c r="C579" s="36" t="n">
        <v>0.596239409547933</v>
      </c>
      <c r="D579" s="36" t="n">
        <v>0.2640337022756141</v>
      </c>
      <c r="E579" s="36" t="n">
        <v>0.187858548192681</v>
      </c>
      <c r="F579" s="36" t="n">
        <v>0.04043193139300372</v>
      </c>
      <c r="G579" s="36" t="n">
        <v>0.3643615764756113</v>
      </c>
      <c r="H579" s="37">
        <f>SUM(B579:G579)</f>
        <v/>
      </c>
      <c r="I579" s="25">
        <f>B579/$H579</f>
        <v/>
      </c>
      <c r="J579" s="25">
        <f>C579/$H579</f>
        <v/>
      </c>
      <c r="K579" s="25">
        <f>D579/$H579</f>
        <v/>
      </c>
      <c r="L579" s="25">
        <f>E579/$H579</f>
        <v/>
      </c>
      <c r="M579" s="25">
        <f>F579/$H579</f>
        <v/>
      </c>
      <c r="N579" s="25">
        <f>G579/$H579</f>
        <v/>
      </c>
      <c r="O579" s="25">
        <f>SUM(MMULT(I579:N579,'07 Annualised Inputs'!$D$7:$D$12))</f>
        <v/>
      </c>
      <c r="P579" s="25">
        <f>SQRT(SUMPRODUCT(MMULT(I579:N579,'07 Annualised Inputs'!$B$17:$G$22),I579:N579))</f>
        <v/>
      </c>
      <c r="Q579" s="37">
        <f>(O579-'02 Config'!$B$10)/P579</f>
        <v/>
      </c>
    </row>
    <row r="580">
      <c r="A580" s="12" t="n">
        <v>575</v>
      </c>
      <c r="B580" s="36" t="n">
        <v>0.8789688723864574</v>
      </c>
      <c r="C580" s="36" t="n">
        <v>0.3366708075973723</v>
      </c>
      <c r="D580" s="36" t="n">
        <v>0.6790742101195937</v>
      </c>
      <c r="E580" s="36" t="n">
        <v>0.7565469634019073</v>
      </c>
      <c r="F580" s="36" t="n">
        <v>0.3281008091901996</v>
      </c>
      <c r="G580" s="36" t="n">
        <v>0.8216407350120413</v>
      </c>
      <c r="H580" s="37">
        <f>SUM(B580:G580)</f>
        <v/>
      </c>
      <c r="I580" s="25">
        <f>B580/$H580</f>
        <v/>
      </c>
      <c r="J580" s="25">
        <f>C580/$H580</f>
        <v/>
      </c>
      <c r="K580" s="25">
        <f>D580/$H580</f>
        <v/>
      </c>
      <c r="L580" s="25">
        <f>E580/$H580</f>
        <v/>
      </c>
      <c r="M580" s="25">
        <f>F580/$H580</f>
        <v/>
      </c>
      <c r="N580" s="25">
        <f>G580/$H580</f>
        <v/>
      </c>
      <c r="O580" s="25">
        <f>SUM(MMULT(I580:N580,'07 Annualised Inputs'!$D$7:$D$12))</f>
        <v/>
      </c>
      <c r="P580" s="25">
        <f>SQRT(SUMPRODUCT(MMULT(I580:N580,'07 Annualised Inputs'!$B$17:$G$22),I580:N580))</f>
        <v/>
      </c>
      <c r="Q580" s="37">
        <f>(O580-'02 Config'!$B$10)/P580</f>
        <v/>
      </c>
    </row>
    <row r="581">
      <c r="A581" s="12" t="n">
        <v>576</v>
      </c>
      <c r="B581" s="36" t="n">
        <v>0.6918796596669491</v>
      </c>
      <c r="C581" s="36" t="n">
        <v>0.5592422287009515</v>
      </c>
      <c r="D581" s="36" t="n">
        <v>0.0009924640506289162</v>
      </c>
      <c r="E581" s="36" t="n">
        <v>0.03509076592280813</v>
      </c>
      <c r="F581" s="36" t="n">
        <v>0.9908658441060634</v>
      </c>
      <c r="G581" s="36" t="n">
        <v>0.7822839235035594</v>
      </c>
      <c r="H581" s="37">
        <f>SUM(B581:G581)</f>
        <v/>
      </c>
      <c r="I581" s="25">
        <f>B581/$H581</f>
        <v/>
      </c>
      <c r="J581" s="25">
        <f>C581/$H581</f>
        <v/>
      </c>
      <c r="K581" s="25">
        <f>D581/$H581</f>
        <v/>
      </c>
      <c r="L581" s="25">
        <f>E581/$H581</f>
        <v/>
      </c>
      <c r="M581" s="25">
        <f>F581/$H581</f>
        <v/>
      </c>
      <c r="N581" s="25">
        <f>G581/$H581</f>
        <v/>
      </c>
      <c r="O581" s="25">
        <f>SUM(MMULT(I581:N581,'07 Annualised Inputs'!$D$7:$D$12))</f>
        <v/>
      </c>
      <c r="P581" s="25">
        <f>SQRT(SUMPRODUCT(MMULT(I581:N581,'07 Annualised Inputs'!$B$17:$G$22),I581:N581))</f>
        <v/>
      </c>
      <c r="Q581" s="37">
        <f>(O581-'02 Config'!$B$10)/P581</f>
        <v/>
      </c>
    </row>
    <row r="582">
      <c r="A582" s="12" t="n">
        <v>577</v>
      </c>
      <c r="B582" s="36" t="n">
        <v>0.9375652587729471</v>
      </c>
      <c r="C582" s="36" t="n">
        <v>0.9023032049180275</v>
      </c>
      <c r="D582" s="36" t="n">
        <v>0.02044298314275084</v>
      </c>
      <c r="E582" s="36" t="n">
        <v>0.7918472897910739</v>
      </c>
      <c r="F582" s="36" t="n">
        <v>0.4511457440111546</v>
      </c>
      <c r="G582" s="36" t="n">
        <v>0.7895582040006557</v>
      </c>
      <c r="H582" s="37">
        <f>SUM(B582:G582)</f>
        <v/>
      </c>
      <c r="I582" s="25">
        <f>B582/$H582</f>
        <v/>
      </c>
      <c r="J582" s="25">
        <f>C582/$H582</f>
        <v/>
      </c>
      <c r="K582" s="25">
        <f>D582/$H582</f>
        <v/>
      </c>
      <c r="L582" s="25">
        <f>E582/$H582</f>
        <v/>
      </c>
      <c r="M582" s="25">
        <f>F582/$H582</f>
        <v/>
      </c>
      <c r="N582" s="25">
        <f>G582/$H582</f>
        <v/>
      </c>
      <c r="O582" s="25">
        <f>SUM(MMULT(I582:N582,'07 Annualised Inputs'!$D$7:$D$12))</f>
        <v/>
      </c>
      <c r="P582" s="25">
        <f>SQRT(SUMPRODUCT(MMULT(I582:N582,'07 Annualised Inputs'!$B$17:$G$22),I582:N582))</f>
        <v/>
      </c>
      <c r="Q582" s="37">
        <f>(O582-'02 Config'!$B$10)/P582</f>
        <v/>
      </c>
    </row>
    <row r="583">
      <c r="A583" s="12" t="n">
        <v>578</v>
      </c>
      <c r="B583" s="36" t="n">
        <v>0.006715784163385141</v>
      </c>
      <c r="C583" s="36" t="n">
        <v>0.2881993012005643</v>
      </c>
      <c r="D583" s="36" t="n">
        <v>0.7513237757913022</v>
      </c>
      <c r="E583" s="36" t="n">
        <v>0.7930207886015898</v>
      </c>
      <c r="F583" s="36" t="n">
        <v>0.619714601214624</v>
      </c>
      <c r="G583" s="36" t="n">
        <v>0.3012561894462638</v>
      </c>
      <c r="H583" s="37">
        <f>SUM(B583:G583)</f>
        <v/>
      </c>
      <c r="I583" s="25">
        <f>B583/$H583</f>
        <v/>
      </c>
      <c r="J583" s="25">
        <f>C583/$H583</f>
        <v/>
      </c>
      <c r="K583" s="25">
        <f>D583/$H583</f>
        <v/>
      </c>
      <c r="L583" s="25">
        <f>E583/$H583</f>
        <v/>
      </c>
      <c r="M583" s="25">
        <f>F583/$H583</f>
        <v/>
      </c>
      <c r="N583" s="25">
        <f>G583/$H583</f>
        <v/>
      </c>
      <c r="O583" s="25">
        <f>SUM(MMULT(I583:N583,'07 Annualised Inputs'!$D$7:$D$12))</f>
        <v/>
      </c>
      <c r="P583" s="25">
        <f>SQRT(SUMPRODUCT(MMULT(I583:N583,'07 Annualised Inputs'!$B$17:$G$22),I583:N583))</f>
        <v/>
      </c>
      <c r="Q583" s="37">
        <f>(O583-'02 Config'!$B$10)/P583</f>
        <v/>
      </c>
    </row>
    <row r="584">
      <c r="A584" s="12" t="n">
        <v>579</v>
      </c>
      <c r="B584" s="36" t="n">
        <v>0.3103625912878629</v>
      </c>
      <c r="C584" s="36" t="n">
        <v>0.9667639636420327</v>
      </c>
      <c r="D584" s="36" t="n">
        <v>0.4392121792342045</v>
      </c>
      <c r="E584" s="36" t="n">
        <v>0.447125550243837</v>
      </c>
      <c r="F584" s="36" t="n">
        <v>0.5523327502406995</v>
      </c>
      <c r="G584" s="36" t="n">
        <v>0.4095023368643887</v>
      </c>
      <c r="H584" s="37">
        <f>SUM(B584:G584)</f>
        <v/>
      </c>
      <c r="I584" s="25">
        <f>B584/$H584</f>
        <v/>
      </c>
      <c r="J584" s="25">
        <f>C584/$H584</f>
        <v/>
      </c>
      <c r="K584" s="25">
        <f>D584/$H584</f>
        <v/>
      </c>
      <c r="L584" s="25">
        <f>E584/$H584</f>
        <v/>
      </c>
      <c r="M584" s="25">
        <f>F584/$H584</f>
        <v/>
      </c>
      <c r="N584" s="25">
        <f>G584/$H584</f>
        <v/>
      </c>
      <c r="O584" s="25">
        <f>SUM(MMULT(I584:N584,'07 Annualised Inputs'!$D$7:$D$12))</f>
        <v/>
      </c>
      <c r="P584" s="25">
        <f>SQRT(SUMPRODUCT(MMULT(I584:N584,'07 Annualised Inputs'!$B$17:$G$22),I584:N584))</f>
        <v/>
      </c>
      <c r="Q584" s="37">
        <f>(O584-'02 Config'!$B$10)/P584</f>
        <v/>
      </c>
    </row>
    <row r="585">
      <c r="A585" s="12" t="n">
        <v>580</v>
      </c>
      <c r="B585" s="36" t="n">
        <v>0.5526715645974142</v>
      </c>
      <c r="C585" s="36" t="n">
        <v>0.4323354227675579</v>
      </c>
      <c r="D585" s="36" t="n">
        <v>0.8267149196021867</v>
      </c>
      <c r="E585" s="36" t="n">
        <v>0.909051019798284</v>
      </c>
      <c r="F585" s="36" t="n">
        <v>0.9321102598153617</v>
      </c>
      <c r="G585" s="36" t="n">
        <v>0.5642962058293866</v>
      </c>
      <c r="H585" s="37">
        <f>SUM(B585:G585)</f>
        <v/>
      </c>
      <c r="I585" s="25">
        <f>B585/$H585</f>
        <v/>
      </c>
      <c r="J585" s="25">
        <f>C585/$H585</f>
        <v/>
      </c>
      <c r="K585" s="25">
        <f>D585/$H585</f>
        <v/>
      </c>
      <c r="L585" s="25">
        <f>E585/$H585</f>
        <v/>
      </c>
      <c r="M585" s="25">
        <f>F585/$H585</f>
        <v/>
      </c>
      <c r="N585" s="25">
        <f>G585/$H585</f>
        <v/>
      </c>
      <c r="O585" s="25">
        <f>SUM(MMULT(I585:N585,'07 Annualised Inputs'!$D$7:$D$12))</f>
        <v/>
      </c>
      <c r="P585" s="25">
        <f>SQRT(SUMPRODUCT(MMULT(I585:N585,'07 Annualised Inputs'!$B$17:$G$22),I585:N585))</f>
        <v/>
      </c>
      <c r="Q585" s="37">
        <f>(O585-'02 Config'!$B$10)/P585</f>
        <v/>
      </c>
    </row>
    <row r="586">
      <c r="A586" s="12" t="n">
        <v>581</v>
      </c>
      <c r="B586" s="36" t="n">
        <v>0.4421485574644953</v>
      </c>
      <c r="C586" s="36" t="n">
        <v>0.7052400587918379</v>
      </c>
      <c r="D586" s="36" t="n">
        <v>0.8383235912959066</v>
      </c>
      <c r="E586" s="36" t="n">
        <v>0.5629822420663771</v>
      </c>
      <c r="F586" s="36" t="n">
        <v>0.6999810218222613</v>
      </c>
      <c r="G586" s="36" t="n">
        <v>0.749729350721248</v>
      </c>
      <c r="H586" s="37">
        <f>SUM(B586:G586)</f>
        <v/>
      </c>
      <c r="I586" s="25">
        <f>B586/$H586</f>
        <v/>
      </c>
      <c r="J586" s="25">
        <f>C586/$H586</f>
        <v/>
      </c>
      <c r="K586" s="25">
        <f>D586/$H586</f>
        <v/>
      </c>
      <c r="L586" s="25">
        <f>E586/$H586</f>
        <v/>
      </c>
      <c r="M586" s="25">
        <f>F586/$H586</f>
        <v/>
      </c>
      <c r="N586" s="25">
        <f>G586/$H586</f>
        <v/>
      </c>
      <c r="O586" s="25">
        <f>SUM(MMULT(I586:N586,'07 Annualised Inputs'!$D$7:$D$12))</f>
        <v/>
      </c>
      <c r="P586" s="25">
        <f>SQRT(SUMPRODUCT(MMULT(I586:N586,'07 Annualised Inputs'!$B$17:$G$22),I586:N586))</f>
        <v/>
      </c>
      <c r="Q586" s="37">
        <f>(O586-'02 Config'!$B$10)/P586</f>
        <v/>
      </c>
    </row>
    <row r="587">
      <c r="A587" s="12" t="n">
        <v>582</v>
      </c>
      <c r="B587" s="36" t="n">
        <v>0.6763937767172867</v>
      </c>
      <c r="C587" s="36" t="n">
        <v>0.7461335557293095</v>
      </c>
      <c r="D587" s="36" t="n">
        <v>0.2086453325559984</v>
      </c>
      <c r="E587" s="36" t="n">
        <v>0.4983745470217975</v>
      </c>
      <c r="F587" s="36" t="n">
        <v>0.5882685546050872</v>
      </c>
      <c r="G587" s="36" t="n">
        <v>0.002477930857023081</v>
      </c>
      <c r="H587" s="37">
        <f>SUM(B587:G587)</f>
        <v/>
      </c>
      <c r="I587" s="25">
        <f>B587/$H587</f>
        <v/>
      </c>
      <c r="J587" s="25">
        <f>C587/$H587</f>
        <v/>
      </c>
      <c r="K587" s="25">
        <f>D587/$H587</f>
        <v/>
      </c>
      <c r="L587" s="25">
        <f>E587/$H587</f>
        <v/>
      </c>
      <c r="M587" s="25">
        <f>F587/$H587</f>
        <v/>
      </c>
      <c r="N587" s="25">
        <f>G587/$H587</f>
        <v/>
      </c>
      <c r="O587" s="25">
        <f>SUM(MMULT(I587:N587,'07 Annualised Inputs'!$D$7:$D$12))</f>
        <v/>
      </c>
      <c r="P587" s="25">
        <f>SQRT(SUMPRODUCT(MMULT(I587:N587,'07 Annualised Inputs'!$B$17:$G$22),I587:N587))</f>
        <v/>
      </c>
      <c r="Q587" s="37">
        <f>(O587-'02 Config'!$B$10)/P587</f>
        <v/>
      </c>
    </row>
    <row r="588">
      <c r="A588" s="12" t="n">
        <v>583</v>
      </c>
      <c r="B588" s="36" t="n">
        <v>0.855962508813682</v>
      </c>
      <c r="C588" s="36" t="n">
        <v>0.6100245084449121</v>
      </c>
      <c r="D588" s="36" t="n">
        <v>0.1291363316982033</v>
      </c>
      <c r="E588" s="36" t="n">
        <v>0.8163570725758271</v>
      </c>
      <c r="F588" s="36" t="n">
        <v>0.7170569664405446</v>
      </c>
      <c r="G588" s="36" t="n">
        <v>0.758299543463637</v>
      </c>
      <c r="H588" s="37">
        <f>SUM(B588:G588)</f>
        <v/>
      </c>
      <c r="I588" s="25">
        <f>B588/$H588</f>
        <v/>
      </c>
      <c r="J588" s="25">
        <f>C588/$H588</f>
        <v/>
      </c>
      <c r="K588" s="25">
        <f>D588/$H588</f>
        <v/>
      </c>
      <c r="L588" s="25">
        <f>E588/$H588</f>
        <v/>
      </c>
      <c r="M588" s="25">
        <f>F588/$H588</f>
        <v/>
      </c>
      <c r="N588" s="25">
        <f>G588/$H588</f>
        <v/>
      </c>
      <c r="O588" s="25">
        <f>SUM(MMULT(I588:N588,'07 Annualised Inputs'!$D$7:$D$12))</f>
        <v/>
      </c>
      <c r="P588" s="25">
        <f>SQRT(SUMPRODUCT(MMULT(I588:N588,'07 Annualised Inputs'!$B$17:$G$22),I588:N588))</f>
        <v/>
      </c>
      <c r="Q588" s="37">
        <f>(O588-'02 Config'!$B$10)/P588</f>
        <v/>
      </c>
    </row>
    <row r="589">
      <c r="A589" s="12" t="n">
        <v>584</v>
      </c>
      <c r="B589" s="36" t="n">
        <v>0.3920424618618562</v>
      </c>
      <c r="C589" s="36" t="n">
        <v>0.8542025066949921</v>
      </c>
      <c r="D589" s="36" t="n">
        <v>0.4140275821323622</v>
      </c>
      <c r="E589" s="36" t="n">
        <v>0.5705091529455913</v>
      </c>
      <c r="F589" s="36" t="n">
        <v>0.0006423036998737253</v>
      </c>
      <c r="G589" s="36" t="n">
        <v>0.6448731146778622</v>
      </c>
      <c r="H589" s="37">
        <f>SUM(B589:G589)</f>
        <v/>
      </c>
      <c r="I589" s="25">
        <f>B589/$H589</f>
        <v/>
      </c>
      <c r="J589" s="25">
        <f>C589/$H589</f>
        <v/>
      </c>
      <c r="K589" s="25">
        <f>D589/$H589</f>
        <v/>
      </c>
      <c r="L589" s="25">
        <f>E589/$H589</f>
        <v/>
      </c>
      <c r="M589" s="25">
        <f>F589/$H589</f>
        <v/>
      </c>
      <c r="N589" s="25">
        <f>G589/$H589</f>
        <v/>
      </c>
      <c r="O589" s="25">
        <f>SUM(MMULT(I589:N589,'07 Annualised Inputs'!$D$7:$D$12))</f>
        <v/>
      </c>
      <c r="P589" s="25">
        <f>SQRT(SUMPRODUCT(MMULT(I589:N589,'07 Annualised Inputs'!$B$17:$G$22),I589:N589))</f>
        <v/>
      </c>
      <c r="Q589" s="37">
        <f>(O589-'02 Config'!$B$10)/P589</f>
        <v/>
      </c>
    </row>
    <row r="590">
      <c r="A590" s="12" t="n">
        <v>585</v>
      </c>
      <c r="B590" s="36" t="n">
        <v>0.7181757921279367</v>
      </c>
      <c r="C590" s="36" t="n">
        <v>0.5671093654887923</v>
      </c>
      <c r="D590" s="36" t="n">
        <v>0.496558817043616</v>
      </c>
      <c r="E590" s="36" t="n">
        <v>0.8099364737117083</v>
      </c>
      <c r="F590" s="36" t="n">
        <v>0.6813727171652418</v>
      </c>
      <c r="G590" s="36" t="n">
        <v>0.278074039720023</v>
      </c>
      <c r="H590" s="37">
        <f>SUM(B590:G590)</f>
        <v/>
      </c>
      <c r="I590" s="25">
        <f>B590/$H590</f>
        <v/>
      </c>
      <c r="J590" s="25">
        <f>C590/$H590</f>
        <v/>
      </c>
      <c r="K590" s="25">
        <f>D590/$H590</f>
        <v/>
      </c>
      <c r="L590" s="25">
        <f>E590/$H590</f>
        <v/>
      </c>
      <c r="M590" s="25">
        <f>F590/$H590</f>
        <v/>
      </c>
      <c r="N590" s="25">
        <f>G590/$H590</f>
        <v/>
      </c>
      <c r="O590" s="25">
        <f>SUM(MMULT(I590:N590,'07 Annualised Inputs'!$D$7:$D$12))</f>
        <v/>
      </c>
      <c r="P590" s="25">
        <f>SQRT(SUMPRODUCT(MMULT(I590:N590,'07 Annualised Inputs'!$B$17:$G$22),I590:N590))</f>
        <v/>
      </c>
      <c r="Q590" s="37">
        <f>(O590-'02 Config'!$B$10)/P590</f>
        <v/>
      </c>
    </row>
    <row r="591">
      <c r="A591" s="12" t="n">
        <v>586</v>
      </c>
      <c r="B591" s="36" t="n">
        <v>0.9590733380799858</v>
      </c>
      <c r="C591" s="36" t="n">
        <v>0.7072671941953408</v>
      </c>
      <c r="D591" s="36" t="n">
        <v>0.9879389289124246</v>
      </c>
      <c r="E591" s="36" t="n">
        <v>0.9712613162688684</v>
      </c>
      <c r="F591" s="36" t="n">
        <v>0.9189097228100899</v>
      </c>
      <c r="G591" s="36" t="n">
        <v>0.7553715412253076</v>
      </c>
      <c r="H591" s="37">
        <f>SUM(B591:G591)</f>
        <v/>
      </c>
      <c r="I591" s="25">
        <f>B591/$H591</f>
        <v/>
      </c>
      <c r="J591" s="25">
        <f>C591/$H591</f>
        <v/>
      </c>
      <c r="K591" s="25">
        <f>D591/$H591</f>
        <v/>
      </c>
      <c r="L591" s="25">
        <f>E591/$H591</f>
        <v/>
      </c>
      <c r="M591" s="25">
        <f>F591/$H591</f>
        <v/>
      </c>
      <c r="N591" s="25">
        <f>G591/$H591</f>
        <v/>
      </c>
      <c r="O591" s="25">
        <f>SUM(MMULT(I591:N591,'07 Annualised Inputs'!$D$7:$D$12))</f>
        <v/>
      </c>
      <c r="P591" s="25">
        <f>SQRT(SUMPRODUCT(MMULT(I591:N591,'07 Annualised Inputs'!$B$17:$G$22),I591:N591))</f>
        <v/>
      </c>
      <c r="Q591" s="37">
        <f>(O591-'02 Config'!$B$10)/P591</f>
        <v/>
      </c>
    </row>
    <row r="592">
      <c r="A592" s="12" t="n">
        <v>587</v>
      </c>
      <c r="B592" s="36" t="n">
        <v>0.6094293684969674</v>
      </c>
      <c r="C592" s="36" t="n">
        <v>0.1721706636829242</v>
      </c>
      <c r="D592" s="36" t="n">
        <v>0.5433514174237577</v>
      </c>
      <c r="E592" s="36" t="n">
        <v>0.7653765223943273</v>
      </c>
      <c r="F592" s="36" t="n">
        <v>0.5208571587055678</v>
      </c>
      <c r="G592" s="36" t="n">
        <v>0.8682391284056578</v>
      </c>
      <c r="H592" s="37">
        <f>SUM(B592:G592)</f>
        <v/>
      </c>
      <c r="I592" s="25">
        <f>B592/$H592</f>
        <v/>
      </c>
      <c r="J592" s="25">
        <f>C592/$H592</f>
        <v/>
      </c>
      <c r="K592" s="25">
        <f>D592/$H592</f>
        <v/>
      </c>
      <c r="L592" s="25">
        <f>E592/$H592</f>
        <v/>
      </c>
      <c r="M592" s="25">
        <f>F592/$H592</f>
        <v/>
      </c>
      <c r="N592" s="25">
        <f>G592/$H592</f>
        <v/>
      </c>
      <c r="O592" s="25">
        <f>SUM(MMULT(I592:N592,'07 Annualised Inputs'!$D$7:$D$12))</f>
        <v/>
      </c>
      <c r="P592" s="25">
        <f>SQRT(SUMPRODUCT(MMULT(I592:N592,'07 Annualised Inputs'!$B$17:$G$22),I592:N592))</f>
        <v/>
      </c>
      <c r="Q592" s="37">
        <f>(O592-'02 Config'!$B$10)/P592</f>
        <v/>
      </c>
    </row>
    <row r="593">
      <c r="A593" s="12" t="n">
        <v>588</v>
      </c>
      <c r="B593" s="36" t="n">
        <v>0.1096558991916983</v>
      </c>
      <c r="C593" s="36" t="n">
        <v>0.3809403480486341</v>
      </c>
      <c r="D593" s="36" t="n">
        <v>0.5059644185936573</v>
      </c>
      <c r="E593" s="36" t="n">
        <v>0.4323252958691081</v>
      </c>
      <c r="F593" s="36" t="n">
        <v>0.1085865478215531</v>
      </c>
      <c r="G593" s="36" t="n">
        <v>0.1535282940446305</v>
      </c>
      <c r="H593" s="37">
        <f>SUM(B593:G593)</f>
        <v/>
      </c>
      <c r="I593" s="25">
        <f>B593/$H593</f>
        <v/>
      </c>
      <c r="J593" s="25">
        <f>C593/$H593</f>
        <v/>
      </c>
      <c r="K593" s="25">
        <f>D593/$H593</f>
        <v/>
      </c>
      <c r="L593" s="25">
        <f>E593/$H593</f>
        <v/>
      </c>
      <c r="M593" s="25">
        <f>F593/$H593</f>
        <v/>
      </c>
      <c r="N593" s="25">
        <f>G593/$H593</f>
        <v/>
      </c>
      <c r="O593" s="25">
        <f>SUM(MMULT(I593:N593,'07 Annualised Inputs'!$D$7:$D$12))</f>
        <v/>
      </c>
      <c r="P593" s="25">
        <f>SQRT(SUMPRODUCT(MMULT(I593:N593,'07 Annualised Inputs'!$B$17:$G$22),I593:N593))</f>
        <v/>
      </c>
      <c r="Q593" s="37">
        <f>(O593-'02 Config'!$B$10)/P593</f>
        <v/>
      </c>
    </row>
    <row r="594">
      <c r="A594" s="12" t="n">
        <v>589</v>
      </c>
      <c r="B594" s="36" t="n">
        <v>0.8376172928554871</v>
      </c>
      <c r="C594" s="36" t="n">
        <v>0.484384259201451</v>
      </c>
      <c r="D594" s="36" t="n">
        <v>0.04872242675272764</v>
      </c>
      <c r="E594" s="36" t="n">
        <v>0.01649125897764991</v>
      </c>
      <c r="F594" s="36" t="n">
        <v>0.4734754019943266</v>
      </c>
      <c r="G594" s="36" t="n">
        <v>0.1643787259244437</v>
      </c>
      <c r="H594" s="37">
        <f>SUM(B594:G594)</f>
        <v/>
      </c>
      <c r="I594" s="25">
        <f>B594/$H594</f>
        <v/>
      </c>
      <c r="J594" s="25">
        <f>C594/$H594</f>
        <v/>
      </c>
      <c r="K594" s="25">
        <f>D594/$H594</f>
        <v/>
      </c>
      <c r="L594" s="25">
        <f>E594/$H594</f>
        <v/>
      </c>
      <c r="M594" s="25">
        <f>F594/$H594</f>
        <v/>
      </c>
      <c r="N594" s="25">
        <f>G594/$H594</f>
        <v/>
      </c>
      <c r="O594" s="25">
        <f>SUM(MMULT(I594:N594,'07 Annualised Inputs'!$D$7:$D$12))</f>
        <v/>
      </c>
      <c r="P594" s="25">
        <f>SQRT(SUMPRODUCT(MMULT(I594:N594,'07 Annualised Inputs'!$B$17:$G$22),I594:N594))</f>
        <v/>
      </c>
      <c r="Q594" s="37">
        <f>(O594-'02 Config'!$B$10)/P594</f>
        <v/>
      </c>
    </row>
    <row r="595">
      <c r="A595" s="12" t="n">
        <v>590</v>
      </c>
      <c r="B595" s="36" t="n">
        <v>0.7051259459992218</v>
      </c>
      <c r="C595" s="36" t="n">
        <v>0.7953234625277513</v>
      </c>
      <c r="D595" s="36" t="n">
        <v>0.2282967084571056</v>
      </c>
      <c r="E595" s="36" t="n">
        <v>0.5921769448817807</v>
      </c>
      <c r="F595" s="36" t="n">
        <v>0.154444643485386</v>
      </c>
      <c r="G595" s="36" t="n">
        <v>0.303582651594387</v>
      </c>
      <c r="H595" s="37">
        <f>SUM(B595:G595)</f>
        <v/>
      </c>
      <c r="I595" s="25">
        <f>B595/$H595</f>
        <v/>
      </c>
      <c r="J595" s="25">
        <f>C595/$H595</f>
        <v/>
      </c>
      <c r="K595" s="25">
        <f>D595/$H595</f>
        <v/>
      </c>
      <c r="L595" s="25">
        <f>E595/$H595</f>
        <v/>
      </c>
      <c r="M595" s="25">
        <f>F595/$H595</f>
        <v/>
      </c>
      <c r="N595" s="25">
        <f>G595/$H595</f>
        <v/>
      </c>
      <c r="O595" s="25">
        <f>SUM(MMULT(I595:N595,'07 Annualised Inputs'!$D$7:$D$12))</f>
        <v/>
      </c>
      <c r="P595" s="25">
        <f>SQRT(SUMPRODUCT(MMULT(I595:N595,'07 Annualised Inputs'!$B$17:$G$22),I595:N595))</f>
        <v/>
      </c>
      <c r="Q595" s="37">
        <f>(O595-'02 Config'!$B$10)/P595</f>
        <v/>
      </c>
    </row>
    <row r="596">
      <c r="A596" s="12" t="n">
        <v>591</v>
      </c>
      <c r="B596" s="36" t="n">
        <v>0.8887954941814333</v>
      </c>
      <c r="C596" s="36" t="n">
        <v>0.5440980914823108</v>
      </c>
      <c r="D596" s="36" t="n">
        <v>0.8858886951442001</v>
      </c>
      <c r="E596" s="36" t="n">
        <v>0.225247804179507</v>
      </c>
      <c r="F596" s="36" t="n">
        <v>0.330024343248666</v>
      </c>
      <c r="G596" s="36" t="n">
        <v>0.470952138456817</v>
      </c>
      <c r="H596" s="37">
        <f>SUM(B596:G596)</f>
        <v/>
      </c>
      <c r="I596" s="25">
        <f>B596/$H596</f>
        <v/>
      </c>
      <c r="J596" s="25">
        <f>C596/$H596</f>
        <v/>
      </c>
      <c r="K596" s="25">
        <f>D596/$H596</f>
        <v/>
      </c>
      <c r="L596" s="25">
        <f>E596/$H596</f>
        <v/>
      </c>
      <c r="M596" s="25">
        <f>F596/$H596</f>
        <v/>
      </c>
      <c r="N596" s="25">
        <f>G596/$H596</f>
        <v/>
      </c>
      <c r="O596" s="25">
        <f>SUM(MMULT(I596:N596,'07 Annualised Inputs'!$D$7:$D$12))</f>
        <v/>
      </c>
      <c r="P596" s="25">
        <f>SQRT(SUMPRODUCT(MMULT(I596:N596,'07 Annualised Inputs'!$B$17:$G$22),I596:N596))</f>
        <v/>
      </c>
      <c r="Q596" s="37">
        <f>(O596-'02 Config'!$B$10)/P596</f>
        <v/>
      </c>
    </row>
    <row r="597">
      <c r="A597" s="12" t="n">
        <v>592</v>
      </c>
      <c r="B597" s="36" t="n">
        <v>0.4800800751945429</v>
      </c>
      <c r="C597" s="36" t="n">
        <v>0.9976479671837004</v>
      </c>
      <c r="D597" s="36" t="n">
        <v>0.1144453189711301</v>
      </c>
      <c r="E597" s="36" t="n">
        <v>0.8519650356015908</v>
      </c>
      <c r="F597" s="36" t="n">
        <v>0.8636820394218702</v>
      </c>
      <c r="G597" s="36" t="n">
        <v>0.5531986315377874</v>
      </c>
      <c r="H597" s="37">
        <f>SUM(B597:G597)</f>
        <v/>
      </c>
      <c r="I597" s="25">
        <f>B597/$H597</f>
        <v/>
      </c>
      <c r="J597" s="25">
        <f>C597/$H597</f>
        <v/>
      </c>
      <c r="K597" s="25">
        <f>D597/$H597</f>
        <v/>
      </c>
      <c r="L597" s="25">
        <f>E597/$H597</f>
        <v/>
      </c>
      <c r="M597" s="25">
        <f>F597/$H597</f>
        <v/>
      </c>
      <c r="N597" s="25">
        <f>G597/$H597</f>
        <v/>
      </c>
      <c r="O597" s="25">
        <f>SUM(MMULT(I597:N597,'07 Annualised Inputs'!$D$7:$D$12))</f>
        <v/>
      </c>
      <c r="P597" s="25">
        <f>SQRT(SUMPRODUCT(MMULT(I597:N597,'07 Annualised Inputs'!$B$17:$G$22),I597:N597))</f>
        <v/>
      </c>
      <c r="Q597" s="37">
        <f>(O597-'02 Config'!$B$10)/P597</f>
        <v/>
      </c>
    </row>
    <row r="598">
      <c r="A598" s="12" t="n">
        <v>593</v>
      </c>
      <c r="B598" s="36" t="n">
        <v>0.3440371682591538</v>
      </c>
      <c r="C598" s="36" t="n">
        <v>0.5192261042882962</v>
      </c>
      <c r="D598" s="36" t="n">
        <v>0.2924677048065638</v>
      </c>
      <c r="E598" s="36" t="n">
        <v>0.7991074484399395</v>
      </c>
      <c r="F598" s="36" t="n">
        <v>0.4982791587103301</v>
      </c>
      <c r="G598" s="36" t="n">
        <v>0.9258421788774506</v>
      </c>
      <c r="H598" s="37">
        <f>SUM(B598:G598)</f>
        <v/>
      </c>
      <c r="I598" s="25">
        <f>B598/$H598</f>
        <v/>
      </c>
      <c r="J598" s="25">
        <f>C598/$H598</f>
        <v/>
      </c>
      <c r="K598" s="25">
        <f>D598/$H598</f>
        <v/>
      </c>
      <c r="L598" s="25">
        <f>E598/$H598</f>
        <v/>
      </c>
      <c r="M598" s="25">
        <f>F598/$H598</f>
        <v/>
      </c>
      <c r="N598" s="25">
        <f>G598/$H598</f>
        <v/>
      </c>
      <c r="O598" s="25">
        <f>SUM(MMULT(I598:N598,'07 Annualised Inputs'!$D$7:$D$12))</f>
        <v/>
      </c>
      <c r="P598" s="25">
        <f>SQRT(SUMPRODUCT(MMULT(I598:N598,'07 Annualised Inputs'!$B$17:$G$22),I598:N598))</f>
        <v/>
      </c>
      <c r="Q598" s="37">
        <f>(O598-'02 Config'!$B$10)/P598</f>
        <v/>
      </c>
    </row>
    <row r="599">
      <c r="A599" s="12" t="n">
        <v>594</v>
      </c>
      <c r="B599" s="36" t="n">
        <v>0.6226913443560438</v>
      </c>
      <c r="C599" s="36" t="n">
        <v>0.5143193331146834</v>
      </c>
      <c r="D599" s="36" t="n">
        <v>0.7110693539776523</v>
      </c>
      <c r="E599" s="36" t="n">
        <v>0.5039329644302343</v>
      </c>
      <c r="F599" s="36" t="n">
        <v>0.9045063504194472</v>
      </c>
      <c r="G599" s="36" t="n">
        <v>0.1844459608868413</v>
      </c>
      <c r="H599" s="37">
        <f>SUM(B599:G599)</f>
        <v/>
      </c>
      <c r="I599" s="25">
        <f>B599/$H599</f>
        <v/>
      </c>
      <c r="J599" s="25">
        <f>C599/$H599</f>
        <v/>
      </c>
      <c r="K599" s="25">
        <f>D599/$H599</f>
        <v/>
      </c>
      <c r="L599" s="25">
        <f>E599/$H599</f>
        <v/>
      </c>
      <c r="M599" s="25">
        <f>F599/$H599</f>
        <v/>
      </c>
      <c r="N599" s="25">
        <f>G599/$H599</f>
        <v/>
      </c>
      <c r="O599" s="25">
        <f>SUM(MMULT(I599:N599,'07 Annualised Inputs'!$D$7:$D$12))</f>
        <v/>
      </c>
      <c r="P599" s="25">
        <f>SQRT(SUMPRODUCT(MMULT(I599:N599,'07 Annualised Inputs'!$B$17:$G$22),I599:N599))</f>
        <v/>
      </c>
      <c r="Q599" s="37">
        <f>(O599-'02 Config'!$B$10)/P599</f>
        <v/>
      </c>
    </row>
    <row r="600">
      <c r="A600" s="12" t="n">
        <v>595</v>
      </c>
      <c r="B600" s="36" t="n">
        <v>0.9733486837459057</v>
      </c>
      <c r="C600" s="36" t="n">
        <v>0.812190551851192</v>
      </c>
      <c r="D600" s="36" t="n">
        <v>0.8607333618648696</v>
      </c>
      <c r="E600" s="36" t="n">
        <v>0.4829078323710712</v>
      </c>
      <c r="F600" s="36" t="n">
        <v>0.8372015493375974</v>
      </c>
      <c r="G600" s="36" t="n">
        <v>0.3067740835772051</v>
      </c>
      <c r="H600" s="37">
        <f>SUM(B600:G600)</f>
        <v/>
      </c>
      <c r="I600" s="25">
        <f>B600/$H600</f>
        <v/>
      </c>
      <c r="J600" s="25">
        <f>C600/$H600</f>
        <v/>
      </c>
      <c r="K600" s="25">
        <f>D600/$H600</f>
        <v/>
      </c>
      <c r="L600" s="25">
        <f>E600/$H600</f>
        <v/>
      </c>
      <c r="M600" s="25">
        <f>F600/$H600</f>
        <v/>
      </c>
      <c r="N600" s="25">
        <f>G600/$H600</f>
        <v/>
      </c>
      <c r="O600" s="25">
        <f>SUM(MMULT(I600:N600,'07 Annualised Inputs'!$D$7:$D$12))</f>
        <v/>
      </c>
      <c r="P600" s="25">
        <f>SQRT(SUMPRODUCT(MMULT(I600:N600,'07 Annualised Inputs'!$B$17:$G$22),I600:N600))</f>
        <v/>
      </c>
      <c r="Q600" s="37">
        <f>(O600-'02 Config'!$B$10)/P600</f>
        <v/>
      </c>
    </row>
    <row r="601">
      <c r="A601" s="12" t="n">
        <v>596</v>
      </c>
      <c r="B601" s="36" t="n">
        <v>0.7619481785641752</v>
      </c>
      <c r="C601" s="36" t="n">
        <v>0.1404501583890226</v>
      </c>
      <c r="D601" s="36" t="n">
        <v>0.3070519159625087</v>
      </c>
      <c r="E601" s="36" t="n">
        <v>0.4457326633597328</v>
      </c>
      <c r="F601" s="36" t="n">
        <v>0.3223197181434219</v>
      </c>
      <c r="G601" s="36" t="n">
        <v>0.3870171156241836</v>
      </c>
      <c r="H601" s="37">
        <f>SUM(B601:G601)</f>
        <v/>
      </c>
      <c r="I601" s="25">
        <f>B601/$H601</f>
        <v/>
      </c>
      <c r="J601" s="25">
        <f>C601/$H601</f>
        <v/>
      </c>
      <c r="K601" s="25">
        <f>D601/$H601</f>
        <v/>
      </c>
      <c r="L601" s="25">
        <f>E601/$H601</f>
        <v/>
      </c>
      <c r="M601" s="25">
        <f>F601/$H601</f>
        <v/>
      </c>
      <c r="N601" s="25">
        <f>G601/$H601</f>
        <v/>
      </c>
      <c r="O601" s="25">
        <f>SUM(MMULT(I601:N601,'07 Annualised Inputs'!$D$7:$D$12))</f>
        <v/>
      </c>
      <c r="P601" s="25">
        <f>SQRT(SUMPRODUCT(MMULT(I601:N601,'07 Annualised Inputs'!$B$17:$G$22),I601:N601))</f>
        <v/>
      </c>
      <c r="Q601" s="37">
        <f>(O601-'02 Config'!$B$10)/P601</f>
        <v/>
      </c>
    </row>
    <row r="602">
      <c r="A602" s="12" t="n">
        <v>597</v>
      </c>
      <c r="B602" s="36" t="n">
        <v>0.820104744783698</v>
      </c>
      <c r="C602" s="36" t="n">
        <v>0.2566758921421676</v>
      </c>
      <c r="D602" s="36" t="n">
        <v>0.7452811721545722</v>
      </c>
      <c r="E602" s="36" t="n">
        <v>0.07371206911165185</v>
      </c>
      <c r="F602" s="36" t="n">
        <v>0.7657391075150608</v>
      </c>
      <c r="G602" s="36" t="n">
        <v>0.792023242829773</v>
      </c>
      <c r="H602" s="37">
        <f>SUM(B602:G602)</f>
        <v/>
      </c>
      <c r="I602" s="25">
        <f>B602/$H602</f>
        <v/>
      </c>
      <c r="J602" s="25">
        <f>C602/$H602</f>
        <v/>
      </c>
      <c r="K602" s="25">
        <f>D602/$H602</f>
        <v/>
      </c>
      <c r="L602" s="25">
        <f>E602/$H602</f>
        <v/>
      </c>
      <c r="M602" s="25">
        <f>F602/$H602</f>
        <v/>
      </c>
      <c r="N602" s="25">
        <f>G602/$H602</f>
        <v/>
      </c>
      <c r="O602" s="25">
        <f>SUM(MMULT(I602:N602,'07 Annualised Inputs'!$D$7:$D$12))</f>
        <v/>
      </c>
      <c r="P602" s="25">
        <f>SQRT(SUMPRODUCT(MMULT(I602:N602,'07 Annualised Inputs'!$B$17:$G$22),I602:N602))</f>
        <v/>
      </c>
      <c r="Q602" s="37">
        <f>(O602-'02 Config'!$B$10)/P602</f>
        <v/>
      </c>
    </row>
    <row r="603">
      <c r="A603" s="12" t="n">
        <v>598</v>
      </c>
      <c r="B603" s="36" t="n">
        <v>0.401698775502482</v>
      </c>
      <c r="C603" s="36" t="n">
        <v>0.7224778231674704</v>
      </c>
      <c r="D603" s="36" t="n">
        <v>0.9151384037450991</v>
      </c>
      <c r="E603" s="36" t="n">
        <v>0.8007129735545269</v>
      </c>
      <c r="F603" s="36" t="n">
        <v>0.3904465103969599</v>
      </c>
      <c r="G603" s="36" t="n">
        <v>0.4842135142800644</v>
      </c>
      <c r="H603" s="37">
        <f>SUM(B603:G603)</f>
        <v/>
      </c>
      <c r="I603" s="25">
        <f>B603/$H603</f>
        <v/>
      </c>
      <c r="J603" s="25">
        <f>C603/$H603</f>
        <v/>
      </c>
      <c r="K603" s="25">
        <f>D603/$H603</f>
        <v/>
      </c>
      <c r="L603" s="25">
        <f>E603/$H603</f>
        <v/>
      </c>
      <c r="M603" s="25">
        <f>F603/$H603</f>
        <v/>
      </c>
      <c r="N603" s="25">
        <f>G603/$H603</f>
        <v/>
      </c>
      <c r="O603" s="25">
        <f>SUM(MMULT(I603:N603,'07 Annualised Inputs'!$D$7:$D$12))</f>
        <v/>
      </c>
      <c r="P603" s="25">
        <f>SQRT(SUMPRODUCT(MMULT(I603:N603,'07 Annualised Inputs'!$B$17:$G$22),I603:N603))</f>
        <v/>
      </c>
      <c r="Q603" s="37">
        <f>(O603-'02 Config'!$B$10)/P603</f>
        <v/>
      </c>
    </row>
    <row r="604">
      <c r="A604" s="12" t="n">
        <v>599</v>
      </c>
      <c r="B604" s="36" t="n">
        <v>0.7793575447858054</v>
      </c>
      <c r="C604" s="36" t="n">
        <v>0.2925945898491236</v>
      </c>
      <c r="D604" s="36" t="n">
        <v>0.8038827403088735</v>
      </c>
      <c r="E604" s="36" t="n">
        <v>0.3280711425609412</v>
      </c>
      <c r="F604" s="36" t="n">
        <v>0.8059905823855381</v>
      </c>
      <c r="G604" s="36" t="n">
        <v>0.08680044335072334</v>
      </c>
      <c r="H604" s="37">
        <f>SUM(B604:G604)</f>
        <v/>
      </c>
      <c r="I604" s="25">
        <f>B604/$H604</f>
        <v/>
      </c>
      <c r="J604" s="25">
        <f>C604/$H604</f>
        <v/>
      </c>
      <c r="K604" s="25">
        <f>D604/$H604</f>
        <v/>
      </c>
      <c r="L604" s="25">
        <f>E604/$H604</f>
        <v/>
      </c>
      <c r="M604" s="25">
        <f>F604/$H604</f>
        <v/>
      </c>
      <c r="N604" s="25">
        <f>G604/$H604</f>
        <v/>
      </c>
      <c r="O604" s="25">
        <f>SUM(MMULT(I604:N604,'07 Annualised Inputs'!$D$7:$D$12))</f>
        <v/>
      </c>
      <c r="P604" s="25">
        <f>SQRT(SUMPRODUCT(MMULT(I604:N604,'07 Annualised Inputs'!$B$17:$G$22),I604:N604))</f>
        <v/>
      </c>
      <c r="Q604" s="37">
        <f>(O604-'02 Config'!$B$10)/P604</f>
        <v/>
      </c>
    </row>
    <row r="605">
      <c r="A605" s="12" t="n">
        <v>600</v>
      </c>
      <c r="B605" s="36" t="n">
        <v>0.04439729691059013</v>
      </c>
      <c r="C605" s="36" t="n">
        <v>0.9976754473698223</v>
      </c>
      <c r="D605" s="36" t="n">
        <v>0.869457123234689</v>
      </c>
      <c r="E605" s="36" t="n">
        <v>0.8828475034662039</v>
      </c>
      <c r="F605" s="36" t="n">
        <v>0.9512799476066175</v>
      </c>
      <c r="G605" s="36" t="n">
        <v>0.4383163094144878</v>
      </c>
      <c r="H605" s="37">
        <f>SUM(B605:G605)</f>
        <v/>
      </c>
      <c r="I605" s="25">
        <f>B605/$H605</f>
        <v/>
      </c>
      <c r="J605" s="25">
        <f>C605/$H605</f>
        <v/>
      </c>
      <c r="K605" s="25">
        <f>D605/$H605</f>
        <v/>
      </c>
      <c r="L605" s="25">
        <f>E605/$H605</f>
        <v/>
      </c>
      <c r="M605" s="25">
        <f>F605/$H605</f>
        <v/>
      </c>
      <c r="N605" s="25">
        <f>G605/$H605</f>
        <v/>
      </c>
      <c r="O605" s="25">
        <f>SUM(MMULT(I605:N605,'07 Annualised Inputs'!$D$7:$D$12))</f>
        <v/>
      </c>
      <c r="P605" s="25">
        <f>SQRT(SUMPRODUCT(MMULT(I605:N605,'07 Annualised Inputs'!$B$17:$G$22),I605:N605))</f>
        <v/>
      </c>
      <c r="Q605" s="37">
        <f>(O605-'02 Config'!$B$10)/P605</f>
        <v/>
      </c>
    </row>
    <row r="606">
      <c r="A606" s="12" t="n">
        <v>601</v>
      </c>
      <c r="B606" s="36" t="n">
        <v>0.2868355546801522</v>
      </c>
      <c r="C606" s="36" t="n">
        <v>0.130024995017903</v>
      </c>
      <c r="D606" s="36" t="n">
        <v>0.5012091335384645</v>
      </c>
      <c r="E606" s="36" t="n">
        <v>0.2200483204766078</v>
      </c>
      <c r="F606" s="36" t="n">
        <v>0.9355508567393197</v>
      </c>
      <c r="G606" s="36" t="n">
        <v>0.004003162442779096</v>
      </c>
      <c r="H606" s="37">
        <f>SUM(B606:G606)</f>
        <v/>
      </c>
      <c r="I606" s="25">
        <f>B606/$H606</f>
        <v/>
      </c>
      <c r="J606" s="25">
        <f>C606/$H606</f>
        <v/>
      </c>
      <c r="K606" s="25">
        <f>D606/$H606</f>
        <v/>
      </c>
      <c r="L606" s="25">
        <f>E606/$H606</f>
        <v/>
      </c>
      <c r="M606" s="25">
        <f>F606/$H606</f>
        <v/>
      </c>
      <c r="N606" s="25">
        <f>G606/$H606</f>
        <v/>
      </c>
      <c r="O606" s="25">
        <f>SUM(MMULT(I606:N606,'07 Annualised Inputs'!$D$7:$D$12))</f>
        <v/>
      </c>
      <c r="P606" s="25">
        <f>SQRT(SUMPRODUCT(MMULT(I606:N606,'07 Annualised Inputs'!$B$17:$G$22),I606:N606))</f>
        <v/>
      </c>
      <c r="Q606" s="37">
        <f>(O606-'02 Config'!$B$10)/P606</f>
        <v/>
      </c>
    </row>
    <row r="607">
      <c r="A607" s="12" t="n">
        <v>602</v>
      </c>
      <c r="B607" s="36" t="n">
        <v>0.1431967377431216</v>
      </c>
      <c r="C607" s="36" t="n">
        <v>0.2464758530834268</v>
      </c>
      <c r="D607" s="36" t="n">
        <v>0.1989567115931951</v>
      </c>
      <c r="E607" s="36" t="n">
        <v>0.2257784365797103</v>
      </c>
      <c r="F607" s="36" t="n">
        <v>0.6560476050611784</v>
      </c>
      <c r="G607" s="36" t="n">
        <v>0.3275120783131492</v>
      </c>
      <c r="H607" s="37">
        <f>SUM(B607:G607)</f>
        <v/>
      </c>
      <c r="I607" s="25">
        <f>B607/$H607</f>
        <v/>
      </c>
      <c r="J607" s="25">
        <f>C607/$H607</f>
        <v/>
      </c>
      <c r="K607" s="25">
        <f>D607/$H607</f>
        <v/>
      </c>
      <c r="L607" s="25">
        <f>E607/$H607</f>
        <v/>
      </c>
      <c r="M607" s="25">
        <f>F607/$H607</f>
        <v/>
      </c>
      <c r="N607" s="25">
        <f>G607/$H607</f>
        <v/>
      </c>
      <c r="O607" s="25">
        <f>SUM(MMULT(I607:N607,'07 Annualised Inputs'!$D$7:$D$12))</f>
        <v/>
      </c>
      <c r="P607" s="25">
        <f>SQRT(SUMPRODUCT(MMULT(I607:N607,'07 Annualised Inputs'!$B$17:$G$22),I607:N607))</f>
        <v/>
      </c>
      <c r="Q607" s="37">
        <f>(O607-'02 Config'!$B$10)/P607</f>
        <v/>
      </c>
    </row>
    <row r="608">
      <c r="A608" s="12" t="n">
        <v>603</v>
      </c>
      <c r="B608" s="36" t="n">
        <v>0.6150243819033733</v>
      </c>
      <c r="C608" s="36" t="n">
        <v>0.8902579336462912</v>
      </c>
      <c r="D608" s="36" t="n">
        <v>0.602556765525702</v>
      </c>
      <c r="E608" s="36" t="n">
        <v>0.6945327912863815</v>
      </c>
      <c r="F608" s="36" t="n">
        <v>0.3655032982213573</v>
      </c>
      <c r="G608" s="36" t="n">
        <v>0.1597384676227092</v>
      </c>
      <c r="H608" s="37">
        <f>SUM(B608:G608)</f>
        <v/>
      </c>
      <c r="I608" s="25">
        <f>B608/$H608</f>
        <v/>
      </c>
      <c r="J608" s="25">
        <f>C608/$H608</f>
        <v/>
      </c>
      <c r="K608" s="25">
        <f>D608/$H608</f>
        <v/>
      </c>
      <c r="L608" s="25">
        <f>E608/$H608</f>
        <v/>
      </c>
      <c r="M608" s="25">
        <f>F608/$H608</f>
        <v/>
      </c>
      <c r="N608" s="25">
        <f>G608/$H608</f>
        <v/>
      </c>
      <c r="O608" s="25">
        <f>SUM(MMULT(I608:N608,'07 Annualised Inputs'!$D$7:$D$12))</f>
        <v/>
      </c>
      <c r="P608" s="25">
        <f>SQRT(SUMPRODUCT(MMULT(I608:N608,'07 Annualised Inputs'!$B$17:$G$22),I608:N608))</f>
        <v/>
      </c>
      <c r="Q608" s="37">
        <f>(O608-'02 Config'!$B$10)/P608</f>
        <v/>
      </c>
    </row>
    <row r="609">
      <c r="A609" s="12" t="n">
        <v>604</v>
      </c>
      <c r="B609" s="36" t="n">
        <v>0.3205840624499061</v>
      </c>
      <c r="C609" s="36" t="n">
        <v>0.9642826487041081</v>
      </c>
      <c r="D609" s="36" t="n">
        <v>0.6218113844531371</v>
      </c>
      <c r="E609" s="36" t="n">
        <v>0.2775111194340152</v>
      </c>
      <c r="F609" s="36" t="n">
        <v>0.4509152671621038</v>
      </c>
      <c r="G609" s="36" t="n">
        <v>0.8355130374309944</v>
      </c>
      <c r="H609" s="37">
        <f>SUM(B609:G609)</f>
        <v/>
      </c>
      <c r="I609" s="25">
        <f>B609/$H609</f>
        <v/>
      </c>
      <c r="J609" s="25">
        <f>C609/$H609</f>
        <v/>
      </c>
      <c r="K609" s="25">
        <f>D609/$H609</f>
        <v/>
      </c>
      <c r="L609" s="25">
        <f>E609/$H609</f>
        <v/>
      </c>
      <c r="M609" s="25">
        <f>F609/$H609</f>
        <v/>
      </c>
      <c r="N609" s="25">
        <f>G609/$H609</f>
        <v/>
      </c>
      <c r="O609" s="25">
        <f>SUM(MMULT(I609:N609,'07 Annualised Inputs'!$D$7:$D$12))</f>
        <v/>
      </c>
      <c r="P609" s="25">
        <f>SQRT(SUMPRODUCT(MMULT(I609:N609,'07 Annualised Inputs'!$B$17:$G$22),I609:N609))</f>
        <v/>
      </c>
      <c r="Q609" s="37">
        <f>(O609-'02 Config'!$B$10)/P609</f>
        <v/>
      </c>
    </row>
    <row r="610">
      <c r="A610" s="12" t="n">
        <v>605</v>
      </c>
      <c r="B610" s="36" t="n">
        <v>0.6684435707057735</v>
      </c>
      <c r="C610" s="36" t="n">
        <v>0.5606528407291682</v>
      </c>
      <c r="D610" s="36" t="n">
        <v>0.8851628766338411</v>
      </c>
      <c r="E610" s="36" t="n">
        <v>0.6724395722167903</v>
      </c>
      <c r="F610" s="36" t="n">
        <v>0.6427297307910954</v>
      </c>
      <c r="G610" s="36" t="n">
        <v>0.1897681372107681</v>
      </c>
      <c r="H610" s="37">
        <f>SUM(B610:G610)</f>
        <v/>
      </c>
      <c r="I610" s="25">
        <f>B610/$H610</f>
        <v/>
      </c>
      <c r="J610" s="25">
        <f>C610/$H610</f>
        <v/>
      </c>
      <c r="K610" s="25">
        <f>D610/$H610</f>
        <v/>
      </c>
      <c r="L610" s="25">
        <f>E610/$H610</f>
        <v/>
      </c>
      <c r="M610" s="25">
        <f>F610/$H610</f>
        <v/>
      </c>
      <c r="N610" s="25">
        <f>G610/$H610</f>
        <v/>
      </c>
      <c r="O610" s="25">
        <f>SUM(MMULT(I610:N610,'07 Annualised Inputs'!$D$7:$D$12))</f>
        <v/>
      </c>
      <c r="P610" s="25">
        <f>SQRT(SUMPRODUCT(MMULT(I610:N610,'07 Annualised Inputs'!$B$17:$G$22),I610:N610))</f>
        <v/>
      </c>
      <c r="Q610" s="37">
        <f>(O610-'02 Config'!$B$10)/P610</f>
        <v/>
      </c>
    </row>
    <row r="611">
      <c r="A611" s="12" t="n">
        <v>606</v>
      </c>
      <c r="B611" s="36" t="n">
        <v>0.1063886830124078</v>
      </c>
      <c r="C611" s="36" t="n">
        <v>0.9651421170573991</v>
      </c>
      <c r="D611" s="36" t="n">
        <v>0.5988583701003527</v>
      </c>
      <c r="E611" s="36" t="n">
        <v>0.4156834091464291</v>
      </c>
      <c r="F611" s="36" t="n">
        <v>0.5890208209102176</v>
      </c>
      <c r="G611" s="36" t="n">
        <v>0.06181196107171538</v>
      </c>
      <c r="H611" s="37">
        <f>SUM(B611:G611)</f>
        <v/>
      </c>
      <c r="I611" s="25">
        <f>B611/$H611</f>
        <v/>
      </c>
      <c r="J611" s="25">
        <f>C611/$H611</f>
        <v/>
      </c>
      <c r="K611" s="25">
        <f>D611/$H611</f>
        <v/>
      </c>
      <c r="L611" s="25">
        <f>E611/$H611</f>
        <v/>
      </c>
      <c r="M611" s="25">
        <f>F611/$H611</f>
        <v/>
      </c>
      <c r="N611" s="25">
        <f>G611/$H611</f>
        <v/>
      </c>
      <c r="O611" s="25">
        <f>SUM(MMULT(I611:N611,'07 Annualised Inputs'!$D$7:$D$12))</f>
        <v/>
      </c>
      <c r="P611" s="25">
        <f>SQRT(SUMPRODUCT(MMULT(I611:N611,'07 Annualised Inputs'!$B$17:$G$22),I611:N611))</f>
        <v/>
      </c>
      <c r="Q611" s="37">
        <f>(O611-'02 Config'!$B$10)/P611</f>
        <v/>
      </c>
    </row>
    <row r="612">
      <c r="A612" s="12" t="n">
        <v>607</v>
      </c>
      <c r="B612" s="36" t="n">
        <v>0.8221272739041068</v>
      </c>
      <c r="C612" s="36" t="n">
        <v>0.216645535564336</v>
      </c>
      <c r="D612" s="36" t="n">
        <v>0.804546006317947</v>
      </c>
      <c r="E612" s="36" t="n">
        <v>0.5343784432636106</v>
      </c>
      <c r="F612" s="36" t="n">
        <v>0.2765720136569028</v>
      </c>
      <c r="G612" s="36" t="n">
        <v>0.03020994824207046</v>
      </c>
      <c r="H612" s="37">
        <f>SUM(B612:G612)</f>
        <v/>
      </c>
      <c r="I612" s="25">
        <f>B612/$H612</f>
        <v/>
      </c>
      <c r="J612" s="25">
        <f>C612/$H612</f>
        <v/>
      </c>
      <c r="K612" s="25">
        <f>D612/$H612</f>
        <v/>
      </c>
      <c r="L612" s="25">
        <f>E612/$H612</f>
        <v/>
      </c>
      <c r="M612" s="25">
        <f>F612/$H612</f>
        <v/>
      </c>
      <c r="N612" s="25">
        <f>G612/$H612</f>
        <v/>
      </c>
      <c r="O612" s="25">
        <f>SUM(MMULT(I612:N612,'07 Annualised Inputs'!$D$7:$D$12))</f>
        <v/>
      </c>
      <c r="P612" s="25">
        <f>SQRT(SUMPRODUCT(MMULT(I612:N612,'07 Annualised Inputs'!$B$17:$G$22),I612:N612))</f>
        <v/>
      </c>
      <c r="Q612" s="37">
        <f>(O612-'02 Config'!$B$10)/P612</f>
        <v/>
      </c>
    </row>
    <row r="613">
      <c r="A613" s="12" t="n">
        <v>608</v>
      </c>
      <c r="B613" s="36" t="n">
        <v>0.8158333553266057</v>
      </c>
      <c r="C613" s="36" t="n">
        <v>0.1764601414693067</v>
      </c>
      <c r="D613" s="36" t="n">
        <v>0.05180511563987344</v>
      </c>
      <c r="E613" s="36" t="n">
        <v>0.7558777308258808</v>
      </c>
      <c r="F613" s="36" t="n">
        <v>0.3500432223729788</v>
      </c>
      <c r="G613" s="36" t="n">
        <v>0.38933400559165</v>
      </c>
      <c r="H613" s="37">
        <f>SUM(B613:G613)</f>
        <v/>
      </c>
      <c r="I613" s="25">
        <f>B613/$H613</f>
        <v/>
      </c>
      <c r="J613" s="25">
        <f>C613/$H613</f>
        <v/>
      </c>
      <c r="K613" s="25">
        <f>D613/$H613</f>
        <v/>
      </c>
      <c r="L613" s="25">
        <f>E613/$H613</f>
        <v/>
      </c>
      <c r="M613" s="25">
        <f>F613/$H613</f>
        <v/>
      </c>
      <c r="N613" s="25">
        <f>G613/$H613</f>
        <v/>
      </c>
      <c r="O613" s="25">
        <f>SUM(MMULT(I613:N613,'07 Annualised Inputs'!$D$7:$D$12))</f>
        <v/>
      </c>
      <c r="P613" s="25">
        <f>SQRT(SUMPRODUCT(MMULT(I613:N613,'07 Annualised Inputs'!$B$17:$G$22),I613:N613))</f>
        <v/>
      </c>
      <c r="Q613" s="37">
        <f>(O613-'02 Config'!$B$10)/P613</f>
        <v/>
      </c>
    </row>
    <row r="614">
      <c r="A614" s="12" t="n">
        <v>609</v>
      </c>
      <c r="B614" s="36" t="n">
        <v>0.247067587280719</v>
      </c>
      <c r="C614" s="36" t="n">
        <v>0.8591784786968971</v>
      </c>
      <c r="D614" s="36" t="n">
        <v>0.2973295261065321</v>
      </c>
      <c r="E614" s="36" t="n">
        <v>0.2101925697510238</v>
      </c>
      <c r="F614" s="36" t="n">
        <v>0.3092497263361561</v>
      </c>
      <c r="G614" s="36" t="n">
        <v>0.203149575167397</v>
      </c>
      <c r="H614" s="37">
        <f>SUM(B614:G614)</f>
        <v/>
      </c>
      <c r="I614" s="25">
        <f>B614/$H614</f>
        <v/>
      </c>
      <c r="J614" s="25">
        <f>C614/$H614</f>
        <v/>
      </c>
      <c r="K614" s="25">
        <f>D614/$H614</f>
        <v/>
      </c>
      <c r="L614" s="25">
        <f>E614/$H614</f>
        <v/>
      </c>
      <c r="M614" s="25">
        <f>F614/$H614</f>
        <v/>
      </c>
      <c r="N614" s="25">
        <f>G614/$H614</f>
        <v/>
      </c>
      <c r="O614" s="25">
        <f>SUM(MMULT(I614:N614,'07 Annualised Inputs'!$D$7:$D$12))</f>
        <v/>
      </c>
      <c r="P614" s="25">
        <f>SQRT(SUMPRODUCT(MMULT(I614:N614,'07 Annualised Inputs'!$B$17:$G$22),I614:N614))</f>
        <v/>
      </c>
      <c r="Q614" s="37">
        <f>(O614-'02 Config'!$B$10)/P614</f>
        <v/>
      </c>
    </row>
    <row r="615">
      <c r="A615" s="12" t="n">
        <v>610</v>
      </c>
      <c r="B615" s="36" t="n">
        <v>0.3176552208052075</v>
      </c>
      <c r="C615" s="36" t="n">
        <v>0.08293622286817304</v>
      </c>
      <c r="D615" s="36" t="n">
        <v>0.1585300291194583</v>
      </c>
      <c r="E615" s="36" t="n">
        <v>0.4170528833961479</v>
      </c>
      <c r="F615" s="36" t="n">
        <v>0.8794668555898764</v>
      </c>
      <c r="G615" s="36" t="n">
        <v>0.05729074672228585</v>
      </c>
      <c r="H615" s="37">
        <f>SUM(B615:G615)</f>
        <v/>
      </c>
      <c r="I615" s="25">
        <f>B615/$H615</f>
        <v/>
      </c>
      <c r="J615" s="25">
        <f>C615/$H615</f>
        <v/>
      </c>
      <c r="K615" s="25">
        <f>D615/$H615</f>
        <v/>
      </c>
      <c r="L615" s="25">
        <f>E615/$H615</f>
        <v/>
      </c>
      <c r="M615" s="25">
        <f>F615/$H615</f>
        <v/>
      </c>
      <c r="N615" s="25">
        <f>G615/$H615</f>
        <v/>
      </c>
      <c r="O615" s="25">
        <f>SUM(MMULT(I615:N615,'07 Annualised Inputs'!$D$7:$D$12))</f>
        <v/>
      </c>
      <c r="P615" s="25">
        <f>SQRT(SUMPRODUCT(MMULT(I615:N615,'07 Annualised Inputs'!$B$17:$G$22),I615:N615))</f>
        <v/>
      </c>
      <c r="Q615" s="37">
        <f>(O615-'02 Config'!$B$10)/P615</f>
        <v/>
      </c>
    </row>
    <row r="616">
      <c r="A616" s="12" t="n">
        <v>611</v>
      </c>
      <c r="B616" s="36" t="n">
        <v>0.2126747067600306</v>
      </c>
      <c r="C616" s="36" t="n">
        <v>0.9083456755415963</v>
      </c>
      <c r="D616" s="36" t="n">
        <v>0.8900146741599216</v>
      </c>
      <c r="E616" s="36" t="n">
        <v>0.6794508332959412</v>
      </c>
      <c r="F616" s="36" t="n">
        <v>0.240473554095238</v>
      </c>
      <c r="G616" s="36" t="n">
        <v>0.4198105610557857</v>
      </c>
      <c r="H616" s="37">
        <f>SUM(B616:G616)</f>
        <v/>
      </c>
      <c r="I616" s="25">
        <f>B616/$H616</f>
        <v/>
      </c>
      <c r="J616" s="25">
        <f>C616/$H616</f>
        <v/>
      </c>
      <c r="K616" s="25">
        <f>D616/$H616</f>
        <v/>
      </c>
      <c r="L616" s="25">
        <f>E616/$H616</f>
        <v/>
      </c>
      <c r="M616" s="25">
        <f>F616/$H616</f>
        <v/>
      </c>
      <c r="N616" s="25">
        <f>G616/$H616</f>
        <v/>
      </c>
      <c r="O616" s="25">
        <f>SUM(MMULT(I616:N616,'07 Annualised Inputs'!$D$7:$D$12))</f>
        <v/>
      </c>
      <c r="P616" s="25">
        <f>SQRT(SUMPRODUCT(MMULT(I616:N616,'07 Annualised Inputs'!$B$17:$G$22),I616:N616))</f>
        <v/>
      </c>
      <c r="Q616" s="37">
        <f>(O616-'02 Config'!$B$10)/P616</f>
        <v/>
      </c>
    </row>
    <row r="617">
      <c r="A617" s="12" t="n">
        <v>612</v>
      </c>
      <c r="B617" s="36" t="n">
        <v>0.211220994437965</v>
      </c>
      <c r="C617" s="36" t="n">
        <v>0.1285885091252033</v>
      </c>
      <c r="D617" s="36" t="n">
        <v>0.3799983945138915</v>
      </c>
      <c r="E617" s="36" t="n">
        <v>0.5758216050703502</v>
      </c>
      <c r="F617" s="36" t="n">
        <v>0.3599326754648052</v>
      </c>
      <c r="G617" s="36" t="n">
        <v>0.6108245504659697</v>
      </c>
      <c r="H617" s="37">
        <f>SUM(B617:G617)</f>
        <v/>
      </c>
      <c r="I617" s="25">
        <f>B617/$H617</f>
        <v/>
      </c>
      <c r="J617" s="25">
        <f>C617/$H617</f>
        <v/>
      </c>
      <c r="K617" s="25">
        <f>D617/$H617</f>
        <v/>
      </c>
      <c r="L617" s="25">
        <f>E617/$H617</f>
        <v/>
      </c>
      <c r="M617" s="25">
        <f>F617/$H617</f>
        <v/>
      </c>
      <c r="N617" s="25">
        <f>G617/$H617</f>
        <v/>
      </c>
      <c r="O617" s="25">
        <f>SUM(MMULT(I617:N617,'07 Annualised Inputs'!$D$7:$D$12))</f>
        <v/>
      </c>
      <c r="P617" s="25">
        <f>SQRT(SUMPRODUCT(MMULT(I617:N617,'07 Annualised Inputs'!$B$17:$G$22),I617:N617))</f>
        <v/>
      </c>
      <c r="Q617" s="37">
        <f>(O617-'02 Config'!$B$10)/P617</f>
        <v/>
      </c>
    </row>
    <row r="618">
      <c r="A618" s="12" t="n">
        <v>613</v>
      </c>
      <c r="B618" s="36" t="n">
        <v>0.2962547353793055</v>
      </c>
      <c r="C618" s="36" t="n">
        <v>0.3458505277607903</v>
      </c>
      <c r="D618" s="36" t="n">
        <v>0.7906735916446096</v>
      </c>
      <c r="E618" s="36" t="n">
        <v>0.878314730893858</v>
      </c>
      <c r="F618" s="36" t="n">
        <v>0.3220340815310521</v>
      </c>
      <c r="G618" s="36" t="n">
        <v>0.5715158013452762</v>
      </c>
      <c r="H618" s="37">
        <f>SUM(B618:G618)</f>
        <v/>
      </c>
      <c r="I618" s="25">
        <f>B618/$H618</f>
        <v/>
      </c>
      <c r="J618" s="25">
        <f>C618/$H618</f>
        <v/>
      </c>
      <c r="K618" s="25">
        <f>D618/$H618</f>
        <v/>
      </c>
      <c r="L618" s="25">
        <f>E618/$H618</f>
        <v/>
      </c>
      <c r="M618" s="25">
        <f>F618/$H618</f>
        <v/>
      </c>
      <c r="N618" s="25">
        <f>G618/$H618</f>
        <v/>
      </c>
      <c r="O618" s="25">
        <f>SUM(MMULT(I618:N618,'07 Annualised Inputs'!$D$7:$D$12))</f>
        <v/>
      </c>
      <c r="P618" s="25">
        <f>SQRT(SUMPRODUCT(MMULT(I618:N618,'07 Annualised Inputs'!$B$17:$G$22),I618:N618))</f>
        <v/>
      </c>
      <c r="Q618" s="37">
        <f>(O618-'02 Config'!$B$10)/P618</f>
        <v/>
      </c>
    </row>
    <row r="619">
      <c r="A619" s="12" t="n">
        <v>614</v>
      </c>
      <c r="B619" s="36" t="n">
        <v>0.278162283892268</v>
      </c>
      <c r="C619" s="36" t="n">
        <v>0.05333464170742752</v>
      </c>
      <c r="D619" s="36" t="n">
        <v>0.737857181360408</v>
      </c>
      <c r="E619" s="36" t="n">
        <v>0.1710034832361503</v>
      </c>
      <c r="F619" s="36" t="n">
        <v>0.4257125237469171</v>
      </c>
      <c r="G619" s="36" t="n">
        <v>0.4870454933791568</v>
      </c>
      <c r="H619" s="37">
        <f>SUM(B619:G619)</f>
        <v/>
      </c>
      <c r="I619" s="25">
        <f>B619/$H619</f>
        <v/>
      </c>
      <c r="J619" s="25">
        <f>C619/$H619</f>
        <v/>
      </c>
      <c r="K619" s="25">
        <f>D619/$H619</f>
        <v/>
      </c>
      <c r="L619" s="25">
        <f>E619/$H619</f>
        <v/>
      </c>
      <c r="M619" s="25">
        <f>F619/$H619</f>
        <v/>
      </c>
      <c r="N619" s="25">
        <f>G619/$H619</f>
        <v/>
      </c>
      <c r="O619" s="25">
        <f>SUM(MMULT(I619:N619,'07 Annualised Inputs'!$D$7:$D$12))</f>
        <v/>
      </c>
      <c r="P619" s="25">
        <f>SQRT(SUMPRODUCT(MMULT(I619:N619,'07 Annualised Inputs'!$B$17:$G$22),I619:N619))</f>
        <v/>
      </c>
      <c r="Q619" s="37">
        <f>(O619-'02 Config'!$B$10)/P619</f>
        <v/>
      </c>
    </row>
    <row r="620">
      <c r="A620" s="12" t="n">
        <v>615</v>
      </c>
      <c r="B620" s="36" t="n">
        <v>0.1844715841791059</v>
      </c>
      <c r="C620" s="36" t="n">
        <v>0.09455535066339626</v>
      </c>
      <c r="D620" s="36" t="n">
        <v>0.3480130146710706</v>
      </c>
      <c r="E620" s="36" t="n">
        <v>0.9522859075503184</v>
      </c>
      <c r="F620" s="36" t="n">
        <v>0.6151355899884214</v>
      </c>
      <c r="G620" s="36" t="n">
        <v>0.3814102284029025</v>
      </c>
      <c r="H620" s="37">
        <f>SUM(B620:G620)</f>
        <v/>
      </c>
      <c r="I620" s="25">
        <f>B620/$H620</f>
        <v/>
      </c>
      <c r="J620" s="25">
        <f>C620/$H620</f>
        <v/>
      </c>
      <c r="K620" s="25">
        <f>D620/$H620</f>
        <v/>
      </c>
      <c r="L620" s="25">
        <f>E620/$H620</f>
        <v/>
      </c>
      <c r="M620" s="25">
        <f>F620/$H620</f>
        <v/>
      </c>
      <c r="N620" s="25">
        <f>G620/$H620</f>
        <v/>
      </c>
      <c r="O620" s="25">
        <f>SUM(MMULT(I620:N620,'07 Annualised Inputs'!$D$7:$D$12))</f>
        <v/>
      </c>
      <c r="P620" s="25">
        <f>SQRT(SUMPRODUCT(MMULT(I620:N620,'07 Annualised Inputs'!$B$17:$G$22),I620:N620))</f>
        <v/>
      </c>
      <c r="Q620" s="37">
        <f>(O620-'02 Config'!$B$10)/P620</f>
        <v/>
      </c>
    </row>
    <row r="621">
      <c r="A621" s="12" t="n">
        <v>616</v>
      </c>
      <c r="B621" s="36" t="n">
        <v>0.03891082077421493</v>
      </c>
      <c r="C621" s="36" t="n">
        <v>0.6002732813910818</v>
      </c>
      <c r="D621" s="36" t="n">
        <v>0.09225764093537259</v>
      </c>
      <c r="E621" s="36" t="n">
        <v>0.5425440710475263</v>
      </c>
      <c r="F621" s="36" t="n">
        <v>0.7519505082717429</v>
      </c>
      <c r="G621" s="36" t="n">
        <v>0.4235853482947863</v>
      </c>
      <c r="H621" s="37">
        <f>SUM(B621:G621)</f>
        <v/>
      </c>
      <c r="I621" s="25">
        <f>B621/$H621</f>
        <v/>
      </c>
      <c r="J621" s="25">
        <f>C621/$H621</f>
        <v/>
      </c>
      <c r="K621" s="25">
        <f>D621/$H621</f>
        <v/>
      </c>
      <c r="L621" s="25">
        <f>E621/$H621</f>
        <v/>
      </c>
      <c r="M621" s="25">
        <f>F621/$H621</f>
        <v/>
      </c>
      <c r="N621" s="25">
        <f>G621/$H621</f>
        <v/>
      </c>
      <c r="O621" s="25">
        <f>SUM(MMULT(I621:N621,'07 Annualised Inputs'!$D$7:$D$12))</f>
        <v/>
      </c>
      <c r="P621" s="25">
        <f>SQRT(SUMPRODUCT(MMULT(I621:N621,'07 Annualised Inputs'!$B$17:$G$22),I621:N621))</f>
        <v/>
      </c>
      <c r="Q621" s="37">
        <f>(O621-'02 Config'!$B$10)/P621</f>
        <v/>
      </c>
    </row>
    <row r="622">
      <c r="A622" s="12" t="n">
        <v>617</v>
      </c>
      <c r="B622" s="36" t="n">
        <v>0.2994114948165244</v>
      </c>
      <c r="C622" s="36" t="n">
        <v>0.0473842338175986</v>
      </c>
      <c r="D622" s="36" t="n">
        <v>0.0247778751615968</v>
      </c>
      <c r="E622" s="36" t="n">
        <v>0.4300265696455212</v>
      </c>
      <c r="F622" s="36" t="n">
        <v>0.8833452707029679</v>
      </c>
      <c r="G622" s="36" t="n">
        <v>0.2440627787931904</v>
      </c>
      <c r="H622" s="37">
        <f>SUM(B622:G622)</f>
        <v/>
      </c>
      <c r="I622" s="25">
        <f>B622/$H622</f>
        <v/>
      </c>
      <c r="J622" s="25">
        <f>C622/$H622</f>
        <v/>
      </c>
      <c r="K622" s="25">
        <f>D622/$H622</f>
        <v/>
      </c>
      <c r="L622" s="25">
        <f>E622/$H622</f>
        <v/>
      </c>
      <c r="M622" s="25">
        <f>F622/$H622</f>
        <v/>
      </c>
      <c r="N622" s="25">
        <f>G622/$H622</f>
        <v/>
      </c>
      <c r="O622" s="25">
        <f>SUM(MMULT(I622:N622,'07 Annualised Inputs'!$D$7:$D$12))</f>
        <v/>
      </c>
      <c r="P622" s="25">
        <f>SQRT(SUMPRODUCT(MMULT(I622:N622,'07 Annualised Inputs'!$B$17:$G$22),I622:N622))</f>
        <v/>
      </c>
      <c r="Q622" s="37">
        <f>(O622-'02 Config'!$B$10)/P622</f>
        <v/>
      </c>
    </row>
    <row r="623">
      <c r="A623" s="12" t="n">
        <v>618</v>
      </c>
      <c r="B623" s="36" t="n">
        <v>0.5740555057818213</v>
      </c>
      <c r="C623" s="36" t="n">
        <v>0.6843058196797618</v>
      </c>
      <c r="D623" s="36" t="n">
        <v>0.06082986750136143</v>
      </c>
      <c r="E623" s="36" t="n">
        <v>0.1531003758033771</v>
      </c>
      <c r="F623" s="36" t="n">
        <v>0.3312767934195671</v>
      </c>
      <c r="G623" s="36" t="n">
        <v>0.6700931741485705</v>
      </c>
      <c r="H623" s="37">
        <f>SUM(B623:G623)</f>
        <v/>
      </c>
      <c r="I623" s="25">
        <f>B623/$H623</f>
        <v/>
      </c>
      <c r="J623" s="25">
        <f>C623/$H623</f>
        <v/>
      </c>
      <c r="K623" s="25">
        <f>D623/$H623</f>
        <v/>
      </c>
      <c r="L623" s="25">
        <f>E623/$H623</f>
        <v/>
      </c>
      <c r="M623" s="25">
        <f>F623/$H623</f>
        <v/>
      </c>
      <c r="N623" s="25">
        <f>G623/$H623</f>
        <v/>
      </c>
      <c r="O623" s="25">
        <f>SUM(MMULT(I623:N623,'07 Annualised Inputs'!$D$7:$D$12))</f>
        <v/>
      </c>
      <c r="P623" s="25">
        <f>SQRT(SUMPRODUCT(MMULT(I623:N623,'07 Annualised Inputs'!$B$17:$G$22),I623:N623))</f>
        <v/>
      </c>
      <c r="Q623" s="37">
        <f>(O623-'02 Config'!$B$10)/P623</f>
        <v/>
      </c>
    </row>
    <row r="624">
      <c r="A624" s="12" t="n">
        <v>619</v>
      </c>
      <c r="B624" s="36" t="n">
        <v>0.4390351122280969</v>
      </c>
      <c r="C624" s="36" t="n">
        <v>0.7341950682182453</v>
      </c>
      <c r="D624" s="36" t="n">
        <v>0.8675978655731925</v>
      </c>
      <c r="E624" s="36" t="n">
        <v>0.7583722765985429</v>
      </c>
      <c r="F624" s="36" t="n">
        <v>0.9922472073132491</v>
      </c>
      <c r="G624" s="36" t="n">
        <v>0.7543610687316497</v>
      </c>
      <c r="H624" s="37">
        <f>SUM(B624:G624)</f>
        <v/>
      </c>
      <c r="I624" s="25">
        <f>B624/$H624</f>
        <v/>
      </c>
      <c r="J624" s="25">
        <f>C624/$H624</f>
        <v/>
      </c>
      <c r="K624" s="25">
        <f>D624/$H624</f>
        <v/>
      </c>
      <c r="L624" s="25">
        <f>E624/$H624</f>
        <v/>
      </c>
      <c r="M624" s="25">
        <f>F624/$H624</f>
        <v/>
      </c>
      <c r="N624" s="25">
        <f>G624/$H624</f>
        <v/>
      </c>
      <c r="O624" s="25">
        <f>SUM(MMULT(I624:N624,'07 Annualised Inputs'!$D$7:$D$12))</f>
        <v/>
      </c>
      <c r="P624" s="25">
        <f>SQRT(SUMPRODUCT(MMULT(I624:N624,'07 Annualised Inputs'!$B$17:$G$22),I624:N624))</f>
        <v/>
      </c>
      <c r="Q624" s="37">
        <f>(O624-'02 Config'!$B$10)/P624</f>
        <v/>
      </c>
    </row>
    <row r="625">
      <c r="A625" s="12" t="n">
        <v>620</v>
      </c>
      <c r="B625" s="36" t="n">
        <v>0.8521791950074505</v>
      </c>
      <c r="C625" s="36" t="n">
        <v>0.832366358465001</v>
      </c>
      <c r="D625" s="36" t="n">
        <v>0.7302657622800466</v>
      </c>
      <c r="E625" s="36" t="n">
        <v>0.8018018166558906</v>
      </c>
      <c r="F625" s="36" t="n">
        <v>0.9346832278674102</v>
      </c>
      <c r="G625" s="36" t="n">
        <v>0.4752073785262926</v>
      </c>
      <c r="H625" s="37">
        <f>SUM(B625:G625)</f>
        <v/>
      </c>
      <c r="I625" s="25">
        <f>B625/$H625</f>
        <v/>
      </c>
      <c r="J625" s="25">
        <f>C625/$H625</f>
        <v/>
      </c>
      <c r="K625" s="25">
        <f>D625/$H625</f>
        <v/>
      </c>
      <c r="L625" s="25">
        <f>E625/$H625</f>
        <v/>
      </c>
      <c r="M625" s="25">
        <f>F625/$H625</f>
        <v/>
      </c>
      <c r="N625" s="25">
        <f>G625/$H625</f>
        <v/>
      </c>
      <c r="O625" s="25">
        <f>SUM(MMULT(I625:N625,'07 Annualised Inputs'!$D$7:$D$12))</f>
        <v/>
      </c>
      <c r="P625" s="25">
        <f>SQRT(SUMPRODUCT(MMULT(I625:N625,'07 Annualised Inputs'!$B$17:$G$22),I625:N625))</f>
        <v/>
      </c>
      <c r="Q625" s="37">
        <f>(O625-'02 Config'!$B$10)/P625</f>
        <v/>
      </c>
    </row>
    <row r="626">
      <c r="A626" s="12" t="n">
        <v>621</v>
      </c>
      <c r="B626" s="36" t="n">
        <v>0.6382870239125435</v>
      </c>
      <c r="C626" s="36" t="n">
        <v>0.5149397215727727</v>
      </c>
      <c r="D626" s="36" t="n">
        <v>0.851036987192073</v>
      </c>
      <c r="E626" s="36" t="n">
        <v>0.4313596028715073</v>
      </c>
      <c r="F626" s="36" t="n">
        <v>0.8197267711447329</v>
      </c>
      <c r="G626" s="36" t="n">
        <v>0.7993545750571388</v>
      </c>
      <c r="H626" s="37">
        <f>SUM(B626:G626)</f>
        <v/>
      </c>
      <c r="I626" s="25">
        <f>B626/$H626</f>
        <v/>
      </c>
      <c r="J626" s="25">
        <f>C626/$H626</f>
        <v/>
      </c>
      <c r="K626" s="25">
        <f>D626/$H626</f>
        <v/>
      </c>
      <c r="L626" s="25">
        <f>E626/$H626</f>
        <v/>
      </c>
      <c r="M626" s="25">
        <f>F626/$H626</f>
        <v/>
      </c>
      <c r="N626" s="25">
        <f>G626/$H626</f>
        <v/>
      </c>
      <c r="O626" s="25">
        <f>SUM(MMULT(I626:N626,'07 Annualised Inputs'!$D$7:$D$12))</f>
        <v/>
      </c>
      <c r="P626" s="25">
        <f>SQRT(SUMPRODUCT(MMULT(I626:N626,'07 Annualised Inputs'!$B$17:$G$22),I626:N626))</f>
        <v/>
      </c>
      <c r="Q626" s="37">
        <f>(O626-'02 Config'!$B$10)/P626</f>
        <v/>
      </c>
    </row>
    <row r="627">
      <c r="A627" s="12" t="n">
        <v>622</v>
      </c>
      <c r="B627" s="36" t="n">
        <v>0.9618861013685905</v>
      </c>
      <c r="C627" s="36" t="n">
        <v>0.2489206992574188</v>
      </c>
      <c r="D627" s="36" t="n">
        <v>0.7096195098859123</v>
      </c>
      <c r="E627" s="36" t="n">
        <v>0.7569194976474862</v>
      </c>
      <c r="F627" s="36" t="n">
        <v>0.9362784928046657</v>
      </c>
      <c r="G627" s="36" t="n">
        <v>0.9069024180555311</v>
      </c>
      <c r="H627" s="37">
        <f>SUM(B627:G627)</f>
        <v/>
      </c>
      <c r="I627" s="25">
        <f>B627/$H627</f>
        <v/>
      </c>
      <c r="J627" s="25">
        <f>C627/$H627</f>
        <v/>
      </c>
      <c r="K627" s="25">
        <f>D627/$H627</f>
        <v/>
      </c>
      <c r="L627" s="25">
        <f>E627/$H627</f>
        <v/>
      </c>
      <c r="M627" s="25">
        <f>F627/$H627</f>
        <v/>
      </c>
      <c r="N627" s="25">
        <f>G627/$H627</f>
        <v/>
      </c>
      <c r="O627" s="25">
        <f>SUM(MMULT(I627:N627,'07 Annualised Inputs'!$D$7:$D$12))</f>
        <v/>
      </c>
      <c r="P627" s="25">
        <f>SQRT(SUMPRODUCT(MMULT(I627:N627,'07 Annualised Inputs'!$B$17:$G$22),I627:N627))</f>
        <v/>
      </c>
      <c r="Q627" s="37">
        <f>(O627-'02 Config'!$B$10)/P627</f>
        <v/>
      </c>
    </row>
    <row r="628">
      <c r="A628" s="12" t="n">
        <v>623</v>
      </c>
      <c r="B628" s="36" t="n">
        <v>0.5735258617084483</v>
      </c>
      <c r="C628" s="36" t="n">
        <v>0.5791531858639798</v>
      </c>
      <c r="D628" s="36" t="n">
        <v>0.1672912284042294</v>
      </c>
      <c r="E628" s="36" t="n">
        <v>0.9749627024237711</v>
      </c>
      <c r="F628" s="36" t="n">
        <v>0.2550174627034268</v>
      </c>
      <c r="G628" s="36" t="n">
        <v>0.7247362184512921</v>
      </c>
      <c r="H628" s="37">
        <f>SUM(B628:G628)</f>
        <v/>
      </c>
      <c r="I628" s="25">
        <f>B628/$H628</f>
        <v/>
      </c>
      <c r="J628" s="25">
        <f>C628/$H628</f>
        <v/>
      </c>
      <c r="K628" s="25">
        <f>D628/$H628</f>
        <v/>
      </c>
      <c r="L628" s="25">
        <f>E628/$H628</f>
        <v/>
      </c>
      <c r="M628" s="25">
        <f>F628/$H628</f>
        <v/>
      </c>
      <c r="N628" s="25">
        <f>G628/$H628</f>
        <v/>
      </c>
      <c r="O628" s="25">
        <f>SUM(MMULT(I628:N628,'07 Annualised Inputs'!$D$7:$D$12))</f>
        <v/>
      </c>
      <c r="P628" s="25">
        <f>SQRT(SUMPRODUCT(MMULT(I628:N628,'07 Annualised Inputs'!$B$17:$G$22),I628:N628))</f>
        <v/>
      </c>
      <c r="Q628" s="37">
        <f>(O628-'02 Config'!$B$10)/P628</f>
        <v/>
      </c>
    </row>
    <row r="629">
      <c r="A629" s="12" t="n">
        <v>624</v>
      </c>
      <c r="B629" s="36" t="n">
        <v>0.7957950048053125</v>
      </c>
      <c r="C629" s="36" t="n">
        <v>0.441215504611381</v>
      </c>
      <c r="D629" s="36" t="n">
        <v>0.211193720029058</v>
      </c>
      <c r="E629" s="36" t="n">
        <v>0.1889603842196868</v>
      </c>
      <c r="F629" s="36" t="n">
        <v>0.8564960009015917</v>
      </c>
      <c r="G629" s="36" t="n">
        <v>0.5107564867485148</v>
      </c>
      <c r="H629" s="37">
        <f>SUM(B629:G629)</f>
        <v/>
      </c>
      <c r="I629" s="25">
        <f>B629/$H629</f>
        <v/>
      </c>
      <c r="J629" s="25">
        <f>C629/$H629</f>
        <v/>
      </c>
      <c r="K629" s="25">
        <f>D629/$H629</f>
        <v/>
      </c>
      <c r="L629" s="25">
        <f>E629/$H629</f>
        <v/>
      </c>
      <c r="M629" s="25">
        <f>F629/$H629</f>
        <v/>
      </c>
      <c r="N629" s="25">
        <f>G629/$H629</f>
        <v/>
      </c>
      <c r="O629" s="25">
        <f>SUM(MMULT(I629:N629,'07 Annualised Inputs'!$D$7:$D$12))</f>
        <v/>
      </c>
      <c r="P629" s="25">
        <f>SQRT(SUMPRODUCT(MMULT(I629:N629,'07 Annualised Inputs'!$B$17:$G$22),I629:N629))</f>
        <v/>
      </c>
      <c r="Q629" s="37">
        <f>(O629-'02 Config'!$B$10)/P629</f>
        <v/>
      </c>
    </row>
    <row r="630">
      <c r="A630" s="12" t="n">
        <v>625</v>
      </c>
      <c r="B630" s="36" t="n">
        <v>0.0901369820382667</v>
      </c>
      <c r="C630" s="36" t="n">
        <v>0.7170194727628887</v>
      </c>
      <c r="D630" s="36" t="n">
        <v>0.2501710528050296</v>
      </c>
      <c r="E630" s="36" t="n">
        <v>0.8763947507508792</v>
      </c>
      <c r="F630" s="36" t="n">
        <v>0.3095717860299753</v>
      </c>
      <c r="G630" s="36" t="n">
        <v>0.2002708300901431</v>
      </c>
      <c r="H630" s="37">
        <f>SUM(B630:G630)</f>
        <v/>
      </c>
      <c r="I630" s="25">
        <f>B630/$H630</f>
        <v/>
      </c>
      <c r="J630" s="25">
        <f>C630/$H630</f>
        <v/>
      </c>
      <c r="K630" s="25">
        <f>D630/$H630</f>
        <v/>
      </c>
      <c r="L630" s="25">
        <f>E630/$H630</f>
        <v/>
      </c>
      <c r="M630" s="25">
        <f>F630/$H630</f>
        <v/>
      </c>
      <c r="N630" s="25">
        <f>G630/$H630</f>
        <v/>
      </c>
      <c r="O630" s="25">
        <f>SUM(MMULT(I630:N630,'07 Annualised Inputs'!$D$7:$D$12))</f>
        <v/>
      </c>
      <c r="P630" s="25">
        <f>SQRT(SUMPRODUCT(MMULT(I630:N630,'07 Annualised Inputs'!$B$17:$G$22),I630:N630))</f>
        <v/>
      </c>
      <c r="Q630" s="37">
        <f>(O630-'02 Config'!$B$10)/P630</f>
        <v/>
      </c>
    </row>
    <row r="631">
      <c r="A631" s="12" t="n">
        <v>626</v>
      </c>
      <c r="B631" s="36" t="n">
        <v>0.08485844355493433</v>
      </c>
      <c r="C631" s="36" t="n">
        <v>0.5115311366376475</v>
      </c>
      <c r="D631" s="36" t="n">
        <v>0.4507375878182873</v>
      </c>
      <c r="E631" s="36" t="n">
        <v>0.7513121446031429</v>
      </c>
      <c r="F631" s="36" t="n">
        <v>0.4646025871930364</v>
      </c>
      <c r="G631" s="36" t="n">
        <v>0.3438159689243711</v>
      </c>
      <c r="H631" s="37">
        <f>SUM(B631:G631)</f>
        <v/>
      </c>
      <c r="I631" s="25">
        <f>B631/$H631</f>
        <v/>
      </c>
      <c r="J631" s="25">
        <f>C631/$H631</f>
        <v/>
      </c>
      <c r="K631" s="25">
        <f>D631/$H631</f>
        <v/>
      </c>
      <c r="L631" s="25">
        <f>E631/$H631</f>
        <v/>
      </c>
      <c r="M631" s="25">
        <f>F631/$H631</f>
        <v/>
      </c>
      <c r="N631" s="25">
        <f>G631/$H631</f>
        <v/>
      </c>
      <c r="O631" s="25">
        <f>SUM(MMULT(I631:N631,'07 Annualised Inputs'!$D$7:$D$12))</f>
        <v/>
      </c>
      <c r="P631" s="25">
        <f>SQRT(SUMPRODUCT(MMULT(I631:N631,'07 Annualised Inputs'!$B$17:$G$22),I631:N631))</f>
        <v/>
      </c>
      <c r="Q631" s="37">
        <f>(O631-'02 Config'!$B$10)/P631</f>
        <v/>
      </c>
    </row>
    <row r="632">
      <c r="A632" s="12" t="n">
        <v>627</v>
      </c>
      <c r="B632" s="36" t="n">
        <v>0.2616549156329441</v>
      </c>
      <c r="C632" s="36" t="n">
        <v>0.2781467454699711</v>
      </c>
      <c r="D632" s="36" t="n">
        <v>0.927847901827814</v>
      </c>
      <c r="E632" s="36" t="n">
        <v>0.1650786020878123</v>
      </c>
      <c r="F632" s="36" t="n">
        <v>0.9881764245571502</v>
      </c>
      <c r="G632" s="36" t="n">
        <v>0.3269194551922248</v>
      </c>
      <c r="H632" s="37">
        <f>SUM(B632:G632)</f>
        <v/>
      </c>
      <c r="I632" s="25">
        <f>B632/$H632</f>
        <v/>
      </c>
      <c r="J632" s="25">
        <f>C632/$H632</f>
        <v/>
      </c>
      <c r="K632" s="25">
        <f>D632/$H632</f>
        <v/>
      </c>
      <c r="L632" s="25">
        <f>E632/$H632</f>
        <v/>
      </c>
      <c r="M632" s="25">
        <f>F632/$H632</f>
        <v/>
      </c>
      <c r="N632" s="25">
        <f>G632/$H632</f>
        <v/>
      </c>
      <c r="O632" s="25">
        <f>SUM(MMULT(I632:N632,'07 Annualised Inputs'!$D$7:$D$12))</f>
        <v/>
      </c>
      <c r="P632" s="25">
        <f>SQRT(SUMPRODUCT(MMULT(I632:N632,'07 Annualised Inputs'!$B$17:$G$22),I632:N632))</f>
        <v/>
      </c>
      <c r="Q632" s="37">
        <f>(O632-'02 Config'!$B$10)/P632</f>
        <v/>
      </c>
    </row>
    <row r="633">
      <c r="A633" s="12" t="n">
        <v>628</v>
      </c>
      <c r="B633" s="36" t="n">
        <v>0.08839023541749746</v>
      </c>
      <c r="C633" s="36" t="n">
        <v>0.248690380787865</v>
      </c>
      <c r="D633" s="36" t="n">
        <v>0.0584143795546187</v>
      </c>
      <c r="E633" s="36" t="n">
        <v>0.7900297691639159</v>
      </c>
      <c r="F633" s="36" t="n">
        <v>0.5125529125411055</v>
      </c>
      <c r="G633" s="36" t="n">
        <v>0.3369866188668009</v>
      </c>
      <c r="H633" s="37">
        <f>SUM(B633:G633)</f>
        <v/>
      </c>
      <c r="I633" s="25">
        <f>B633/$H633</f>
        <v/>
      </c>
      <c r="J633" s="25">
        <f>C633/$H633</f>
        <v/>
      </c>
      <c r="K633" s="25">
        <f>D633/$H633</f>
        <v/>
      </c>
      <c r="L633" s="25">
        <f>E633/$H633</f>
        <v/>
      </c>
      <c r="M633" s="25">
        <f>F633/$H633</f>
        <v/>
      </c>
      <c r="N633" s="25">
        <f>G633/$H633</f>
        <v/>
      </c>
      <c r="O633" s="25">
        <f>SUM(MMULT(I633:N633,'07 Annualised Inputs'!$D$7:$D$12))</f>
        <v/>
      </c>
      <c r="P633" s="25">
        <f>SQRT(SUMPRODUCT(MMULT(I633:N633,'07 Annualised Inputs'!$B$17:$G$22),I633:N633))</f>
        <v/>
      </c>
      <c r="Q633" s="37">
        <f>(O633-'02 Config'!$B$10)/P633</f>
        <v/>
      </c>
    </row>
    <row r="634">
      <c r="A634" s="12" t="n">
        <v>629</v>
      </c>
      <c r="B634" s="36" t="n">
        <v>0.6620496046315625</v>
      </c>
      <c r="C634" s="36" t="n">
        <v>0.6306465259503202</v>
      </c>
      <c r="D634" s="36" t="n">
        <v>0.9398720892275902</v>
      </c>
      <c r="E634" s="36" t="n">
        <v>0.9612605167483796</v>
      </c>
      <c r="F634" s="36" t="n">
        <v>0.6806837756654053</v>
      </c>
      <c r="G634" s="36" t="n">
        <v>0.8178159272441685</v>
      </c>
      <c r="H634" s="37">
        <f>SUM(B634:G634)</f>
        <v/>
      </c>
      <c r="I634" s="25">
        <f>B634/$H634</f>
        <v/>
      </c>
      <c r="J634" s="25">
        <f>C634/$H634</f>
        <v/>
      </c>
      <c r="K634" s="25">
        <f>D634/$H634</f>
        <v/>
      </c>
      <c r="L634" s="25">
        <f>E634/$H634</f>
        <v/>
      </c>
      <c r="M634" s="25">
        <f>F634/$H634</f>
        <v/>
      </c>
      <c r="N634" s="25">
        <f>G634/$H634</f>
        <v/>
      </c>
      <c r="O634" s="25">
        <f>SUM(MMULT(I634:N634,'07 Annualised Inputs'!$D$7:$D$12))</f>
        <v/>
      </c>
      <c r="P634" s="25">
        <f>SQRT(SUMPRODUCT(MMULT(I634:N634,'07 Annualised Inputs'!$B$17:$G$22),I634:N634))</f>
        <v/>
      </c>
      <c r="Q634" s="37">
        <f>(O634-'02 Config'!$B$10)/P634</f>
        <v/>
      </c>
    </row>
    <row r="635">
      <c r="A635" s="12" t="n">
        <v>630</v>
      </c>
      <c r="B635" s="36" t="n">
        <v>0.7924251003351785</v>
      </c>
      <c r="C635" s="36" t="n">
        <v>0.4913035326998998</v>
      </c>
      <c r="D635" s="36" t="n">
        <v>0.7044582880334169</v>
      </c>
      <c r="E635" s="36" t="n">
        <v>0.07825900768357019</v>
      </c>
      <c r="F635" s="36" t="n">
        <v>0.7580210831503069</v>
      </c>
      <c r="G635" s="36" t="n">
        <v>0.9618330071923676</v>
      </c>
      <c r="H635" s="37">
        <f>SUM(B635:G635)</f>
        <v/>
      </c>
      <c r="I635" s="25">
        <f>B635/$H635</f>
        <v/>
      </c>
      <c r="J635" s="25">
        <f>C635/$H635</f>
        <v/>
      </c>
      <c r="K635" s="25">
        <f>D635/$H635</f>
        <v/>
      </c>
      <c r="L635" s="25">
        <f>E635/$H635</f>
        <v/>
      </c>
      <c r="M635" s="25">
        <f>F635/$H635</f>
        <v/>
      </c>
      <c r="N635" s="25">
        <f>G635/$H635</f>
        <v/>
      </c>
      <c r="O635" s="25">
        <f>SUM(MMULT(I635:N635,'07 Annualised Inputs'!$D$7:$D$12))</f>
        <v/>
      </c>
      <c r="P635" s="25">
        <f>SQRT(SUMPRODUCT(MMULT(I635:N635,'07 Annualised Inputs'!$B$17:$G$22),I635:N635))</f>
        <v/>
      </c>
      <c r="Q635" s="37">
        <f>(O635-'02 Config'!$B$10)/P635</f>
        <v/>
      </c>
    </row>
    <row r="636">
      <c r="A636" s="12" t="n">
        <v>631</v>
      </c>
      <c r="B636" s="36" t="n">
        <v>0.08497475312573843</v>
      </c>
      <c r="C636" s="36" t="n">
        <v>0.8361157845918545</v>
      </c>
      <c r="D636" s="36" t="n">
        <v>0.9329800266492713</v>
      </c>
      <c r="E636" s="36" t="n">
        <v>0.2261888898020621</v>
      </c>
      <c r="F636" s="36" t="n">
        <v>0.5248111876092038</v>
      </c>
      <c r="G636" s="36" t="n">
        <v>0.9278582254629885</v>
      </c>
      <c r="H636" s="37">
        <f>SUM(B636:G636)</f>
        <v/>
      </c>
      <c r="I636" s="25">
        <f>B636/$H636</f>
        <v/>
      </c>
      <c r="J636" s="25">
        <f>C636/$H636</f>
        <v/>
      </c>
      <c r="K636" s="25">
        <f>D636/$H636</f>
        <v/>
      </c>
      <c r="L636" s="25">
        <f>E636/$H636</f>
        <v/>
      </c>
      <c r="M636" s="25">
        <f>F636/$H636</f>
        <v/>
      </c>
      <c r="N636" s="25">
        <f>G636/$H636</f>
        <v/>
      </c>
      <c r="O636" s="25">
        <f>SUM(MMULT(I636:N636,'07 Annualised Inputs'!$D$7:$D$12))</f>
        <v/>
      </c>
      <c r="P636" s="25">
        <f>SQRT(SUMPRODUCT(MMULT(I636:N636,'07 Annualised Inputs'!$B$17:$G$22),I636:N636))</f>
        <v/>
      </c>
      <c r="Q636" s="37">
        <f>(O636-'02 Config'!$B$10)/P636</f>
        <v/>
      </c>
    </row>
    <row r="637">
      <c r="A637" s="12" t="n">
        <v>632</v>
      </c>
      <c r="B637" s="36" t="n">
        <v>0.9602260045229679</v>
      </c>
      <c r="C637" s="36" t="n">
        <v>0.1278823843523164</v>
      </c>
      <c r="D637" s="36" t="n">
        <v>0.3490042255554506</v>
      </c>
      <c r="E637" s="36" t="n">
        <v>0.6981446411508566</v>
      </c>
      <c r="F637" s="36" t="n">
        <v>0.2215584993859303</v>
      </c>
      <c r="G637" s="36" t="n">
        <v>0.3247706286344808</v>
      </c>
      <c r="H637" s="37">
        <f>SUM(B637:G637)</f>
        <v/>
      </c>
      <c r="I637" s="25">
        <f>B637/$H637</f>
        <v/>
      </c>
      <c r="J637" s="25">
        <f>C637/$H637</f>
        <v/>
      </c>
      <c r="K637" s="25">
        <f>D637/$H637</f>
        <v/>
      </c>
      <c r="L637" s="25">
        <f>E637/$H637</f>
        <v/>
      </c>
      <c r="M637" s="25">
        <f>F637/$H637</f>
        <v/>
      </c>
      <c r="N637" s="25">
        <f>G637/$H637</f>
        <v/>
      </c>
      <c r="O637" s="25">
        <f>SUM(MMULT(I637:N637,'07 Annualised Inputs'!$D$7:$D$12))</f>
        <v/>
      </c>
      <c r="P637" s="25">
        <f>SQRT(SUMPRODUCT(MMULT(I637:N637,'07 Annualised Inputs'!$B$17:$G$22),I637:N637))</f>
        <v/>
      </c>
      <c r="Q637" s="37">
        <f>(O637-'02 Config'!$B$10)/P637</f>
        <v/>
      </c>
    </row>
    <row r="638">
      <c r="A638" s="12" t="n">
        <v>633</v>
      </c>
      <c r="B638" s="36" t="n">
        <v>0.02329106000469328</v>
      </c>
      <c r="C638" s="36" t="n">
        <v>0.1535216809311989</v>
      </c>
      <c r="D638" s="36" t="n">
        <v>0.5623294944177438</v>
      </c>
      <c r="E638" s="36" t="n">
        <v>0.6530900663041828</v>
      </c>
      <c r="F638" s="36" t="n">
        <v>0.6489118310958369</v>
      </c>
      <c r="G638" s="36" t="n">
        <v>0.7783604707782167</v>
      </c>
      <c r="H638" s="37">
        <f>SUM(B638:G638)</f>
        <v/>
      </c>
      <c r="I638" s="25">
        <f>B638/$H638</f>
        <v/>
      </c>
      <c r="J638" s="25">
        <f>C638/$H638</f>
        <v/>
      </c>
      <c r="K638" s="25">
        <f>D638/$H638</f>
        <v/>
      </c>
      <c r="L638" s="25">
        <f>E638/$H638</f>
        <v/>
      </c>
      <c r="M638" s="25">
        <f>F638/$H638</f>
        <v/>
      </c>
      <c r="N638" s="25">
        <f>G638/$H638</f>
        <v/>
      </c>
      <c r="O638" s="25">
        <f>SUM(MMULT(I638:N638,'07 Annualised Inputs'!$D$7:$D$12))</f>
        <v/>
      </c>
      <c r="P638" s="25">
        <f>SQRT(SUMPRODUCT(MMULT(I638:N638,'07 Annualised Inputs'!$B$17:$G$22),I638:N638))</f>
        <v/>
      </c>
      <c r="Q638" s="37">
        <f>(O638-'02 Config'!$B$10)/P638</f>
        <v/>
      </c>
    </row>
    <row r="639">
      <c r="A639" s="12" t="n">
        <v>634</v>
      </c>
      <c r="B639" s="36" t="n">
        <v>0.4152814137387915</v>
      </c>
      <c r="C639" s="36" t="n">
        <v>0.2734907162411555</v>
      </c>
      <c r="D639" s="36" t="n">
        <v>0.01558070004252499</v>
      </c>
      <c r="E639" s="36" t="n">
        <v>0.2066298260523869</v>
      </c>
      <c r="F639" s="36" t="n">
        <v>0.3123878122020373</v>
      </c>
      <c r="G639" s="36" t="n">
        <v>0.1782068564804655</v>
      </c>
      <c r="H639" s="37">
        <f>SUM(B639:G639)</f>
        <v/>
      </c>
      <c r="I639" s="25">
        <f>B639/$H639</f>
        <v/>
      </c>
      <c r="J639" s="25">
        <f>C639/$H639</f>
        <v/>
      </c>
      <c r="K639" s="25">
        <f>D639/$H639</f>
        <v/>
      </c>
      <c r="L639" s="25">
        <f>E639/$H639</f>
        <v/>
      </c>
      <c r="M639" s="25">
        <f>F639/$H639</f>
        <v/>
      </c>
      <c r="N639" s="25">
        <f>G639/$H639</f>
        <v/>
      </c>
      <c r="O639" s="25">
        <f>SUM(MMULT(I639:N639,'07 Annualised Inputs'!$D$7:$D$12))</f>
        <v/>
      </c>
      <c r="P639" s="25">
        <f>SQRT(SUMPRODUCT(MMULT(I639:N639,'07 Annualised Inputs'!$B$17:$G$22),I639:N639))</f>
        <v/>
      </c>
      <c r="Q639" s="37">
        <f>(O639-'02 Config'!$B$10)/P639</f>
        <v/>
      </c>
    </row>
    <row r="640">
      <c r="A640" s="12" t="n">
        <v>635</v>
      </c>
      <c r="B640" s="36" t="n">
        <v>0.02014447149660226</v>
      </c>
      <c r="C640" s="36" t="n">
        <v>0.1574476086651916</v>
      </c>
      <c r="D640" s="36" t="n">
        <v>0.6660995535675723</v>
      </c>
      <c r="E640" s="36" t="n">
        <v>0.6295854164725958</v>
      </c>
      <c r="F640" s="36" t="n">
        <v>0.9356836393980424</v>
      </c>
      <c r="G640" s="36" t="n">
        <v>0.7981682913973093</v>
      </c>
      <c r="H640" s="37">
        <f>SUM(B640:G640)</f>
        <v/>
      </c>
      <c r="I640" s="25">
        <f>B640/$H640</f>
        <v/>
      </c>
      <c r="J640" s="25">
        <f>C640/$H640</f>
        <v/>
      </c>
      <c r="K640" s="25">
        <f>D640/$H640</f>
        <v/>
      </c>
      <c r="L640" s="25">
        <f>E640/$H640</f>
        <v/>
      </c>
      <c r="M640" s="25">
        <f>F640/$H640</f>
        <v/>
      </c>
      <c r="N640" s="25">
        <f>G640/$H640</f>
        <v/>
      </c>
      <c r="O640" s="25">
        <f>SUM(MMULT(I640:N640,'07 Annualised Inputs'!$D$7:$D$12))</f>
        <v/>
      </c>
      <c r="P640" s="25">
        <f>SQRT(SUMPRODUCT(MMULT(I640:N640,'07 Annualised Inputs'!$B$17:$G$22),I640:N640))</f>
        <v/>
      </c>
      <c r="Q640" s="37">
        <f>(O640-'02 Config'!$B$10)/P640</f>
        <v/>
      </c>
    </row>
    <row r="641">
      <c r="A641" s="12" t="n">
        <v>636</v>
      </c>
      <c r="B641" s="36" t="n">
        <v>0.5677561168411912</v>
      </c>
      <c r="C641" s="36" t="n">
        <v>0.1375563474932113</v>
      </c>
      <c r="D641" s="36" t="n">
        <v>0.5640718189251569</v>
      </c>
      <c r="E641" s="36" t="n">
        <v>0.06159506091418077</v>
      </c>
      <c r="F641" s="36" t="n">
        <v>0.4308848974108528</v>
      </c>
      <c r="G641" s="36" t="n">
        <v>0.3902586289471954</v>
      </c>
      <c r="H641" s="37">
        <f>SUM(B641:G641)</f>
        <v/>
      </c>
      <c r="I641" s="25">
        <f>B641/$H641</f>
        <v/>
      </c>
      <c r="J641" s="25">
        <f>C641/$H641</f>
        <v/>
      </c>
      <c r="K641" s="25">
        <f>D641/$H641</f>
        <v/>
      </c>
      <c r="L641" s="25">
        <f>E641/$H641</f>
        <v/>
      </c>
      <c r="M641" s="25">
        <f>F641/$H641</f>
        <v/>
      </c>
      <c r="N641" s="25">
        <f>G641/$H641</f>
        <v/>
      </c>
      <c r="O641" s="25">
        <f>SUM(MMULT(I641:N641,'07 Annualised Inputs'!$D$7:$D$12))</f>
        <v/>
      </c>
      <c r="P641" s="25">
        <f>SQRT(SUMPRODUCT(MMULT(I641:N641,'07 Annualised Inputs'!$B$17:$G$22),I641:N641))</f>
        <v/>
      </c>
      <c r="Q641" s="37">
        <f>(O641-'02 Config'!$B$10)/P641</f>
        <v/>
      </c>
    </row>
    <row r="642">
      <c r="A642" s="12" t="n">
        <v>637</v>
      </c>
      <c r="B642" s="36" t="n">
        <v>0.4278138093629417</v>
      </c>
      <c r="C642" s="36" t="n">
        <v>0.2798259183947872</v>
      </c>
      <c r="D642" s="36" t="n">
        <v>0.6858304476238237</v>
      </c>
      <c r="E642" s="36" t="n">
        <v>0.8409444672987795</v>
      </c>
      <c r="F642" s="36" t="n">
        <v>0.7685169925989775</v>
      </c>
      <c r="G642" s="36" t="n">
        <v>0.6277520957908803</v>
      </c>
      <c r="H642" s="37">
        <f>SUM(B642:G642)</f>
        <v/>
      </c>
      <c r="I642" s="25">
        <f>B642/$H642</f>
        <v/>
      </c>
      <c r="J642" s="25">
        <f>C642/$H642</f>
        <v/>
      </c>
      <c r="K642" s="25">
        <f>D642/$H642</f>
        <v/>
      </c>
      <c r="L642" s="25">
        <f>E642/$H642</f>
        <v/>
      </c>
      <c r="M642" s="25">
        <f>F642/$H642</f>
        <v/>
      </c>
      <c r="N642" s="25">
        <f>G642/$H642</f>
        <v/>
      </c>
      <c r="O642" s="25">
        <f>SUM(MMULT(I642:N642,'07 Annualised Inputs'!$D$7:$D$12))</f>
        <v/>
      </c>
      <c r="P642" s="25">
        <f>SQRT(SUMPRODUCT(MMULT(I642:N642,'07 Annualised Inputs'!$B$17:$G$22),I642:N642))</f>
        <v/>
      </c>
      <c r="Q642" s="37">
        <f>(O642-'02 Config'!$B$10)/P642</f>
        <v/>
      </c>
    </row>
    <row r="643">
      <c r="A643" s="12" t="n">
        <v>638</v>
      </c>
      <c r="B643" s="36" t="n">
        <v>0.5383447993330133</v>
      </c>
      <c r="C643" s="36" t="n">
        <v>0.03108418000803037</v>
      </c>
      <c r="D643" s="36" t="n">
        <v>0.7229339986919212</v>
      </c>
      <c r="E643" s="36" t="n">
        <v>0.5449829395784974</v>
      </c>
      <c r="F643" s="36" t="n">
        <v>0.2707410506638869</v>
      </c>
      <c r="G643" s="36" t="n">
        <v>0.3278420388534417</v>
      </c>
      <c r="H643" s="37">
        <f>SUM(B643:G643)</f>
        <v/>
      </c>
      <c r="I643" s="25">
        <f>B643/$H643</f>
        <v/>
      </c>
      <c r="J643" s="25">
        <f>C643/$H643</f>
        <v/>
      </c>
      <c r="K643" s="25">
        <f>D643/$H643</f>
        <v/>
      </c>
      <c r="L643" s="25">
        <f>E643/$H643</f>
        <v/>
      </c>
      <c r="M643" s="25">
        <f>F643/$H643</f>
        <v/>
      </c>
      <c r="N643" s="25">
        <f>G643/$H643</f>
        <v/>
      </c>
      <c r="O643" s="25">
        <f>SUM(MMULT(I643:N643,'07 Annualised Inputs'!$D$7:$D$12))</f>
        <v/>
      </c>
      <c r="P643" s="25">
        <f>SQRT(SUMPRODUCT(MMULT(I643:N643,'07 Annualised Inputs'!$B$17:$G$22),I643:N643))</f>
        <v/>
      </c>
      <c r="Q643" s="37">
        <f>(O643-'02 Config'!$B$10)/P643</f>
        <v/>
      </c>
    </row>
    <row r="644">
      <c r="A644" s="12" t="n">
        <v>639</v>
      </c>
      <c r="B644" s="36" t="n">
        <v>0.9356067864697414</v>
      </c>
      <c r="C644" s="36" t="n">
        <v>0.624362245117227</v>
      </c>
      <c r="D644" s="36" t="n">
        <v>0.4759124346575283</v>
      </c>
      <c r="E644" s="36" t="n">
        <v>0.6209217397084077</v>
      </c>
      <c r="F644" s="36" t="n">
        <v>0.413742324985657</v>
      </c>
      <c r="G644" s="36" t="n">
        <v>0.4701822732030162</v>
      </c>
      <c r="H644" s="37">
        <f>SUM(B644:G644)</f>
        <v/>
      </c>
      <c r="I644" s="25">
        <f>B644/$H644</f>
        <v/>
      </c>
      <c r="J644" s="25">
        <f>C644/$H644</f>
        <v/>
      </c>
      <c r="K644" s="25">
        <f>D644/$H644</f>
        <v/>
      </c>
      <c r="L644" s="25">
        <f>E644/$H644</f>
        <v/>
      </c>
      <c r="M644" s="25">
        <f>F644/$H644</f>
        <v/>
      </c>
      <c r="N644" s="25">
        <f>G644/$H644</f>
        <v/>
      </c>
      <c r="O644" s="25">
        <f>SUM(MMULT(I644:N644,'07 Annualised Inputs'!$D$7:$D$12))</f>
        <v/>
      </c>
      <c r="P644" s="25">
        <f>SQRT(SUMPRODUCT(MMULT(I644:N644,'07 Annualised Inputs'!$B$17:$G$22),I644:N644))</f>
        <v/>
      </c>
      <c r="Q644" s="37">
        <f>(O644-'02 Config'!$B$10)/P644</f>
        <v/>
      </c>
    </row>
    <row r="645">
      <c r="A645" s="12" t="n">
        <v>640</v>
      </c>
      <c r="B645" s="36" t="n">
        <v>0.2903092567076704</v>
      </c>
      <c r="C645" s="36" t="n">
        <v>0.4398533005916445</v>
      </c>
      <c r="D645" s="36" t="n">
        <v>0.6855922324379105</v>
      </c>
      <c r="E645" s="36" t="n">
        <v>0.03994192508646921</v>
      </c>
      <c r="F645" s="36" t="n">
        <v>0.7950274072961548</v>
      </c>
      <c r="G645" s="36" t="n">
        <v>0.2829795408613128</v>
      </c>
      <c r="H645" s="37">
        <f>SUM(B645:G645)</f>
        <v/>
      </c>
      <c r="I645" s="25">
        <f>B645/$H645</f>
        <v/>
      </c>
      <c r="J645" s="25">
        <f>C645/$H645</f>
        <v/>
      </c>
      <c r="K645" s="25">
        <f>D645/$H645</f>
        <v/>
      </c>
      <c r="L645" s="25">
        <f>E645/$H645</f>
        <v/>
      </c>
      <c r="M645" s="25">
        <f>F645/$H645</f>
        <v/>
      </c>
      <c r="N645" s="25">
        <f>G645/$H645</f>
        <v/>
      </c>
      <c r="O645" s="25">
        <f>SUM(MMULT(I645:N645,'07 Annualised Inputs'!$D$7:$D$12))</f>
        <v/>
      </c>
      <c r="P645" s="25">
        <f>SQRT(SUMPRODUCT(MMULT(I645:N645,'07 Annualised Inputs'!$B$17:$G$22),I645:N645))</f>
        <v/>
      </c>
      <c r="Q645" s="37">
        <f>(O645-'02 Config'!$B$10)/P645</f>
        <v/>
      </c>
    </row>
    <row r="646">
      <c r="A646" s="12" t="n">
        <v>641</v>
      </c>
      <c r="B646" s="36" t="n">
        <v>0.6825597934324997</v>
      </c>
      <c r="C646" s="36" t="n">
        <v>0.64272531468006</v>
      </c>
      <c r="D646" s="36" t="n">
        <v>0.6526280491413053</v>
      </c>
      <c r="E646" s="36" t="n">
        <v>0.6081289162558029</v>
      </c>
      <c r="F646" s="36" t="n">
        <v>0.9591018380695349</v>
      </c>
      <c r="G646" s="36" t="n">
        <v>0.5083441626953908</v>
      </c>
      <c r="H646" s="37">
        <f>SUM(B646:G646)</f>
        <v/>
      </c>
      <c r="I646" s="25">
        <f>B646/$H646</f>
        <v/>
      </c>
      <c r="J646" s="25">
        <f>C646/$H646</f>
        <v/>
      </c>
      <c r="K646" s="25">
        <f>D646/$H646</f>
        <v/>
      </c>
      <c r="L646" s="25">
        <f>E646/$H646</f>
        <v/>
      </c>
      <c r="M646" s="25">
        <f>F646/$H646</f>
        <v/>
      </c>
      <c r="N646" s="25">
        <f>G646/$H646</f>
        <v/>
      </c>
      <c r="O646" s="25">
        <f>SUM(MMULT(I646:N646,'07 Annualised Inputs'!$D$7:$D$12))</f>
        <v/>
      </c>
      <c r="P646" s="25">
        <f>SQRT(SUMPRODUCT(MMULT(I646:N646,'07 Annualised Inputs'!$B$17:$G$22),I646:N646))</f>
        <v/>
      </c>
      <c r="Q646" s="37">
        <f>(O646-'02 Config'!$B$10)/P646</f>
        <v/>
      </c>
    </row>
    <row r="647">
      <c r="A647" s="12" t="n">
        <v>642</v>
      </c>
      <c r="B647" s="36" t="n">
        <v>0.7323191155153514</v>
      </c>
      <c r="C647" s="36" t="n">
        <v>0.7054493312345776</v>
      </c>
      <c r="D647" s="36" t="n">
        <v>0.2362675772783304</v>
      </c>
      <c r="E647" s="36" t="n">
        <v>0.2833058391868256</v>
      </c>
      <c r="F647" s="36" t="n">
        <v>0.4240170981569679</v>
      </c>
      <c r="G647" s="36" t="n">
        <v>0.2776979304632092</v>
      </c>
      <c r="H647" s="37">
        <f>SUM(B647:G647)</f>
        <v/>
      </c>
      <c r="I647" s="25">
        <f>B647/$H647</f>
        <v/>
      </c>
      <c r="J647" s="25">
        <f>C647/$H647</f>
        <v/>
      </c>
      <c r="K647" s="25">
        <f>D647/$H647</f>
        <v/>
      </c>
      <c r="L647" s="25">
        <f>E647/$H647</f>
        <v/>
      </c>
      <c r="M647" s="25">
        <f>F647/$H647</f>
        <v/>
      </c>
      <c r="N647" s="25">
        <f>G647/$H647</f>
        <v/>
      </c>
      <c r="O647" s="25">
        <f>SUM(MMULT(I647:N647,'07 Annualised Inputs'!$D$7:$D$12))</f>
        <v/>
      </c>
      <c r="P647" s="25">
        <f>SQRT(SUMPRODUCT(MMULT(I647:N647,'07 Annualised Inputs'!$B$17:$G$22),I647:N647))</f>
        <v/>
      </c>
      <c r="Q647" s="37">
        <f>(O647-'02 Config'!$B$10)/P647</f>
        <v/>
      </c>
    </row>
    <row r="648">
      <c r="A648" s="12" t="n">
        <v>643</v>
      </c>
      <c r="B648" s="36" t="n">
        <v>0.3667430989299597</v>
      </c>
      <c r="C648" s="36" t="n">
        <v>0.3909606139283059</v>
      </c>
      <c r="D648" s="36" t="n">
        <v>0.603864560938344</v>
      </c>
      <c r="E648" s="36" t="n">
        <v>0.2198900427350616</v>
      </c>
      <c r="F648" s="36" t="n">
        <v>0.8042918658766873</v>
      </c>
      <c r="G648" s="36" t="n">
        <v>0.4375363567715046</v>
      </c>
      <c r="H648" s="37">
        <f>SUM(B648:G648)</f>
        <v/>
      </c>
      <c r="I648" s="25">
        <f>B648/$H648</f>
        <v/>
      </c>
      <c r="J648" s="25">
        <f>C648/$H648</f>
        <v/>
      </c>
      <c r="K648" s="25">
        <f>D648/$H648</f>
        <v/>
      </c>
      <c r="L648" s="25">
        <f>E648/$H648</f>
        <v/>
      </c>
      <c r="M648" s="25">
        <f>F648/$H648</f>
        <v/>
      </c>
      <c r="N648" s="25">
        <f>G648/$H648</f>
        <v/>
      </c>
      <c r="O648" s="25">
        <f>SUM(MMULT(I648:N648,'07 Annualised Inputs'!$D$7:$D$12))</f>
        <v/>
      </c>
      <c r="P648" s="25">
        <f>SQRT(SUMPRODUCT(MMULT(I648:N648,'07 Annualised Inputs'!$B$17:$G$22),I648:N648))</f>
        <v/>
      </c>
      <c r="Q648" s="37">
        <f>(O648-'02 Config'!$B$10)/P648</f>
        <v/>
      </c>
    </row>
    <row r="649">
      <c r="A649" s="12" t="n">
        <v>644</v>
      </c>
      <c r="B649" s="36" t="n">
        <v>0.7062441116832469</v>
      </c>
      <c r="C649" s="36" t="n">
        <v>0.08144248124081788</v>
      </c>
      <c r="D649" s="36" t="n">
        <v>0.4699653941243669</v>
      </c>
      <c r="E649" s="36" t="n">
        <v>0.02821953217732831</v>
      </c>
      <c r="F649" s="36" t="n">
        <v>0.6759099918155648</v>
      </c>
      <c r="G649" s="36" t="n">
        <v>0.3437100769970696</v>
      </c>
      <c r="H649" s="37">
        <f>SUM(B649:G649)</f>
        <v/>
      </c>
      <c r="I649" s="25">
        <f>B649/$H649</f>
        <v/>
      </c>
      <c r="J649" s="25">
        <f>C649/$H649</f>
        <v/>
      </c>
      <c r="K649" s="25">
        <f>D649/$H649</f>
        <v/>
      </c>
      <c r="L649" s="25">
        <f>E649/$H649</f>
        <v/>
      </c>
      <c r="M649" s="25">
        <f>F649/$H649</f>
        <v/>
      </c>
      <c r="N649" s="25">
        <f>G649/$H649</f>
        <v/>
      </c>
      <c r="O649" s="25">
        <f>SUM(MMULT(I649:N649,'07 Annualised Inputs'!$D$7:$D$12))</f>
        <v/>
      </c>
      <c r="P649" s="25">
        <f>SQRT(SUMPRODUCT(MMULT(I649:N649,'07 Annualised Inputs'!$B$17:$G$22),I649:N649))</f>
        <v/>
      </c>
      <c r="Q649" s="37">
        <f>(O649-'02 Config'!$B$10)/P649</f>
        <v/>
      </c>
    </row>
    <row r="650">
      <c r="A650" s="12" t="n">
        <v>645</v>
      </c>
      <c r="B650" s="36" t="n">
        <v>0.9492528141058286</v>
      </c>
      <c r="C650" s="36" t="n">
        <v>0.3241242146014194</v>
      </c>
      <c r="D650" s="36" t="n">
        <v>0.5638058980177268</v>
      </c>
      <c r="E650" s="36" t="n">
        <v>0.2573875756946147</v>
      </c>
      <c r="F650" s="36" t="n">
        <v>0.6201126289473403</v>
      </c>
      <c r="G650" s="36" t="n">
        <v>0.4670423501332346</v>
      </c>
      <c r="H650" s="37">
        <f>SUM(B650:G650)</f>
        <v/>
      </c>
      <c r="I650" s="25">
        <f>B650/$H650</f>
        <v/>
      </c>
      <c r="J650" s="25">
        <f>C650/$H650</f>
        <v/>
      </c>
      <c r="K650" s="25">
        <f>D650/$H650</f>
        <v/>
      </c>
      <c r="L650" s="25">
        <f>E650/$H650</f>
        <v/>
      </c>
      <c r="M650" s="25">
        <f>F650/$H650</f>
        <v/>
      </c>
      <c r="N650" s="25">
        <f>G650/$H650</f>
        <v/>
      </c>
      <c r="O650" s="25">
        <f>SUM(MMULT(I650:N650,'07 Annualised Inputs'!$D$7:$D$12))</f>
        <v/>
      </c>
      <c r="P650" s="25">
        <f>SQRT(SUMPRODUCT(MMULT(I650:N650,'07 Annualised Inputs'!$B$17:$G$22),I650:N650))</f>
        <v/>
      </c>
      <c r="Q650" s="37">
        <f>(O650-'02 Config'!$B$10)/P650</f>
        <v/>
      </c>
    </row>
    <row r="651">
      <c r="A651" s="12" t="n">
        <v>646</v>
      </c>
      <c r="B651" s="36" t="n">
        <v>0.3706282615056329</v>
      </c>
      <c r="C651" s="36" t="n">
        <v>0.2036893490801799</v>
      </c>
      <c r="D651" s="36" t="n">
        <v>0.1115213439714553</v>
      </c>
      <c r="E651" s="36" t="n">
        <v>0.1198791339566733</v>
      </c>
      <c r="F651" s="36" t="n">
        <v>0.9990400175055532</v>
      </c>
      <c r="G651" s="36" t="n">
        <v>0.4123107268572347</v>
      </c>
      <c r="H651" s="37">
        <f>SUM(B651:G651)</f>
        <v/>
      </c>
      <c r="I651" s="25">
        <f>B651/$H651</f>
        <v/>
      </c>
      <c r="J651" s="25">
        <f>C651/$H651</f>
        <v/>
      </c>
      <c r="K651" s="25">
        <f>D651/$H651</f>
        <v/>
      </c>
      <c r="L651" s="25">
        <f>E651/$H651</f>
        <v/>
      </c>
      <c r="M651" s="25">
        <f>F651/$H651</f>
        <v/>
      </c>
      <c r="N651" s="25">
        <f>G651/$H651</f>
        <v/>
      </c>
      <c r="O651" s="25">
        <f>SUM(MMULT(I651:N651,'07 Annualised Inputs'!$D$7:$D$12))</f>
        <v/>
      </c>
      <c r="P651" s="25">
        <f>SQRT(SUMPRODUCT(MMULT(I651:N651,'07 Annualised Inputs'!$B$17:$G$22),I651:N651))</f>
        <v/>
      </c>
      <c r="Q651" s="37">
        <f>(O651-'02 Config'!$B$10)/P651</f>
        <v/>
      </c>
    </row>
    <row r="652">
      <c r="A652" s="12" t="n">
        <v>647</v>
      </c>
      <c r="B652" s="36" t="n">
        <v>0.001929707873339459</v>
      </c>
      <c r="C652" s="36" t="n">
        <v>0.9529287906260143</v>
      </c>
      <c r="D652" s="36" t="n">
        <v>0.01997992422981265</v>
      </c>
      <c r="E652" s="36" t="n">
        <v>0.4185861255545337</v>
      </c>
      <c r="F652" s="36" t="n">
        <v>0.7174775859706559</v>
      </c>
      <c r="G652" s="36" t="n">
        <v>0.9145992443717617</v>
      </c>
      <c r="H652" s="37">
        <f>SUM(B652:G652)</f>
        <v/>
      </c>
      <c r="I652" s="25">
        <f>B652/$H652</f>
        <v/>
      </c>
      <c r="J652" s="25">
        <f>C652/$H652</f>
        <v/>
      </c>
      <c r="K652" s="25">
        <f>D652/$H652</f>
        <v/>
      </c>
      <c r="L652" s="25">
        <f>E652/$H652</f>
        <v/>
      </c>
      <c r="M652" s="25">
        <f>F652/$H652</f>
        <v/>
      </c>
      <c r="N652" s="25">
        <f>G652/$H652</f>
        <v/>
      </c>
      <c r="O652" s="25">
        <f>SUM(MMULT(I652:N652,'07 Annualised Inputs'!$D$7:$D$12))</f>
        <v/>
      </c>
      <c r="P652" s="25">
        <f>SQRT(SUMPRODUCT(MMULT(I652:N652,'07 Annualised Inputs'!$B$17:$G$22),I652:N652))</f>
        <v/>
      </c>
      <c r="Q652" s="37">
        <f>(O652-'02 Config'!$B$10)/P652</f>
        <v/>
      </c>
    </row>
    <row r="653">
      <c r="A653" s="12" t="n">
        <v>648</v>
      </c>
      <c r="B653" s="36" t="n">
        <v>0.712886291432101</v>
      </c>
      <c r="C653" s="36" t="n">
        <v>0.4636257549000118</v>
      </c>
      <c r="D653" s="36" t="n">
        <v>0.9744420389841034</v>
      </c>
      <c r="E653" s="36" t="n">
        <v>0.03931938303327043</v>
      </c>
      <c r="F653" s="36" t="n">
        <v>0.986892202538008</v>
      </c>
      <c r="G653" s="36" t="n">
        <v>0.8493915517084389</v>
      </c>
      <c r="H653" s="37">
        <f>SUM(B653:G653)</f>
        <v/>
      </c>
      <c r="I653" s="25">
        <f>B653/$H653</f>
        <v/>
      </c>
      <c r="J653" s="25">
        <f>C653/$H653</f>
        <v/>
      </c>
      <c r="K653" s="25">
        <f>D653/$H653</f>
        <v/>
      </c>
      <c r="L653" s="25">
        <f>E653/$H653</f>
        <v/>
      </c>
      <c r="M653" s="25">
        <f>F653/$H653</f>
        <v/>
      </c>
      <c r="N653" s="25">
        <f>G653/$H653</f>
        <v/>
      </c>
      <c r="O653" s="25">
        <f>SUM(MMULT(I653:N653,'07 Annualised Inputs'!$D$7:$D$12))</f>
        <v/>
      </c>
      <c r="P653" s="25">
        <f>SQRT(SUMPRODUCT(MMULT(I653:N653,'07 Annualised Inputs'!$B$17:$G$22),I653:N653))</f>
        <v/>
      </c>
      <c r="Q653" s="37">
        <f>(O653-'02 Config'!$B$10)/P653</f>
        <v/>
      </c>
    </row>
    <row r="654">
      <c r="A654" s="12" t="n">
        <v>649</v>
      </c>
      <c r="B654" s="36" t="n">
        <v>0.9289300171263591</v>
      </c>
      <c r="C654" s="36" t="n">
        <v>0.2547724240975366</v>
      </c>
      <c r="D654" s="36" t="n">
        <v>0.1424580722842698</v>
      </c>
      <c r="E654" s="36" t="n">
        <v>0.6633152793727001</v>
      </c>
      <c r="F654" s="36" t="n">
        <v>0.51585943798612</v>
      </c>
      <c r="G654" s="36" t="n">
        <v>0.5231679607443794</v>
      </c>
      <c r="H654" s="37">
        <f>SUM(B654:G654)</f>
        <v/>
      </c>
      <c r="I654" s="25">
        <f>B654/$H654</f>
        <v/>
      </c>
      <c r="J654" s="25">
        <f>C654/$H654</f>
        <v/>
      </c>
      <c r="K654" s="25">
        <f>D654/$H654</f>
        <v/>
      </c>
      <c r="L654" s="25">
        <f>E654/$H654</f>
        <v/>
      </c>
      <c r="M654" s="25">
        <f>F654/$H654</f>
        <v/>
      </c>
      <c r="N654" s="25">
        <f>G654/$H654</f>
        <v/>
      </c>
      <c r="O654" s="25">
        <f>SUM(MMULT(I654:N654,'07 Annualised Inputs'!$D$7:$D$12))</f>
        <v/>
      </c>
      <c r="P654" s="25">
        <f>SQRT(SUMPRODUCT(MMULT(I654:N654,'07 Annualised Inputs'!$B$17:$G$22),I654:N654))</f>
        <v/>
      </c>
      <c r="Q654" s="37">
        <f>(O654-'02 Config'!$B$10)/P654</f>
        <v/>
      </c>
    </row>
    <row r="655">
      <c r="A655" s="12" t="n">
        <v>650</v>
      </c>
      <c r="B655" s="36" t="n">
        <v>0.9246191784832176</v>
      </c>
      <c r="C655" s="36" t="n">
        <v>0.6200809066532622</v>
      </c>
      <c r="D655" s="36" t="n">
        <v>0.3110638351045899</v>
      </c>
      <c r="E655" s="36" t="n">
        <v>0.400066556417876</v>
      </c>
      <c r="F655" s="36" t="n">
        <v>0.1334958350918513</v>
      </c>
      <c r="G655" s="36" t="n">
        <v>0.1923140402756893</v>
      </c>
      <c r="H655" s="37">
        <f>SUM(B655:G655)</f>
        <v/>
      </c>
      <c r="I655" s="25">
        <f>B655/$H655</f>
        <v/>
      </c>
      <c r="J655" s="25">
        <f>C655/$H655</f>
        <v/>
      </c>
      <c r="K655" s="25">
        <f>D655/$H655</f>
        <v/>
      </c>
      <c r="L655" s="25">
        <f>E655/$H655</f>
        <v/>
      </c>
      <c r="M655" s="25">
        <f>F655/$H655</f>
        <v/>
      </c>
      <c r="N655" s="25">
        <f>G655/$H655</f>
        <v/>
      </c>
      <c r="O655" s="25">
        <f>SUM(MMULT(I655:N655,'07 Annualised Inputs'!$D$7:$D$12))</f>
        <v/>
      </c>
      <c r="P655" s="25">
        <f>SQRT(SUMPRODUCT(MMULT(I655:N655,'07 Annualised Inputs'!$B$17:$G$22),I655:N655))</f>
        <v/>
      </c>
      <c r="Q655" s="37">
        <f>(O655-'02 Config'!$B$10)/P655</f>
        <v/>
      </c>
    </row>
    <row r="656">
      <c r="A656" s="12" t="n">
        <v>651</v>
      </c>
      <c r="B656" s="36" t="n">
        <v>0.1433500702095385</v>
      </c>
      <c r="C656" s="36" t="n">
        <v>0.8102913412113545</v>
      </c>
      <c r="D656" s="36" t="n">
        <v>0.7048734679721188</v>
      </c>
      <c r="E656" s="36" t="n">
        <v>0.5303450176108518</v>
      </c>
      <c r="F656" s="36" t="n">
        <v>0.3743678336275708</v>
      </c>
      <c r="G656" s="36" t="n">
        <v>0.6684942903243505</v>
      </c>
      <c r="H656" s="37">
        <f>SUM(B656:G656)</f>
        <v/>
      </c>
      <c r="I656" s="25">
        <f>B656/$H656</f>
        <v/>
      </c>
      <c r="J656" s="25">
        <f>C656/$H656</f>
        <v/>
      </c>
      <c r="K656" s="25">
        <f>D656/$H656</f>
        <v/>
      </c>
      <c r="L656" s="25">
        <f>E656/$H656</f>
        <v/>
      </c>
      <c r="M656" s="25">
        <f>F656/$H656</f>
        <v/>
      </c>
      <c r="N656" s="25">
        <f>G656/$H656</f>
        <v/>
      </c>
      <c r="O656" s="25">
        <f>SUM(MMULT(I656:N656,'07 Annualised Inputs'!$D$7:$D$12))</f>
        <v/>
      </c>
      <c r="P656" s="25">
        <f>SQRT(SUMPRODUCT(MMULT(I656:N656,'07 Annualised Inputs'!$B$17:$G$22),I656:N656))</f>
        <v/>
      </c>
      <c r="Q656" s="37">
        <f>(O656-'02 Config'!$B$10)/P656</f>
        <v/>
      </c>
    </row>
    <row r="657">
      <c r="A657" s="12" t="n">
        <v>652</v>
      </c>
      <c r="B657" s="36" t="n">
        <v>0.8129053476957609</v>
      </c>
      <c r="C657" s="36" t="n">
        <v>0.881233215671709</v>
      </c>
      <c r="D657" s="36" t="n">
        <v>0.5470162282063336</v>
      </c>
      <c r="E657" s="36" t="n">
        <v>0.8198851218197009</v>
      </c>
      <c r="F657" s="36" t="n">
        <v>0.511305953412695</v>
      </c>
      <c r="G657" s="36" t="n">
        <v>0.4745300891878909</v>
      </c>
      <c r="H657" s="37">
        <f>SUM(B657:G657)</f>
        <v/>
      </c>
      <c r="I657" s="25">
        <f>B657/$H657</f>
        <v/>
      </c>
      <c r="J657" s="25">
        <f>C657/$H657</f>
        <v/>
      </c>
      <c r="K657" s="25">
        <f>D657/$H657</f>
        <v/>
      </c>
      <c r="L657" s="25">
        <f>E657/$H657</f>
        <v/>
      </c>
      <c r="M657" s="25">
        <f>F657/$H657</f>
        <v/>
      </c>
      <c r="N657" s="25">
        <f>G657/$H657</f>
        <v/>
      </c>
      <c r="O657" s="25">
        <f>SUM(MMULT(I657:N657,'07 Annualised Inputs'!$D$7:$D$12))</f>
        <v/>
      </c>
      <c r="P657" s="25">
        <f>SQRT(SUMPRODUCT(MMULT(I657:N657,'07 Annualised Inputs'!$B$17:$G$22),I657:N657))</f>
        <v/>
      </c>
      <c r="Q657" s="37">
        <f>(O657-'02 Config'!$B$10)/P657</f>
        <v/>
      </c>
    </row>
    <row r="658">
      <c r="A658" s="12" t="n">
        <v>653</v>
      </c>
      <c r="B658" s="36" t="n">
        <v>0.8654318556221002</v>
      </c>
      <c r="C658" s="36" t="n">
        <v>0.386373936264664</v>
      </c>
      <c r="D658" s="36" t="n">
        <v>0.3959126790407023</v>
      </c>
      <c r="E658" s="36" t="n">
        <v>0.3049113452849161</v>
      </c>
      <c r="F658" s="36" t="n">
        <v>0.5187017282946167</v>
      </c>
      <c r="G658" s="36" t="n">
        <v>0.5448500336894607</v>
      </c>
      <c r="H658" s="37">
        <f>SUM(B658:G658)</f>
        <v/>
      </c>
      <c r="I658" s="25">
        <f>B658/$H658</f>
        <v/>
      </c>
      <c r="J658" s="25">
        <f>C658/$H658</f>
        <v/>
      </c>
      <c r="K658" s="25">
        <f>D658/$H658</f>
        <v/>
      </c>
      <c r="L658" s="25">
        <f>E658/$H658</f>
        <v/>
      </c>
      <c r="M658" s="25">
        <f>F658/$H658</f>
        <v/>
      </c>
      <c r="N658" s="25">
        <f>G658/$H658</f>
        <v/>
      </c>
      <c r="O658" s="25">
        <f>SUM(MMULT(I658:N658,'07 Annualised Inputs'!$D$7:$D$12))</f>
        <v/>
      </c>
      <c r="P658" s="25">
        <f>SQRT(SUMPRODUCT(MMULT(I658:N658,'07 Annualised Inputs'!$B$17:$G$22),I658:N658))</f>
        <v/>
      </c>
      <c r="Q658" s="37">
        <f>(O658-'02 Config'!$B$10)/P658</f>
        <v/>
      </c>
    </row>
    <row r="659">
      <c r="A659" s="12" t="n">
        <v>654</v>
      </c>
      <c r="B659" s="36" t="n">
        <v>0.660461145310457</v>
      </c>
      <c r="C659" s="36" t="n">
        <v>0.4305023101095705</v>
      </c>
      <c r="D659" s="36" t="n">
        <v>0.2178372918835993</v>
      </c>
      <c r="E659" s="36" t="n">
        <v>0.8668420624138758</v>
      </c>
      <c r="F659" s="36" t="n">
        <v>0.3460008672380144</v>
      </c>
      <c r="G659" s="36" t="n">
        <v>0.9229434198401747</v>
      </c>
      <c r="H659" s="37">
        <f>SUM(B659:G659)</f>
        <v/>
      </c>
      <c r="I659" s="25">
        <f>B659/$H659</f>
        <v/>
      </c>
      <c r="J659" s="25">
        <f>C659/$H659</f>
        <v/>
      </c>
      <c r="K659" s="25">
        <f>D659/$H659</f>
        <v/>
      </c>
      <c r="L659" s="25">
        <f>E659/$H659</f>
        <v/>
      </c>
      <c r="M659" s="25">
        <f>F659/$H659</f>
        <v/>
      </c>
      <c r="N659" s="25">
        <f>G659/$H659</f>
        <v/>
      </c>
      <c r="O659" s="25">
        <f>SUM(MMULT(I659:N659,'07 Annualised Inputs'!$D$7:$D$12))</f>
        <v/>
      </c>
      <c r="P659" s="25">
        <f>SQRT(SUMPRODUCT(MMULT(I659:N659,'07 Annualised Inputs'!$B$17:$G$22),I659:N659))</f>
        <v/>
      </c>
      <c r="Q659" s="37">
        <f>(O659-'02 Config'!$B$10)/P659</f>
        <v/>
      </c>
    </row>
    <row r="660">
      <c r="A660" s="12" t="n">
        <v>655</v>
      </c>
      <c r="B660" s="36" t="n">
        <v>0.2073533330264558</v>
      </c>
      <c r="C660" s="36" t="n">
        <v>0.5600574762362305</v>
      </c>
      <c r="D660" s="36" t="n">
        <v>0.5366150935294522</v>
      </c>
      <c r="E660" s="36" t="n">
        <v>0.8286478479269953</v>
      </c>
      <c r="F660" s="36" t="n">
        <v>0.1388513867508298</v>
      </c>
      <c r="G660" s="36" t="n">
        <v>0.9099371729174613</v>
      </c>
      <c r="H660" s="37">
        <f>SUM(B660:G660)</f>
        <v/>
      </c>
      <c r="I660" s="25">
        <f>B660/$H660</f>
        <v/>
      </c>
      <c r="J660" s="25">
        <f>C660/$H660</f>
        <v/>
      </c>
      <c r="K660" s="25">
        <f>D660/$H660</f>
        <v/>
      </c>
      <c r="L660" s="25">
        <f>E660/$H660</f>
        <v/>
      </c>
      <c r="M660" s="25">
        <f>F660/$H660</f>
        <v/>
      </c>
      <c r="N660" s="25">
        <f>G660/$H660</f>
        <v/>
      </c>
      <c r="O660" s="25">
        <f>SUM(MMULT(I660:N660,'07 Annualised Inputs'!$D$7:$D$12))</f>
        <v/>
      </c>
      <c r="P660" s="25">
        <f>SQRT(SUMPRODUCT(MMULT(I660:N660,'07 Annualised Inputs'!$B$17:$G$22),I660:N660))</f>
        <v/>
      </c>
      <c r="Q660" s="37">
        <f>(O660-'02 Config'!$B$10)/P660</f>
        <v/>
      </c>
    </row>
    <row r="661">
      <c r="A661" s="12" t="n">
        <v>656</v>
      </c>
      <c r="B661" s="36" t="n">
        <v>0.5314281721720702</v>
      </c>
      <c r="C661" s="36" t="n">
        <v>0.5861093839143664</v>
      </c>
      <c r="D661" s="36" t="n">
        <v>0.5101662932977671</v>
      </c>
      <c r="E661" s="36" t="n">
        <v>0.03602490683626647</v>
      </c>
      <c r="F661" s="36" t="n">
        <v>0.4970906618065981</v>
      </c>
      <c r="G661" s="36" t="n">
        <v>0.2635496626769905</v>
      </c>
      <c r="H661" s="37">
        <f>SUM(B661:G661)</f>
        <v/>
      </c>
      <c r="I661" s="25">
        <f>B661/$H661</f>
        <v/>
      </c>
      <c r="J661" s="25">
        <f>C661/$H661</f>
        <v/>
      </c>
      <c r="K661" s="25">
        <f>D661/$H661</f>
        <v/>
      </c>
      <c r="L661" s="25">
        <f>E661/$H661</f>
        <v/>
      </c>
      <c r="M661" s="25">
        <f>F661/$H661</f>
        <v/>
      </c>
      <c r="N661" s="25">
        <f>G661/$H661</f>
        <v/>
      </c>
      <c r="O661" s="25">
        <f>SUM(MMULT(I661:N661,'07 Annualised Inputs'!$D$7:$D$12))</f>
        <v/>
      </c>
      <c r="P661" s="25">
        <f>SQRT(SUMPRODUCT(MMULT(I661:N661,'07 Annualised Inputs'!$B$17:$G$22),I661:N661))</f>
        <v/>
      </c>
      <c r="Q661" s="37">
        <f>(O661-'02 Config'!$B$10)/P661</f>
        <v/>
      </c>
    </row>
    <row r="662">
      <c r="A662" s="12" t="n">
        <v>657</v>
      </c>
      <c r="B662" s="36" t="n">
        <v>0.3426881803778314</v>
      </c>
      <c r="C662" s="36" t="n">
        <v>0.6491015991871399</v>
      </c>
      <c r="D662" s="36" t="n">
        <v>0.4976971294741059</v>
      </c>
      <c r="E662" s="36" t="n">
        <v>0.09321821266746044</v>
      </c>
      <c r="F662" s="36" t="n">
        <v>0.07304127476175892</v>
      </c>
      <c r="G662" s="36" t="n">
        <v>0.1856576956173703</v>
      </c>
      <c r="H662" s="37">
        <f>SUM(B662:G662)</f>
        <v/>
      </c>
      <c r="I662" s="25">
        <f>B662/$H662</f>
        <v/>
      </c>
      <c r="J662" s="25">
        <f>C662/$H662</f>
        <v/>
      </c>
      <c r="K662" s="25">
        <f>D662/$H662</f>
        <v/>
      </c>
      <c r="L662" s="25">
        <f>E662/$H662</f>
        <v/>
      </c>
      <c r="M662" s="25">
        <f>F662/$H662</f>
        <v/>
      </c>
      <c r="N662" s="25">
        <f>G662/$H662</f>
        <v/>
      </c>
      <c r="O662" s="25">
        <f>SUM(MMULT(I662:N662,'07 Annualised Inputs'!$D$7:$D$12))</f>
        <v/>
      </c>
      <c r="P662" s="25">
        <f>SQRT(SUMPRODUCT(MMULT(I662:N662,'07 Annualised Inputs'!$B$17:$G$22),I662:N662))</f>
        <v/>
      </c>
      <c r="Q662" s="37">
        <f>(O662-'02 Config'!$B$10)/P662</f>
        <v/>
      </c>
    </row>
    <row r="663">
      <c r="A663" s="12" t="n">
        <v>658</v>
      </c>
      <c r="B663" s="36" t="n">
        <v>0.1908851465722237</v>
      </c>
      <c r="C663" s="36" t="n">
        <v>0.6083007569713649</v>
      </c>
      <c r="D663" s="36" t="n">
        <v>0.1778144640455428</v>
      </c>
      <c r="E663" s="36" t="n">
        <v>0.8817194232747706</v>
      </c>
      <c r="F663" s="36" t="n">
        <v>0.2097606606134131</v>
      </c>
      <c r="G663" s="36" t="n">
        <v>0.09113144542638263</v>
      </c>
      <c r="H663" s="37">
        <f>SUM(B663:G663)</f>
        <v/>
      </c>
      <c r="I663" s="25">
        <f>B663/$H663</f>
        <v/>
      </c>
      <c r="J663" s="25">
        <f>C663/$H663</f>
        <v/>
      </c>
      <c r="K663" s="25">
        <f>D663/$H663</f>
        <v/>
      </c>
      <c r="L663" s="25">
        <f>E663/$H663</f>
        <v/>
      </c>
      <c r="M663" s="25">
        <f>F663/$H663</f>
        <v/>
      </c>
      <c r="N663" s="25">
        <f>G663/$H663</f>
        <v/>
      </c>
      <c r="O663" s="25">
        <f>SUM(MMULT(I663:N663,'07 Annualised Inputs'!$D$7:$D$12))</f>
        <v/>
      </c>
      <c r="P663" s="25">
        <f>SQRT(SUMPRODUCT(MMULT(I663:N663,'07 Annualised Inputs'!$B$17:$G$22),I663:N663))</f>
        <v/>
      </c>
      <c r="Q663" s="37">
        <f>(O663-'02 Config'!$B$10)/P663</f>
        <v/>
      </c>
    </row>
    <row r="664">
      <c r="A664" s="12" t="n">
        <v>659</v>
      </c>
      <c r="B664" s="36" t="n">
        <v>0.8757460163596469</v>
      </c>
      <c r="C664" s="36" t="n">
        <v>0.295327576076733</v>
      </c>
      <c r="D664" s="36" t="n">
        <v>0.4254226298337358</v>
      </c>
      <c r="E664" s="36" t="n">
        <v>0.9590263840124423</v>
      </c>
      <c r="F664" s="36" t="n">
        <v>0.9443692191577738</v>
      </c>
      <c r="G664" s="36" t="n">
        <v>0.7149168892649178</v>
      </c>
      <c r="H664" s="37">
        <f>SUM(B664:G664)</f>
        <v/>
      </c>
      <c r="I664" s="25">
        <f>B664/$H664</f>
        <v/>
      </c>
      <c r="J664" s="25">
        <f>C664/$H664</f>
        <v/>
      </c>
      <c r="K664" s="25">
        <f>D664/$H664</f>
        <v/>
      </c>
      <c r="L664" s="25">
        <f>E664/$H664</f>
        <v/>
      </c>
      <c r="M664" s="25">
        <f>F664/$H664</f>
        <v/>
      </c>
      <c r="N664" s="25">
        <f>G664/$H664</f>
        <v/>
      </c>
      <c r="O664" s="25">
        <f>SUM(MMULT(I664:N664,'07 Annualised Inputs'!$D$7:$D$12))</f>
        <v/>
      </c>
      <c r="P664" s="25">
        <f>SQRT(SUMPRODUCT(MMULT(I664:N664,'07 Annualised Inputs'!$B$17:$G$22),I664:N664))</f>
        <v/>
      </c>
      <c r="Q664" s="37">
        <f>(O664-'02 Config'!$B$10)/P664</f>
        <v/>
      </c>
    </row>
    <row r="665">
      <c r="A665" s="12" t="n">
        <v>660</v>
      </c>
      <c r="B665" s="36" t="n">
        <v>0.06893895173255471</v>
      </c>
      <c r="C665" s="36" t="n">
        <v>0.5933401254113975</v>
      </c>
      <c r="D665" s="36" t="n">
        <v>0.9890779350422578</v>
      </c>
      <c r="E665" s="36" t="n">
        <v>0.9469162284239805</v>
      </c>
      <c r="F665" s="36" t="n">
        <v>0.1060024925199429</v>
      </c>
      <c r="G665" s="36" t="n">
        <v>0.3959673030903686</v>
      </c>
      <c r="H665" s="37">
        <f>SUM(B665:G665)</f>
        <v/>
      </c>
      <c r="I665" s="25">
        <f>B665/$H665</f>
        <v/>
      </c>
      <c r="J665" s="25">
        <f>C665/$H665</f>
        <v/>
      </c>
      <c r="K665" s="25">
        <f>D665/$H665</f>
        <v/>
      </c>
      <c r="L665" s="25">
        <f>E665/$H665</f>
        <v/>
      </c>
      <c r="M665" s="25">
        <f>F665/$H665</f>
        <v/>
      </c>
      <c r="N665" s="25">
        <f>G665/$H665</f>
        <v/>
      </c>
      <c r="O665" s="25">
        <f>SUM(MMULT(I665:N665,'07 Annualised Inputs'!$D$7:$D$12))</f>
        <v/>
      </c>
      <c r="P665" s="25">
        <f>SQRT(SUMPRODUCT(MMULT(I665:N665,'07 Annualised Inputs'!$B$17:$G$22),I665:N665))</f>
        <v/>
      </c>
      <c r="Q665" s="37">
        <f>(O665-'02 Config'!$B$10)/P665</f>
        <v/>
      </c>
    </row>
    <row r="666">
      <c r="A666" s="12" t="n">
        <v>661</v>
      </c>
      <c r="B666" s="36" t="n">
        <v>0.3155367459028393</v>
      </c>
      <c r="C666" s="36" t="n">
        <v>0.1297281069049055</v>
      </c>
      <c r="D666" s="36" t="n">
        <v>0.6947983112487609</v>
      </c>
      <c r="E666" s="36" t="n">
        <v>0.2738483643602367</v>
      </c>
      <c r="F666" s="36" t="n">
        <v>0.3448658031252978</v>
      </c>
      <c r="G666" s="36" t="n">
        <v>0.09035887670141796</v>
      </c>
      <c r="H666" s="37">
        <f>SUM(B666:G666)</f>
        <v/>
      </c>
      <c r="I666" s="25">
        <f>B666/$H666</f>
        <v/>
      </c>
      <c r="J666" s="25">
        <f>C666/$H666</f>
        <v/>
      </c>
      <c r="K666" s="25">
        <f>D666/$H666</f>
        <v/>
      </c>
      <c r="L666" s="25">
        <f>E666/$H666</f>
        <v/>
      </c>
      <c r="M666" s="25">
        <f>F666/$H666</f>
        <v/>
      </c>
      <c r="N666" s="25">
        <f>G666/$H666</f>
        <v/>
      </c>
      <c r="O666" s="25">
        <f>SUM(MMULT(I666:N666,'07 Annualised Inputs'!$D$7:$D$12))</f>
        <v/>
      </c>
      <c r="P666" s="25">
        <f>SQRT(SUMPRODUCT(MMULT(I666:N666,'07 Annualised Inputs'!$B$17:$G$22),I666:N666))</f>
        <v/>
      </c>
      <c r="Q666" s="37">
        <f>(O666-'02 Config'!$B$10)/P666</f>
        <v/>
      </c>
    </row>
    <row r="667">
      <c r="A667" s="12" t="n">
        <v>662</v>
      </c>
      <c r="B667" s="36" t="n">
        <v>0.4979675587786656</v>
      </c>
      <c r="C667" s="36" t="n">
        <v>0.1581678636520565</v>
      </c>
      <c r="D667" s="36" t="n">
        <v>0.4320904235794891</v>
      </c>
      <c r="E667" s="36" t="n">
        <v>0.1433422221033015</v>
      </c>
      <c r="F667" s="36" t="n">
        <v>0.9538498899501457</v>
      </c>
      <c r="G667" s="36" t="n">
        <v>0.1449825331971426</v>
      </c>
      <c r="H667" s="37">
        <f>SUM(B667:G667)</f>
        <v/>
      </c>
      <c r="I667" s="25">
        <f>B667/$H667</f>
        <v/>
      </c>
      <c r="J667" s="25">
        <f>C667/$H667</f>
        <v/>
      </c>
      <c r="K667" s="25">
        <f>D667/$H667</f>
        <v/>
      </c>
      <c r="L667" s="25">
        <f>E667/$H667</f>
        <v/>
      </c>
      <c r="M667" s="25">
        <f>F667/$H667</f>
        <v/>
      </c>
      <c r="N667" s="25">
        <f>G667/$H667</f>
        <v/>
      </c>
      <c r="O667" s="25">
        <f>SUM(MMULT(I667:N667,'07 Annualised Inputs'!$D$7:$D$12))</f>
        <v/>
      </c>
      <c r="P667" s="25">
        <f>SQRT(SUMPRODUCT(MMULT(I667:N667,'07 Annualised Inputs'!$B$17:$G$22),I667:N667))</f>
        <v/>
      </c>
      <c r="Q667" s="37">
        <f>(O667-'02 Config'!$B$10)/P667</f>
        <v/>
      </c>
    </row>
    <row r="668">
      <c r="A668" s="12" t="n">
        <v>663</v>
      </c>
      <c r="B668" s="36" t="n">
        <v>0.5218871538506332</v>
      </c>
      <c r="C668" s="36" t="n">
        <v>0.1969798253189875</v>
      </c>
      <c r="D668" s="36" t="n">
        <v>0.07636180347260924</v>
      </c>
      <c r="E668" s="36" t="n">
        <v>0.2023086188420982</v>
      </c>
      <c r="F668" s="36" t="n">
        <v>0.05477410739043609</v>
      </c>
      <c r="G668" s="36" t="n">
        <v>0.1393973831209888</v>
      </c>
      <c r="H668" s="37">
        <f>SUM(B668:G668)</f>
        <v/>
      </c>
      <c r="I668" s="25">
        <f>B668/$H668</f>
        <v/>
      </c>
      <c r="J668" s="25">
        <f>C668/$H668</f>
        <v/>
      </c>
      <c r="K668" s="25">
        <f>D668/$H668</f>
        <v/>
      </c>
      <c r="L668" s="25">
        <f>E668/$H668</f>
        <v/>
      </c>
      <c r="M668" s="25">
        <f>F668/$H668</f>
        <v/>
      </c>
      <c r="N668" s="25">
        <f>G668/$H668</f>
        <v/>
      </c>
      <c r="O668" s="25">
        <f>SUM(MMULT(I668:N668,'07 Annualised Inputs'!$D$7:$D$12))</f>
        <v/>
      </c>
      <c r="P668" s="25">
        <f>SQRT(SUMPRODUCT(MMULT(I668:N668,'07 Annualised Inputs'!$B$17:$G$22),I668:N668))</f>
        <v/>
      </c>
      <c r="Q668" s="37">
        <f>(O668-'02 Config'!$B$10)/P668</f>
        <v/>
      </c>
    </row>
    <row r="669">
      <c r="A669" s="12" t="n">
        <v>664</v>
      </c>
      <c r="B669" s="36" t="n">
        <v>0.493484157763217</v>
      </c>
      <c r="C669" s="36" t="n">
        <v>0.6518155210575742</v>
      </c>
      <c r="D669" s="36" t="n">
        <v>0.08733981507178346</v>
      </c>
      <c r="E669" s="36" t="n">
        <v>0.4410186239042685</v>
      </c>
      <c r="F669" s="36" t="n">
        <v>0.5812470228533519</v>
      </c>
      <c r="G669" s="36" t="n">
        <v>0.2342256762110615</v>
      </c>
      <c r="H669" s="37">
        <f>SUM(B669:G669)</f>
        <v/>
      </c>
      <c r="I669" s="25">
        <f>B669/$H669</f>
        <v/>
      </c>
      <c r="J669" s="25">
        <f>C669/$H669</f>
        <v/>
      </c>
      <c r="K669" s="25">
        <f>D669/$H669</f>
        <v/>
      </c>
      <c r="L669" s="25">
        <f>E669/$H669</f>
        <v/>
      </c>
      <c r="M669" s="25">
        <f>F669/$H669</f>
        <v/>
      </c>
      <c r="N669" s="25">
        <f>G669/$H669</f>
        <v/>
      </c>
      <c r="O669" s="25">
        <f>SUM(MMULT(I669:N669,'07 Annualised Inputs'!$D$7:$D$12))</f>
        <v/>
      </c>
      <c r="P669" s="25">
        <f>SQRT(SUMPRODUCT(MMULT(I669:N669,'07 Annualised Inputs'!$B$17:$G$22),I669:N669))</f>
        <v/>
      </c>
      <c r="Q669" s="37">
        <f>(O669-'02 Config'!$B$10)/P669</f>
        <v/>
      </c>
    </row>
    <row r="670">
      <c r="A670" s="12" t="n">
        <v>665</v>
      </c>
      <c r="B670" s="36" t="n">
        <v>0.3720784115160254</v>
      </c>
      <c r="C670" s="36" t="n">
        <v>0.07183486973360864</v>
      </c>
      <c r="D670" s="36" t="n">
        <v>0.2201310802330949</v>
      </c>
      <c r="E670" s="36" t="n">
        <v>0.46675292591894</v>
      </c>
      <c r="F670" s="36" t="n">
        <v>0.9904421789253223</v>
      </c>
      <c r="G670" s="36" t="n">
        <v>0.9962650629391334</v>
      </c>
      <c r="H670" s="37">
        <f>SUM(B670:G670)</f>
        <v/>
      </c>
      <c r="I670" s="25">
        <f>B670/$H670</f>
        <v/>
      </c>
      <c r="J670" s="25">
        <f>C670/$H670</f>
        <v/>
      </c>
      <c r="K670" s="25">
        <f>D670/$H670</f>
        <v/>
      </c>
      <c r="L670" s="25">
        <f>E670/$H670</f>
        <v/>
      </c>
      <c r="M670" s="25">
        <f>F670/$H670</f>
        <v/>
      </c>
      <c r="N670" s="25">
        <f>G670/$H670</f>
        <v/>
      </c>
      <c r="O670" s="25">
        <f>SUM(MMULT(I670:N670,'07 Annualised Inputs'!$D$7:$D$12))</f>
        <v/>
      </c>
      <c r="P670" s="25">
        <f>SQRT(SUMPRODUCT(MMULT(I670:N670,'07 Annualised Inputs'!$B$17:$G$22),I670:N670))</f>
        <v/>
      </c>
      <c r="Q670" s="37">
        <f>(O670-'02 Config'!$B$10)/P670</f>
        <v/>
      </c>
    </row>
    <row r="671">
      <c r="A671" s="12" t="n">
        <v>666</v>
      </c>
      <c r="B671" s="36" t="n">
        <v>0.9796216811242879</v>
      </c>
      <c r="C671" s="36" t="n">
        <v>0.4230863863003276</v>
      </c>
      <c r="D671" s="36" t="n">
        <v>0.08068037841466502</v>
      </c>
      <c r="E671" s="36" t="n">
        <v>0.3235734372493335</v>
      </c>
      <c r="F671" s="36" t="n">
        <v>0.2377143753709773</v>
      </c>
      <c r="G671" s="36" t="n">
        <v>0.01412657490985458</v>
      </c>
      <c r="H671" s="37">
        <f>SUM(B671:G671)</f>
        <v/>
      </c>
      <c r="I671" s="25">
        <f>B671/$H671</f>
        <v/>
      </c>
      <c r="J671" s="25">
        <f>C671/$H671</f>
        <v/>
      </c>
      <c r="K671" s="25">
        <f>D671/$H671</f>
        <v/>
      </c>
      <c r="L671" s="25">
        <f>E671/$H671</f>
        <v/>
      </c>
      <c r="M671" s="25">
        <f>F671/$H671</f>
        <v/>
      </c>
      <c r="N671" s="25">
        <f>G671/$H671</f>
        <v/>
      </c>
      <c r="O671" s="25">
        <f>SUM(MMULT(I671:N671,'07 Annualised Inputs'!$D$7:$D$12))</f>
        <v/>
      </c>
      <c r="P671" s="25">
        <f>SQRT(SUMPRODUCT(MMULT(I671:N671,'07 Annualised Inputs'!$B$17:$G$22),I671:N671))</f>
        <v/>
      </c>
      <c r="Q671" s="37">
        <f>(O671-'02 Config'!$B$10)/P671</f>
        <v/>
      </c>
    </row>
    <row r="672">
      <c r="A672" s="12" t="n">
        <v>667</v>
      </c>
      <c r="B672" s="36" t="n">
        <v>0.0952336102883754</v>
      </c>
      <c r="C672" s="36" t="n">
        <v>0.4531919350490661</v>
      </c>
      <c r="D672" s="36" t="n">
        <v>0.339662463804297</v>
      </c>
      <c r="E672" s="36" t="n">
        <v>0.180353721634483</v>
      </c>
      <c r="F672" s="36" t="n">
        <v>0.7160999706587471</v>
      </c>
      <c r="G672" s="36" t="n">
        <v>0.3571155958966186</v>
      </c>
      <c r="H672" s="37">
        <f>SUM(B672:G672)</f>
        <v/>
      </c>
      <c r="I672" s="25">
        <f>B672/$H672</f>
        <v/>
      </c>
      <c r="J672" s="25">
        <f>C672/$H672</f>
        <v/>
      </c>
      <c r="K672" s="25">
        <f>D672/$H672</f>
        <v/>
      </c>
      <c r="L672" s="25">
        <f>E672/$H672</f>
        <v/>
      </c>
      <c r="M672" s="25">
        <f>F672/$H672</f>
        <v/>
      </c>
      <c r="N672" s="25">
        <f>G672/$H672</f>
        <v/>
      </c>
      <c r="O672" s="25">
        <f>SUM(MMULT(I672:N672,'07 Annualised Inputs'!$D$7:$D$12))</f>
        <v/>
      </c>
      <c r="P672" s="25">
        <f>SQRT(SUMPRODUCT(MMULT(I672:N672,'07 Annualised Inputs'!$B$17:$G$22),I672:N672))</f>
        <v/>
      </c>
      <c r="Q672" s="37">
        <f>(O672-'02 Config'!$B$10)/P672</f>
        <v/>
      </c>
    </row>
    <row r="673">
      <c r="A673" s="12" t="n">
        <v>668</v>
      </c>
      <c r="B673" s="36" t="n">
        <v>0.8518678557465443</v>
      </c>
      <c r="C673" s="36" t="n">
        <v>0.2409771602631173</v>
      </c>
      <c r="D673" s="36" t="n">
        <v>0.5383934900866247</v>
      </c>
      <c r="E673" s="36" t="n">
        <v>0.1841392171491825</v>
      </c>
      <c r="F673" s="36" t="n">
        <v>0.495300616385842</v>
      </c>
      <c r="G673" s="36" t="n">
        <v>0.1524665089783862</v>
      </c>
      <c r="H673" s="37">
        <f>SUM(B673:G673)</f>
        <v/>
      </c>
      <c r="I673" s="25">
        <f>B673/$H673</f>
        <v/>
      </c>
      <c r="J673" s="25">
        <f>C673/$H673</f>
        <v/>
      </c>
      <c r="K673" s="25">
        <f>D673/$H673</f>
        <v/>
      </c>
      <c r="L673" s="25">
        <f>E673/$H673</f>
        <v/>
      </c>
      <c r="M673" s="25">
        <f>F673/$H673</f>
        <v/>
      </c>
      <c r="N673" s="25">
        <f>G673/$H673</f>
        <v/>
      </c>
      <c r="O673" s="25">
        <f>SUM(MMULT(I673:N673,'07 Annualised Inputs'!$D$7:$D$12))</f>
        <v/>
      </c>
      <c r="P673" s="25">
        <f>SQRT(SUMPRODUCT(MMULT(I673:N673,'07 Annualised Inputs'!$B$17:$G$22),I673:N673))</f>
        <v/>
      </c>
      <c r="Q673" s="37">
        <f>(O673-'02 Config'!$B$10)/P673</f>
        <v/>
      </c>
    </row>
    <row r="674">
      <c r="A674" s="12" t="n">
        <v>669</v>
      </c>
      <c r="B674" s="36" t="n">
        <v>0.1615786243715219</v>
      </c>
      <c r="C674" s="36" t="n">
        <v>0.6122233770420157</v>
      </c>
      <c r="D674" s="36" t="n">
        <v>0.2637860421757667</v>
      </c>
      <c r="E674" s="36" t="n">
        <v>0.1723672265642473</v>
      </c>
      <c r="F674" s="36" t="n">
        <v>0.9297682501350731</v>
      </c>
      <c r="G674" s="36" t="n">
        <v>0.04300325074005107</v>
      </c>
      <c r="H674" s="37">
        <f>SUM(B674:G674)</f>
        <v/>
      </c>
      <c r="I674" s="25">
        <f>B674/$H674</f>
        <v/>
      </c>
      <c r="J674" s="25">
        <f>C674/$H674</f>
        <v/>
      </c>
      <c r="K674" s="25">
        <f>D674/$H674</f>
        <v/>
      </c>
      <c r="L674" s="25">
        <f>E674/$H674</f>
        <v/>
      </c>
      <c r="M674" s="25">
        <f>F674/$H674</f>
        <v/>
      </c>
      <c r="N674" s="25">
        <f>G674/$H674</f>
        <v/>
      </c>
      <c r="O674" s="25">
        <f>SUM(MMULT(I674:N674,'07 Annualised Inputs'!$D$7:$D$12))</f>
        <v/>
      </c>
      <c r="P674" s="25">
        <f>SQRT(SUMPRODUCT(MMULT(I674:N674,'07 Annualised Inputs'!$B$17:$G$22),I674:N674))</f>
        <v/>
      </c>
      <c r="Q674" s="37">
        <f>(O674-'02 Config'!$B$10)/P674</f>
        <v/>
      </c>
    </row>
    <row r="675">
      <c r="A675" s="12" t="n">
        <v>670</v>
      </c>
      <c r="B675" s="36" t="n">
        <v>0.5651481126958872</v>
      </c>
      <c r="C675" s="36" t="n">
        <v>0.5482638418332653</v>
      </c>
      <c r="D675" s="36" t="n">
        <v>0.2506088744030598</v>
      </c>
      <c r="E675" s="36" t="n">
        <v>0.4527717451128178</v>
      </c>
      <c r="F675" s="36" t="n">
        <v>0.08773778308263547</v>
      </c>
      <c r="G675" s="36" t="n">
        <v>0.7212701459238856</v>
      </c>
      <c r="H675" s="37">
        <f>SUM(B675:G675)</f>
        <v/>
      </c>
      <c r="I675" s="25">
        <f>B675/$H675</f>
        <v/>
      </c>
      <c r="J675" s="25">
        <f>C675/$H675</f>
        <v/>
      </c>
      <c r="K675" s="25">
        <f>D675/$H675</f>
        <v/>
      </c>
      <c r="L675" s="25">
        <f>E675/$H675</f>
        <v/>
      </c>
      <c r="M675" s="25">
        <f>F675/$H675</f>
        <v/>
      </c>
      <c r="N675" s="25">
        <f>G675/$H675</f>
        <v/>
      </c>
      <c r="O675" s="25">
        <f>SUM(MMULT(I675:N675,'07 Annualised Inputs'!$D$7:$D$12))</f>
        <v/>
      </c>
      <c r="P675" s="25">
        <f>SQRT(SUMPRODUCT(MMULT(I675:N675,'07 Annualised Inputs'!$B$17:$G$22),I675:N675))</f>
        <v/>
      </c>
      <c r="Q675" s="37">
        <f>(O675-'02 Config'!$B$10)/P675</f>
        <v/>
      </c>
    </row>
    <row r="676">
      <c r="A676" s="12" t="n">
        <v>671</v>
      </c>
      <c r="B676" s="36" t="n">
        <v>0.2216971483768232</v>
      </c>
      <c r="C676" s="36" t="n">
        <v>0.1933853598265559</v>
      </c>
      <c r="D676" s="36" t="n">
        <v>0.314878478277503</v>
      </c>
      <c r="E676" s="36" t="n">
        <v>0.902369920263142</v>
      </c>
      <c r="F676" s="36" t="n">
        <v>0.7964666482835426</v>
      </c>
      <c r="G676" s="36" t="n">
        <v>0.9468922911337576</v>
      </c>
      <c r="H676" s="37">
        <f>SUM(B676:G676)</f>
        <v/>
      </c>
      <c r="I676" s="25">
        <f>B676/$H676</f>
        <v/>
      </c>
      <c r="J676" s="25">
        <f>C676/$H676</f>
        <v/>
      </c>
      <c r="K676" s="25">
        <f>D676/$H676</f>
        <v/>
      </c>
      <c r="L676" s="25">
        <f>E676/$H676</f>
        <v/>
      </c>
      <c r="M676" s="25">
        <f>F676/$H676</f>
        <v/>
      </c>
      <c r="N676" s="25">
        <f>G676/$H676</f>
        <v/>
      </c>
      <c r="O676" s="25">
        <f>SUM(MMULT(I676:N676,'07 Annualised Inputs'!$D$7:$D$12))</f>
        <v/>
      </c>
      <c r="P676" s="25">
        <f>SQRT(SUMPRODUCT(MMULT(I676:N676,'07 Annualised Inputs'!$B$17:$G$22),I676:N676))</f>
        <v/>
      </c>
      <c r="Q676" s="37">
        <f>(O676-'02 Config'!$B$10)/P676</f>
        <v/>
      </c>
    </row>
    <row r="677">
      <c r="A677" s="12" t="n">
        <v>672</v>
      </c>
      <c r="B677" s="36" t="n">
        <v>0.6519623460330854</v>
      </c>
      <c r="C677" s="36" t="n">
        <v>0.6629215110320876</v>
      </c>
      <c r="D677" s="36" t="n">
        <v>0.480030999426217</v>
      </c>
      <c r="E677" s="36" t="n">
        <v>0.9051863233669755</v>
      </c>
      <c r="F677" s="36" t="n">
        <v>0.510877149270329</v>
      </c>
      <c r="G677" s="36" t="n">
        <v>0.3550600707950247</v>
      </c>
      <c r="H677" s="37">
        <f>SUM(B677:G677)</f>
        <v/>
      </c>
      <c r="I677" s="25">
        <f>B677/$H677</f>
        <v/>
      </c>
      <c r="J677" s="25">
        <f>C677/$H677</f>
        <v/>
      </c>
      <c r="K677" s="25">
        <f>D677/$H677</f>
        <v/>
      </c>
      <c r="L677" s="25">
        <f>E677/$H677</f>
        <v/>
      </c>
      <c r="M677" s="25">
        <f>F677/$H677</f>
        <v/>
      </c>
      <c r="N677" s="25">
        <f>G677/$H677</f>
        <v/>
      </c>
      <c r="O677" s="25">
        <f>SUM(MMULT(I677:N677,'07 Annualised Inputs'!$D$7:$D$12))</f>
        <v/>
      </c>
      <c r="P677" s="25">
        <f>SQRT(SUMPRODUCT(MMULT(I677:N677,'07 Annualised Inputs'!$B$17:$G$22),I677:N677))</f>
        <v/>
      </c>
      <c r="Q677" s="37">
        <f>(O677-'02 Config'!$B$10)/P677</f>
        <v/>
      </c>
    </row>
    <row r="678">
      <c r="A678" s="12" t="n">
        <v>673</v>
      </c>
      <c r="B678" s="36" t="n">
        <v>0.6403750099176652</v>
      </c>
      <c r="C678" s="36" t="n">
        <v>0.5461394934009635</v>
      </c>
      <c r="D678" s="36" t="n">
        <v>0.1240198153098955</v>
      </c>
      <c r="E678" s="36" t="n">
        <v>0.3927254139124295</v>
      </c>
      <c r="F678" s="36" t="n">
        <v>0.31332541109448</v>
      </c>
      <c r="G678" s="36" t="n">
        <v>0.8468337750111318</v>
      </c>
      <c r="H678" s="37">
        <f>SUM(B678:G678)</f>
        <v/>
      </c>
      <c r="I678" s="25">
        <f>B678/$H678</f>
        <v/>
      </c>
      <c r="J678" s="25">
        <f>C678/$H678</f>
        <v/>
      </c>
      <c r="K678" s="25">
        <f>D678/$H678</f>
        <v/>
      </c>
      <c r="L678" s="25">
        <f>E678/$H678</f>
        <v/>
      </c>
      <c r="M678" s="25">
        <f>F678/$H678</f>
        <v/>
      </c>
      <c r="N678" s="25">
        <f>G678/$H678</f>
        <v/>
      </c>
      <c r="O678" s="25">
        <f>SUM(MMULT(I678:N678,'07 Annualised Inputs'!$D$7:$D$12))</f>
        <v/>
      </c>
      <c r="P678" s="25">
        <f>SQRT(SUMPRODUCT(MMULT(I678:N678,'07 Annualised Inputs'!$B$17:$G$22),I678:N678))</f>
        <v/>
      </c>
      <c r="Q678" s="37">
        <f>(O678-'02 Config'!$B$10)/P678</f>
        <v/>
      </c>
    </row>
    <row r="679">
      <c r="A679" s="12" t="n">
        <v>674</v>
      </c>
      <c r="B679" s="36" t="n">
        <v>0.3788425569731088</v>
      </c>
      <c r="C679" s="36" t="n">
        <v>0.8215552326388926</v>
      </c>
      <c r="D679" s="36" t="n">
        <v>0.4423895939009456</v>
      </c>
      <c r="E679" s="36" t="n">
        <v>0.75350056344561</v>
      </c>
      <c r="F679" s="36" t="n">
        <v>0.1352819285111899</v>
      </c>
      <c r="G679" s="36" t="n">
        <v>0.9246502196584624</v>
      </c>
      <c r="H679" s="37">
        <f>SUM(B679:G679)</f>
        <v/>
      </c>
      <c r="I679" s="25">
        <f>B679/$H679</f>
        <v/>
      </c>
      <c r="J679" s="25">
        <f>C679/$H679</f>
        <v/>
      </c>
      <c r="K679" s="25">
        <f>D679/$H679</f>
        <v/>
      </c>
      <c r="L679" s="25">
        <f>E679/$H679</f>
        <v/>
      </c>
      <c r="M679" s="25">
        <f>F679/$H679</f>
        <v/>
      </c>
      <c r="N679" s="25">
        <f>G679/$H679</f>
        <v/>
      </c>
      <c r="O679" s="25">
        <f>SUM(MMULT(I679:N679,'07 Annualised Inputs'!$D$7:$D$12))</f>
        <v/>
      </c>
      <c r="P679" s="25">
        <f>SQRT(SUMPRODUCT(MMULT(I679:N679,'07 Annualised Inputs'!$B$17:$G$22),I679:N679))</f>
        <v/>
      </c>
      <c r="Q679" s="37">
        <f>(O679-'02 Config'!$B$10)/P679</f>
        <v/>
      </c>
    </row>
    <row r="680">
      <c r="A680" s="12" t="n">
        <v>675</v>
      </c>
      <c r="B680" s="36" t="n">
        <v>0.4805598907989183</v>
      </c>
      <c r="C680" s="36" t="n">
        <v>0.2597982456263064</v>
      </c>
      <c r="D680" s="36" t="n">
        <v>0.2414896063648069</v>
      </c>
      <c r="E680" s="36" t="n">
        <v>0.2650772885749719</v>
      </c>
      <c r="F680" s="36" t="n">
        <v>0.3667241729179677</v>
      </c>
      <c r="G680" s="36" t="n">
        <v>0.7175195326756167</v>
      </c>
      <c r="H680" s="37">
        <f>SUM(B680:G680)</f>
        <v/>
      </c>
      <c r="I680" s="25">
        <f>B680/$H680</f>
        <v/>
      </c>
      <c r="J680" s="25">
        <f>C680/$H680</f>
        <v/>
      </c>
      <c r="K680" s="25">
        <f>D680/$H680</f>
        <v/>
      </c>
      <c r="L680" s="25">
        <f>E680/$H680</f>
        <v/>
      </c>
      <c r="M680" s="25">
        <f>F680/$H680</f>
        <v/>
      </c>
      <c r="N680" s="25">
        <f>G680/$H680</f>
        <v/>
      </c>
      <c r="O680" s="25">
        <f>SUM(MMULT(I680:N680,'07 Annualised Inputs'!$D$7:$D$12))</f>
        <v/>
      </c>
      <c r="P680" s="25">
        <f>SQRT(SUMPRODUCT(MMULT(I680:N680,'07 Annualised Inputs'!$B$17:$G$22),I680:N680))</f>
        <v/>
      </c>
      <c r="Q680" s="37">
        <f>(O680-'02 Config'!$B$10)/P680</f>
        <v/>
      </c>
    </row>
    <row r="681">
      <c r="A681" s="12" t="n">
        <v>676</v>
      </c>
      <c r="B681" s="36" t="n">
        <v>0.9496030429007936</v>
      </c>
      <c r="C681" s="36" t="n">
        <v>0.6690374301236321</v>
      </c>
      <c r="D681" s="36" t="n">
        <v>0.5471662709441008</v>
      </c>
      <c r="E681" s="36" t="n">
        <v>0.4485978080171347</v>
      </c>
      <c r="F681" s="36" t="n">
        <v>0.8281944670376165</v>
      </c>
      <c r="G681" s="36" t="n">
        <v>0.8496572024460699</v>
      </c>
      <c r="H681" s="37">
        <f>SUM(B681:G681)</f>
        <v/>
      </c>
      <c r="I681" s="25">
        <f>B681/$H681</f>
        <v/>
      </c>
      <c r="J681" s="25">
        <f>C681/$H681</f>
        <v/>
      </c>
      <c r="K681" s="25">
        <f>D681/$H681</f>
        <v/>
      </c>
      <c r="L681" s="25">
        <f>E681/$H681</f>
        <v/>
      </c>
      <c r="M681" s="25">
        <f>F681/$H681</f>
        <v/>
      </c>
      <c r="N681" s="25">
        <f>G681/$H681</f>
        <v/>
      </c>
      <c r="O681" s="25">
        <f>SUM(MMULT(I681:N681,'07 Annualised Inputs'!$D$7:$D$12))</f>
        <v/>
      </c>
      <c r="P681" s="25">
        <f>SQRT(SUMPRODUCT(MMULT(I681:N681,'07 Annualised Inputs'!$B$17:$G$22),I681:N681))</f>
        <v/>
      </c>
      <c r="Q681" s="37">
        <f>(O681-'02 Config'!$B$10)/P681</f>
        <v/>
      </c>
    </row>
    <row r="682">
      <c r="A682" s="12" t="n">
        <v>677</v>
      </c>
      <c r="B682" s="36" t="n">
        <v>0.2930376744328186</v>
      </c>
      <c r="C682" s="36" t="n">
        <v>0.9534202486534301</v>
      </c>
      <c r="D682" s="36" t="n">
        <v>0.3951153632063821</v>
      </c>
      <c r="E682" s="36" t="n">
        <v>0.8000780691915278</v>
      </c>
      <c r="F682" s="36" t="n">
        <v>0.9668198780822334</v>
      </c>
      <c r="G682" s="36" t="n">
        <v>0.7036581008556112</v>
      </c>
      <c r="H682" s="37">
        <f>SUM(B682:G682)</f>
        <v/>
      </c>
      <c r="I682" s="25">
        <f>B682/$H682</f>
        <v/>
      </c>
      <c r="J682" s="25">
        <f>C682/$H682</f>
        <v/>
      </c>
      <c r="K682" s="25">
        <f>D682/$H682</f>
        <v/>
      </c>
      <c r="L682" s="25">
        <f>E682/$H682</f>
        <v/>
      </c>
      <c r="M682" s="25">
        <f>F682/$H682</f>
        <v/>
      </c>
      <c r="N682" s="25">
        <f>G682/$H682</f>
        <v/>
      </c>
      <c r="O682" s="25">
        <f>SUM(MMULT(I682:N682,'07 Annualised Inputs'!$D$7:$D$12))</f>
        <v/>
      </c>
      <c r="P682" s="25">
        <f>SQRT(SUMPRODUCT(MMULT(I682:N682,'07 Annualised Inputs'!$B$17:$G$22),I682:N682))</f>
        <v/>
      </c>
      <c r="Q682" s="37">
        <f>(O682-'02 Config'!$B$10)/P682</f>
        <v/>
      </c>
    </row>
    <row r="683">
      <c r="A683" s="12" t="n">
        <v>678</v>
      </c>
      <c r="B683" s="36" t="n">
        <v>0.1615507264511937</v>
      </c>
      <c r="C683" s="36" t="n">
        <v>0.5861369551739308</v>
      </c>
      <c r="D683" s="36" t="n">
        <v>0.1187771230955784</v>
      </c>
      <c r="E683" s="36" t="n">
        <v>0.7891420398689263</v>
      </c>
      <c r="F683" s="36" t="n">
        <v>0.2813151738738829</v>
      </c>
      <c r="G683" s="36" t="n">
        <v>0.6952148230600186</v>
      </c>
      <c r="H683" s="37">
        <f>SUM(B683:G683)</f>
        <v/>
      </c>
      <c r="I683" s="25">
        <f>B683/$H683</f>
        <v/>
      </c>
      <c r="J683" s="25">
        <f>C683/$H683</f>
        <v/>
      </c>
      <c r="K683" s="25">
        <f>D683/$H683</f>
        <v/>
      </c>
      <c r="L683" s="25">
        <f>E683/$H683</f>
        <v/>
      </c>
      <c r="M683" s="25">
        <f>F683/$H683</f>
        <v/>
      </c>
      <c r="N683" s="25">
        <f>G683/$H683</f>
        <v/>
      </c>
      <c r="O683" s="25">
        <f>SUM(MMULT(I683:N683,'07 Annualised Inputs'!$D$7:$D$12))</f>
        <v/>
      </c>
      <c r="P683" s="25">
        <f>SQRT(SUMPRODUCT(MMULT(I683:N683,'07 Annualised Inputs'!$B$17:$G$22),I683:N683))</f>
        <v/>
      </c>
      <c r="Q683" s="37">
        <f>(O683-'02 Config'!$B$10)/P683</f>
        <v/>
      </c>
    </row>
    <row r="684">
      <c r="A684" s="12" t="n">
        <v>679</v>
      </c>
      <c r="B684" s="36" t="n">
        <v>0.9100896741301989</v>
      </c>
      <c r="C684" s="36" t="n">
        <v>0.1810098506701724</v>
      </c>
      <c r="D684" s="36" t="n">
        <v>0.3928578386011667</v>
      </c>
      <c r="E684" s="36" t="n">
        <v>0.6471187880735663</v>
      </c>
      <c r="F684" s="36" t="n">
        <v>0.4196585928095011</v>
      </c>
      <c r="G684" s="36" t="n">
        <v>0.1748189416247152</v>
      </c>
      <c r="H684" s="37">
        <f>SUM(B684:G684)</f>
        <v/>
      </c>
      <c r="I684" s="25">
        <f>B684/$H684</f>
        <v/>
      </c>
      <c r="J684" s="25">
        <f>C684/$H684</f>
        <v/>
      </c>
      <c r="K684" s="25">
        <f>D684/$H684</f>
        <v/>
      </c>
      <c r="L684" s="25">
        <f>E684/$H684</f>
        <v/>
      </c>
      <c r="M684" s="25">
        <f>F684/$H684</f>
        <v/>
      </c>
      <c r="N684" s="25">
        <f>G684/$H684</f>
        <v/>
      </c>
      <c r="O684" s="25">
        <f>SUM(MMULT(I684:N684,'07 Annualised Inputs'!$D$7:$D$12))</f>
        <v/>
      </c>
      <c r="P684" s="25">
        <f>SQRT(SUMPRODUCT(MMULT(I684:N684,'07 Annualised Inputs'!$B$17:$G$22),I684:N684))</f>
        <v/>
      </c>
      <c r="Q684" s="37">
        <f>(O684-'02 Config'!$B$10)/P684</f>
        <v/>
      </c>
    </row>
    <row r="685">
      <c r="A685" s="12" t="n">
        <v>680</v>
      </c>
      <c r="B685" s="36" t="n">
        <v>0.029071614168797</v>
      </c>
      <c r="C685" s="36" t="n">
        <v>0.4065981437019629</v>
      </c>
      <c r="D685" s="36" t="n">
        <v>0.6492090265819204</v>
      </c>
      <c r="E685" s="36" t="n">
        <v>0.5739842081524886</v>
      </c>
      <c r="F685" s="36" t="n">
        <v>0.1562412397606424</v>
      </c>
      <c r="G685" s="36" t="n">
        <v>0.4506934438673866</v>
      </c>
      <c r="H685" s="37">
        <f>SUM(B685:G685)</f>
        <v/>
      </c>
      <c r="I685" s="25">
        <f>B685/$H685</f>
        <v/>
      </c>
      <c r="J685" s="25">
        <f>C685/$H685</f>
        <v/>
      </c>
      <c r="K685" s="25">
        <f>D685/$H685</f>
        <v/>
      </c>
      <c r="L685" s="25">
        <f>E685/$H685</f>
        <v/>
      </c>
      <c r="M685" s="25">
        <f>F685/$H685</f>
        <v/>
      </c>
      <c r="N685" s="25">
        <f>G685/$H685</f>
        <v/>
      </c>
      <c r="O685" s="25">
        <f>SUM(MMULT(I685:N685,'07 Annualised Inputs'!$D$7:$D$12))</f>
        <v/>
      </c>
      <c r="P685" s="25">
        <f>SQRT(SUMPRODUCT(MMULT(I685:N685,'07 Annualised Inputs'!$B$17:$G$22),I685:N685))</f>
        <v/>
      </c>
      <c r="Q685" s="37">
        <f>(O685-'02 Config'!$B$10)/P685</f>
        <v/>
      </c>
    </row>
    <row r="686">
      <c r="A686" s="12" t="n">
        <v>681</v>
      </c>
      <c r="B686" s="36" t="n">
        <v>0.3694710461812528</v>
      </c>
      <c r="C686" s="36" t="n">
        <v>0.2742024022933999</v>
      </c>
      <c r="D686" s="36" t="n">
        <v>0.7292712438603892</v>
      </c>
      <c r="E686" s="36" t="n">
        <v>0.3096520300271843</v>
      </c>
      <c r="F686" s="36" t="n">
        <v>0.5401419523330292</v>
      </c>
      <c r="G686" s="36" t="n">
        <v>0.9232235352696165</v>
      </c>
      <c r="H686" s="37">
        <f>SUM(B686:G686)</f>
        <v/>
      </c>
      <c r="I686" s="25">
        <f>B686/$H686</f>
        <v/>
      </c>
      <c r="J686" s="25">
        <f>C686/$H686</f>
        <v/>
      </c>
      <c r="K686" s="25">
        <f>D686/$H686</f>
        <v/>
      </c>
      <c r="L686" s="25">
        <f>E686/$H686</f>
        <v/>
      </c>
      <c r="M686" s="25">
        <f>F686/$H686</f>
        <v/>
      </c>
      <c r="N686" s="25">
        <f>G686/$H686</f>
        <v/>
      </c>
      <c r="O686" s="25">
        <f>SUM(MMULT(I686:N686,'07 Annualised Inputs'!$D$7:$D$12))</f>
        <v/>
      </c>
      <c r="P686" s="25">
        <f>SQRT(SUMPRODUCT(MMULT(I686:N686,'07 Annualised Inputs'!$B$17:$G$22),I686:N686))</f>
        <v/>
      </c>
      <c r="Q686" s="37">
        <f>(O686-'02 Config'!$B$10)/P686</f>
        <v/>
      </c>
    </row>
    <row r="687">
      <c r="A687" s="12" t="n">
        <v>682</v>
      </c>
      <c r="B687" s="36" t="n">
        <v>0.5392759822535824</v>
      </c>
      <c r="C687" s="36" t="n">
        <v>0.6170229101605608</v>
      </c>
      <c r="D687" s="36" t="n">
        <v>0.0732459861675514</v>
      </c>
      <c r="E687" s="36" t="n">
        <v>0.1781341437417363</v>
      </c>
      <c r="F687" s="36" t="n">
        <v>0.1009511992981135</v>
      </c>
      <c r="G687" s="36" t="n">
        <v>0.7648129483558401</v>
      </c>
      <c r="H687" s="37">
        <f>SUM(B687:G687)</f>
        <v/>
      </c>
      <c r="I687" s="25">
        <f>B687/$H687</f>
        <v/>
      </c>
      <c r="J687" s="25">
        <f>C687/$H687</f>
        <v/>
      </c>
      <c r="K687" s="25">
        <f>D687/$H687</f>
        <v/>
      </c>
      <c r="L687" s="25">
        <f>E687/$H687</f>
        <v/>
      </c>
      <c r="M687" s="25">
        <f>F687/$H687</f>
        <v/>
      </c>
      <c r="N687" s="25">
        <f>G687/$H687</f>
        <v/>
      </c>
      <c r="O687" s="25">
        <f>SUM(MMULT(I687:N687,'07 Annualised Inputs'!$D$7:$D$12))</f>
        <v/>
      </c>
      <c r="P687" s="25">
        <f>SQRT(SUMPRODUCT(MMULT(I687:N687,'07 Annualised Inputs'!$B$17:$G$22),I687:N687))</f>
        <v/>
      </c>
      <c r="Q687" s="37">
        <f>(O687-'02 Config'!$B$10)/P687</f>
        <v/>
      </c>
    </row>
    <row r="688">
      <c r="A688" s="12" t="n">
        <v>683</v>
      </c>
      <c r="B688" s="36" t="n">
        <v>0.8359210809168424</v>
      </c>
      <c r="C688" s="36" t="n">
        <v>0.1864552931945777</v>
      </c>
      <c r="D688" s="36" t="n">
        <v>0.219271750923091</v>
      </c>
      <c r="E688" s="36" t="n">
        <v>0.3232072894927829</v>
      </c>
      <c r="F688" s="36" t="n">
        <v>0.5910776169538354</v>
      </c>
      <c r="G688" s="36" t="n">
        <v>0.6217961938000195</v>
      </c>
      <c r="H688" s="37">
        <f>SUM(B688:G688)</f>
        <v/>
      </c>
      <c r="I688" s="25">
        <f>B688/$H688</f>
        <v/>
      </c>
      <c r="J688" s="25">
        <f>C688/$H688</f>
        <v/>
      </c>
      <c r="K688" s="25">
        <f>D688/$H688</f>
        <v/>
      </c>
      <c r="L688" s="25">
        <f>E688/$H688</f>
        <v/>
      </c>
      <c r="M688" s="25">
        <f>F688/$H688</f>
        <v/>
      </c>
      <c r="N688" s="25">
        <f>G688/$H688</f>
        <v/>
      </c>
      <c r="O688" s="25">
        <f>SUM(MMULT(I688:N688,'07 Annualised Inputs'!$D$7:$D$12))</f>
        <v/>
      </c>
      <c r="P688" s="25">
        <f>SQRT(SUMPRODUCT(MMULT(I688:N688,'07 Annualised Inputs'!$B$17:$G$22),I688:N688))</f>
        <v/>
      </c>
      <c r="Q688" s="37">
        <f>(O688-'02 Config'!$B$10)/P688</f>
        <v/>
      </c>
    </row>
    <row r="689">
      <c r="A689" s="12" t="n">
        <v>684</v>
      </c>
      <c r="B689" s="36" t="n">
        <v>0.6867539585414576</v>
      </c>
      <c r="C689" s="36" t="n">
        <v>0.9051927562134626</v>
      </c>
      <c r="D689" s="36" t="n">
        <v>0.2950401404965382</v>
      </c>
      <c r="E689" s="36" t="n">
        <v>0.6587589892067757</v>
      </c>
      <c r="F689" s="36" t="n">
        <v>0.5597228457776922</v>
      </c>
      <c r="G689" s="36" t="n">
        <v>0.3058372404125671</v>
      </c>
      <c r="H689" s="37">
        <f>SUM(B689:G689)</f>
        <v/>
      </c>
      <c r="I689" s="25">
        <f>B689/$H689</f>
        <v/>
      </c>
      <c r="J689" s="25">
        <f>C689/$H689</f>
        <v/>
      </c>
      <c r="K689" s="25">
        <f>D689/$H689</f>
        <v/>
      </c>
      <c r="L689" s="25">
        <f>E689/$H689</f>
        <v/>
      </c>
      <c r="M689" s="25">
        <f>F689/$H689</f>
        <v/>
      </c>
      <c r="N689" s="25">
        <f>G689/$H689</f>
        <v/>
      </c>
      <c r="O689" s="25">
        <f>SUM(MMULT(I689:N689,'07 Annualised Inputs'!$D$7:$D$12))</f>
        <v/>
      </c>
      <c r="P689" s="25">
        <f>SQRT(SUMPRODUCT(MMULT(I689:N689,'07 Annualised Inputs'!$B$17:$G$22),I689:N689))</f>
        <v/>
      </c>
      <c r="Q689" s="37">
        <f>(O689-'02 Config'!$B$10)/P689</f>
        <v/>
      </c>
    </row>
    <row r="690">
      <c r="A690" s="12" t="n">
        <v>685</v>
      </c>
      <c r="B690" s="36" t="n">
        <v>0.9074151865936734</v>
      </c>
      <c r="C690" s="36" t="n">
        <v>0.0954834119592175</v>
      </c>
      <c r="D690" s="36" t="n">
        <v>0.7120010268320515</v>
      </c>
      <c r="E690" s="36" t="n">
        <v>0.727873713022602</v>
      </c>
      <c r="F690" s="36" t="n">
        <v>0.9153265276899616</v>
      </c>
      <c r="G690" s="36" t="n">
        <v>0.5185805923513536</v>
      </c>
      <c r="H690" s="37">
        <f>SUM(B690:G690)</f>
        <v/>
      </c>
      <c r="I690" s="25">
        <f>B690/$H690</f>
        <v/>
      </c>
      <c r="J690" s="25">
        <f>C690/$H690</f>
        <v/>
      </c>
      <c r="K690" s="25">
        <f>D690/$H690</f>
        <v/>
      </c>
      <c r="L690" s="25">
        <f>E690/$H690</f>
        <v/>
      </c>
      <c r="M690" s="25">
        <f>F690/$H690</f>
        <v/>
      </c>
      <c r="N690" s="25">
        <f>G690/$H690</f>
        <v/>
      </c>
      <c r="O690" s="25">
        <f>SUM(MMULT(I690:N690,'07 Annualised Inputs'!$D$7:$D$12))</f>
        <v/>
      </c>
      <c r="P690" s="25">
        <f>SQRT(SUMPRODUCT(MMULT(I690:N690,'07 Annualised Inputs'!$B$17:$G$22),I690:N690))</f>
        <v/>
      </c>
      <c r="Q690" s="37">
        <f>(O690-'02 Config'!$B$10)/P690</f>
        <v/>
      </c>
    </row>
    <row r="691">
      <c r="A691" s="12" t="n">
        <v>686</v>
      </c>
      <c r="B691" s="36" t="n">
        <v>0.3216223382192459</v>
      </c>
      <c r="C691" s="36" t="n">
        <v>0.8277406698600205</v>
      </c>
      <c r="D691" s="36" t="n">
        <v>0.7708102818323926</v>
      </c>
      <c r="E691" s="36" t="n">
        <v>0.5003156144194704</v>
      </c>
      <c r="F691" s="36" t="n">
        <v>0.7678573756338111</v>
      </c>
      <c r="G691" s="36" t="n">
        <v>0.2678756020772608</v>
      </c>
      <c r="H691" s="37">
        <f>SUM(B691:G691)</f>
        <v/>
      </c>
      <c r="I691" s="25">
        <f>B691/$H691</f>
        <v/>
      </c>
      <c r="J691" s="25">
        <f>C691/$H691</f>
        <v/>
      </c>
      <c r="K691" s="25">
        <f>D691/$H691</f>
        <v/>
      </c>
      <c r="L691" s="25">
        <f>E691/$H691</f>
        <v/>
      </c>
      <c r="M691" s="25">
        <f>F691/$H691</f>
        <v/>
      </c>
      <c r="N691" s="25">
        <f>G691/$H691</f>
        <v/>
      </c>
      <c r="O691" s="25">
        <f>SUM(MMULT(I691:N691,'07 Annualised Inputs'!$D$7:$D$12))</f>
        <v/>
      </c>
      <c r="P691" s="25">
        <f>SQRT(SUMPRODUCT(MMULT(I691:N691,'07 Annualised Inputs'!$B$17:$G$22),I691:N691))</f>
        <v/>
      </c>
      <c r="Q691" s="37">
        <f>(O691-'02 Config'!$B$10)/P691</f>
        <v/>
      </c>
    </row>
    <row r="692">
      <c r="A692" s="12" t="n">
        <v>687</v>
      </c>
      <c r="B692" s="36" t="n">
        <v>0.5895063304034679</v>
      </c>
      <c r="C692" s="36" t="n">
        <v>0.8651834547878755</v>
      </c>
      <c r="D692" s="36" t="n">
        <v>0.3179845046165125</v>
      </c>
      <c r="E692" s="36" t="n">
        <v>0.4835499824307432</v>
      </c>
      <c r="F692" s="36" t="n">
        <v>0.9510448541728894</v>
      </c>
      <c r="G692" s="36" t="n">
        <v>0.7982118419717367</v>
      </c>
      <c r="H692" s="37">
        <f>SUM(B692:G692)</f>
        <v/>
      </c>
      <c r="I692" s="25">
        <f>B692/$H692</f>
        <v/>
      </c>
      <c r="J692" s="25">
        <f>C692/$H692</f>
        <v/>
      </c>
      <c r="K692" s="25">
        <f>D692/$H692</f>
        <v/>
      </c>
      <c r="L692" s="25">
        <f>E692/$H692</f>
        <v/>
      </c>
      <c r="M692" s="25">
        <f>F692/$H692</f>
        <v/>
      </c>
      <c r="N692" s="25">
        <f>G692/$H692</f>
        <v/>
      </c>
      <c r="O692" s="25">
        <f>SUM(MMULT(I692:N692,'07 Annualised Inputs'!$D$7:$D$12))</f>
        <v/>
      </c>
      <c r="P692" s="25">
        <f>SQRT(SUMPRODUCT(MMULT(I692:N692,'07 Annualised Inputs'!$B$17:$G$22),I692:N692))</f>
        <v/>
      </c>
      <c r="Q692" s="37">
        <f>(O692-'02 Config'!$B$10)/P692</f>
        <v/>
      </c>
    </row>
    <row r="693">
      <c r="A693" s="12" t="n">
        <v>688</v>
      </c>
      <c r="B693" s="36" t="n">
        <v>0.8870390203305527</v>
      </c>
      <c r="C693" s="36" t="n">
        <v>0.3852470608904464</v>
      </c>
      <c r="D693" s="36" t="n">
        <v>0.9965052596345588</v>
      </c>
      <c r="E693" s="36" t="n">
        <v>0.152565604683813</v>
      </c>
      <c r="F693" s="36" t="n">
        <v>0.518770583216309</v>
      </c>
      <c r="G693" s="36" t="n">
        <v>0.4792733822962494</v>
      </c>
      <c r="H693" s="37">
        <f>SUM(B693:G693)</f>
        <v/>
      </c>
      <c r="I693" s="25">
        <f>B693/$H693</f>
        <v/>
      </c>
      <c r="J693" s="25">
        <f>C693/$H693</f>
        <v/>
      </c>
      <c r="K693" s="25">
        <f>D693/$H693</f>
        <v/>
      </c>
      <c r="L693" s="25">
        <f>E693/$H693</f>
        <v/>
      </c>
      <c r="M693" s="25">
        <f>F693/$H693</f>
        <v/>
      </c>
      <c r="N693" s="25">
        <f>G693/$H693</f>
        <v/>
      </c>
      <c r="O693" s="25">
        <f>SUM(MMULT(I693:N693,'07 Annualised Inputs'!$D$7:$D$12))</f>
        <v/>
      </c>
      <c r="P693" s="25">
        <f>SQRT(SUMPRODUCT(MMULT(I693:N693,'07 Annualised Inputs'!$B$17:$G$22),I693:N693))</f>
        <v/>
      </c>
      <c r="Q693" s="37">
        <f>(O693-'02 Config'!$B$10)/P693</f>
        <v/>
      </c>
    </row>
    <row r="694">
      <c r="A694" s="12" t="n">
        <v>689</v>
      </c>
      <c r="B694" s="36" t="n">
        <v>0.7984321908001345</v>
      </c>
      <c r="C694" s="36" t="n">
        <v>0.908617772515012</v>
      </c>
      <c r="D694" s="36" t="n">
        <v>0.7311393769080597</v>
      </c>
      <c r="E694" s="36" t="n">
        <v>0.6268162361303028</v>
      </c>
      <c r="F694" s="36" t="n">
        <v>0.4274291908485037</v>
      </c>
      <c r="G694" s="36" t="n">
        <v>0.5103259170757342</v>
      </c>
      <c r="H694" s="37">
        <f>SUM(B694:G694)</f>
        <v/>
      </c>
      <c r="I694" s="25">
        <f>B694/$H694</f>
        <v/>
      </c>
      <c r="J694" s="25">
        <f>C694/$H694</f>
        <v/>
      </c>
      <c r="K694" s="25">
        <f>D694/$H694</f>
        <v/>
      </c>
      <c r="L694" s="25">
        <f>E694/$H694</f>
        <v/>
      </c>
      <c r="M694" s="25">
        <f>F694/$H694</f>
        <v/>
      </c>
      <c r="N694" s="25">
        <f>G694/$H694</f>
        <v/>
      </c>
      <c r="O694" s="25">
        <f>SUM(MMULT(I694:N694,'07 Annualised Inputs'!$D$7:$D$12))</f>
        <v/>
      </c>
      <c r="P694" s="25">
        <f>SQRT(SUMPRODUCT(MMULT(I694:N694,'07 Annualised Inputs'!$B$17:$G$22),I694:N694))</f>
        <v/>
      </c>
      <c r="Q694" s="37">
        <f>(O694-'02 Config'!$B$10)/P694</f>
        <v/>
      </c>
    </row>
    <row r="695">
      <c r="A695" s="12" t="n">
        <v>690</v>
      </c>
      <c r="B695" s="36" t="n">
        <v>0.5093003132248218</v>
      </c>
      <c r="C695" s="36" t="n">
        <v>0.02036847368437766</v>
      </c>
      <c r="D695" s="36" t="n">
        <v>0.5030458048276777</v>
      </c>
      <c r="E695" s="36" t="n">
        <v>0.8559708001741249</v>
      </c>
      <c r="F695" s="36" t="n">
        <v>0.7092740111422482</v>
      </c>
      <c r="G695" s="36" t="n">
        <v>0.7957086221250048</v>
      </c>
      <c r="H695" s="37">
        <f>SUM(B695:G695)</f>
        <v/>
      </c>
      <c r="I695" s="25">
        <f>B695/$H695</f>
        <v/>
      </c>
      <c r="J695" s="25">
        <f>C695/$H695</f>
        <v/>
      </c>
      <c r="K695" s="25">
        <f>D695/$H695</f>
        <v/>
      </c>
      <c r="L695" s="25">
        <f>E695/$H695</f>
        <v/>
      </c>
      <c r="M695" s="25">
        <f>F695/$H695</f>
        <v/>
      </c>
      <c r="N695" s="25">
        <f>G695/$H695</f>
        <v/>
      </c>
      <c r="O695" s="25">
        <f>SUM(MMULT(I695:N695,'07 Annualised Inputs'!$D$7:$D$12))</f>
        <v/>
      </c>
      <c r="P695" s="25">
        <f>SQRT(SUMPRODUCT(MMULT(I695:N695,'07 Annualised Inputs'!$B$17:$G$22),I695:N695))</f>
        <v/>
      </c>
      <c r="Q695" s="37">
        <f>(O695-'02 Config'!$B$10)/P695</f>
        <v/>
      </c>
    </row>
    <row r="696">
      <c r="A696" s="12" t="n">
        <v>691</v>
      </c>
      <c r="B696" s="36" t="n">
        <v>0.390484989768521</v>
      </c>
      <c r="C696" s="36" t="n">
        <v>0.5289732369129581</v>
      </c>
      <c r="D696" s="36" t="n">
        <v>0.03348356899710048</v>
      </c>
      <c r="E696" s="36" t="n">
        <v>0.3829979421693436</v>
      </c>
      <c r="F696" s="36" t="n">
        <v>0.474416044892644</v>
      </c>
      <c r="G696" s="36" t="n">
        <v>0.2552088995990817</v>
      </c>
      <c r="H696" s="37">
        <f>SUM(B696:G696)</f>
        <v/>
      </c>
      <c r="I696" s="25">
        <f>B696/$H696</f>
        <v/>
      </c>
      <c r="J696" s="25">
        <f>C696/$H696</f>
        <v/>
      </c>
      <c r="K696" s="25">
        <f>D696/$H696</f>
        <v/>
      </c>
      <c r="L696" s="25">
        <f>E696/$H696</f>
        <v/>
      </c>
      <c r="M696" s="25">
        <f>F696/$H696</f>
        <v/>
      </c>
      <c r="N696" s="25">
        <f>G696/$H696</f>
        <v/>
      </c>
      <c r="O696" s="25">
        <f>SUM(MMULT(I696:N696,'07 Annualised Inputs'!$D$7:$D$12))</f>
        <v/>
      </c>
      <c r="P696" s="25">
        <f>SQRT(SUMPRODUCT(MMULT(I696:N696,'07 Annualised Inputs'!$B$17:$G$22),I696:N696))</f>
        <v/>
      </c>
      <c r="Q696" s="37">
        <f>(O696-'02 Config'!$B$10)/P696</f>
        <v/>
      </c>
    </row>
    <row r="697">
      <c r="A697" s="12" t="n">
        <v>692</v>
      </c>
      <c r="B697" s="36" t="n">
        <v>0.03124097899064981</v>
      </c>
      <c r="C697" s="36" t="n">
        <v>0.6904081087789521</v>
      </c>
      <c r="D697" s="36" t="n">
        <v>0.4350877508488432</v>
      </c>
      <c r="E697" s="36" t="n">
        <v>0.4156781931122342</v>
      </c>
      <c r="F697" s="36" t="n">
        <v>0.2499867540285089</v>
      </c>
      <c r="G697" s="36" t="n">
        <v>0.5378303989980171</v>
      </c>
      <c r="H697" s="37">
        <f>SUM(B697:G697)</f>
        <v/>
      </c>
      <c r="I697" s="25">
        <f>B697/$H697</f>
        <v/>
      </c>
      <c r="J697" s="25">
        <f>C697/$H697</f>
        <v/>
      </c>
      <c r="K697" s="25">
        <f>D697/$H697</f>
        <v/>
      </c>
      <c r="L697" s="25">
        <f>E697/$H697</f>
        <v/>
      </c>
      <c r="M697" s="25">
        <f>F697/$H697</f>
        <v/>
      </c>
      <c r="N697" s="25">
        <f>G697/$H697</f>
        <v/>
      </c>
      <c r="O697" s="25">
        <f>SUM(MMULT(I697:N697,'07 Annualised Inputs'!$D$7:$D$12))</f>
        <v/>
      </c>
      <c r="P697" s="25">
        <f>SQRT(SUMPRODUCT(MMULT(I697:N697,'07 Annualised Inputs'!$B$17:$G$22),I697:N697))</f>
        <v/>
      </c>
      <c r="Q697" s="37">
        <f>(O697-'02 Config'!$B$10)/P697</f>
        <v/>
      </c>
    </row>
    <row r="698">
      <c r="A698" s="12" t="n">
        <v>693</v>
      </c>
      <c r="B698" s="36" t="n">
        <v>0.4380267812707315</v>
      </c>
      <c r="C698" s="36" t="n">
        <v>0.473984473029091</v>
      </c>
      <c r="D698" s="36" t="n">
        <v>0.580871348436382</v>
      </c>
      <c r="E698" s="36" t="n">
        <v>0.006324647239735359</v>
      </c>
      <c r="F698" s="36" t="n">
        <v>0.9076959035384226</v>
      </c>
      <c r="G698" s="36" t="n">
        <v>0.07108739694508126</v>
      </c>
      <c r="H698" s="37">
        <f>SUM(B698:G698)</f>
        <v/>
      </c>
      <c r="I698" s="25">
        <f>B698/$H698</f>
        <v/>
      </c>
      <c r="J698" s="25">
        <f>C698/$H698</f>
        <v/>
      </c>
      <c r="K698" s="25">
        <f>D698/$H698</f>
        <v/>
      </c>
      <c r="L698" s="25">
        <f>E698/$H698</f>
        <v/>
      </c>
      <c r="M698" s="25">
        <f>F698/$H698</f>
        <v/>
      </c>
      <c r="N698" s="25">
        <f>G698/$H698</f>
        <v/>
      </c>
      <c r="O698" s="25">
        <f>SUM(MMULT(I698:N698,'07 Annualised Inputs'!$D$7:$D$12))</f>
        <v/>
      </c>
      <c r="P698" s="25">
        <f>SQRT(SUMPRODUCT(MMULT(I698:N698,'07 Annualised Inputs'!$B$17:$G$22),I698:N698))</f>
        <v/>
      </c>
      <c r="Q698" s="37">
        <f>(O698-'02 Config'!$B$10)/P698</f>
        <v/>
      </c>
    </row>
    <row r="699">
      <c r="A699" s="12" t="n">
        <v>694</v>
      </c>
      <c r="B699" s="36" t="n">
        <v>0.4509247473159945</v>
      </c>
      <c r="C699" s="36" t="n">
        <v>0.2073728752393814</v>
      </c>
      <c r="D699" s="36" t="n">
        <v>0.5237823693698753</v>
      </c>
      <c r="E699" s="36" t="n">
        <v>0.2802301087971378</v>
      </c>
      <c r="F699" s="36" t="n">
        <v>0.8600064980626039</v>
      </c>
      <c r="G699" s="36" t="n">
        <v>0.3963598339624202</v>
      </c>
      <c r="H699" s="37">
        <f>SUM(B699:G699)</f>
        <v/>
      </c>
      <c r="I699" s="25">
        <f>B699/$H699</f>
        <v/>
      </c>
      <c r="J699" s="25">
        <f>C699/$H699</f>
        <v/>
      </c>
      <c r="K699" s="25">
        <f>D699/$H699</f>
        <v/>
      </c>
      <c r="L699" s="25">
        <f>E699/$H699</f>
        <v/>
      </c>
      <c r="M699" s="25">
        <f>F699/$H699</f>
        <v/>
      </c>
      <c r="N699" s="25">
        <f>G699/$H699</f>
        <v/>
      </c>
      <c r="O699" s="25">
        <f>SUM(MMULT(I699:N699,'07 Annualised Inputs'!$D$7:$D$12))</f>
        <v/>
      </c>
      <c r="P699" s="25">
        <f>SQRT(SUMPRODUCT(MMULT(I699:N699,'07 Annualised Inputs'!$B$17:$G$22),I699:N699))</f>
        <v/>
      </c>
      <c r="Q699" s="37">
        <f>(O699-'02 Config'!$B$10)/P699</f>
        <v/>
      </c>
    </row>
    <row r="700">
      <c r="A700" s="12" t="n">
        <v>695</v>
      </c>
      <c r="B700" s="36" t="n">
        <v>0.6387555557684373</v>
      </c>
      <c r="C700" s="36" t="n">
        <v>0.248879728147879</v>
      </c>
      <c r="D700" s="36" t="n">
        <v>0.0194061504940175</v>
      </c>
      <c r="E700" s="36" t="n">
        <v>0.4041545356132761</v>
      </c>
      <c r="F700" s="36" t="n">
        <v>0.5364864895582901</v>
      </c>
      <c r="G700" s="36" t="n">
        <v>0.4595471512617503</v>
      </c>
      <c r="H700" s="37">
        <f>SUM(B700:G700)</f>
        <v/>
      </c>
      <c r="I700" s="25">
        <f>B700/$H700</f>
        <v/>
      </c>
      <c r="J700" s="25">
        <f>C700/$H700</f>
        <v/>
      </c>
      <c r="K700" s="25">
        <f>D700/$H700</f>
        <v/>
      </c>
      <c r="L700" s="25">
        <f>E700/$H700</f>
        <v/>
      </c>
      <c r="M700" s="25">
        <f>F700/$H700</f>
        <v/>
      </c>
      <c r="N700" s="25">
        <f>G700/$H700</f>
        <v/>
      </c>
      <c r="O700" s="25">
        <f>SUM(MMULT(I700:N700,'07 Annualised Inputs'!$D$7:$D$12))</f>
        <v/>
      </c>
      <c r="P700" s="25">
        <f>SQRT(SUMPRODUCT(MMULT(I700:N700,'07 Annualised Inputs'!$B$17:$G$22),I700:N700))</f>
        <v/>
      </c>
      <c r="Q700" s="37">
        <f>(O700-'02 Config'!$B$10)/P700</f>
        <v/>
      </c>
    </row>
    <row r="701">
      <c r="A701" s="12" t="n">
        <v>696</v>
      </c>
      <c r="B701" s="36" t="n">
        <v>0.96201436381886</v>
      </c>
      <c r="C701" s="36" t="n">
        <v>0.7068391738460283</v>
      </c>
      <c r="D701" s="36" t="n">
        <v>0.9956698006253952</v>
      </c>
      <c r="E701" s="36" t="n">
        <v>0.295060090313972</v>
      </c>
      <c r="F701" s="36" t="n">
        <v>0.7890532796071466</v>
      </c>
      <c r="G701" s="36" t="n">
        <v>0.5555584675466139</v>
      </c>
      <c r="H701" s="37">
        <f>SUM(B701:G701)</f>
        <v/>
      </c>
      <c r="I701" s="25">
        <f>B701/$H701</f>
        <v/>
      </c>
      <c r="J701" s="25">
        <f>C701/$H701</f>
        <v/>
      </c>
      <c r="K701" s="25">
        <f>D701/$H701</f>
        <v/>
      </c>
      <c r="L701" s="25">
        <f>E701/$H701</f>
        <v/>
      </c>
      <c r="M701" s="25">
        <f>F701/$H701</f>
        <v/>
      </c>
      <c r="N701" s="25">
        <f>G701/$H701</f>
        <v/>
      </c>
      <c r="O701" s="25">
        <f>SUM(MMULT(I701:N701,'07 Annualised Inputs'!$D$7:$D$12))</f>
        <v/>
      </c>
      <c r="P701" s="25">
        <f>SQRT(SUMPRODUCT(MMULT(I701:N701,'07 Annualised Inputs'!$B$17:$G$22),I701:N701))</f>
        <v/>
      </c>
      <c r="Q701" s="37">
        <f>(O701-'02 Config'!$B$10)/P701</f>
        <v/>
      </c>
    </row>
    <row r="702">
      <c r="A702" s="12" t="n">
        <v>697</v>
      </c>
      <c r="B702" s="36" t="n">
        <v>0.6117603544484994</v>
      </c>
      <c r="C702" s="36" t="n">
        <v>0.9858532004423277</v>
      </c>
      <c r="D702" s="36" t="n">
        <v>0.653987199751117</v>
      </c>
      <c r="E702" s="36" t="n">
        <v>0.8988168923369179</v>
      </c>
      <c r="F702" s="36" t="n">
        <v>0.725750234719247</v>
      </c>
      <c r="G702" s="36" t="n">
        <v>0.1273861217247501</v>
      </c>
      <c r="H702" s="37">
        <f>SUM(B702:G702)</f>
        <v/>
      </c>
      <c r="I702" s="25">
        <f>B702/$H702</f>
        <v/>
      </c>
      <c r="J702" s="25">
        <f>C702/$H702</f>
        <v/>
      </c>
      <c r="K702" s="25">
        <f>D702/$H702</f>
        <v/>
      </c>
      <c r="L702" s="25">
        <f>E702/$H702</f>
        <v/>
      </c>
      <c r="M702" s="25">
        <f>F702/$H702</f>
        <v/>
      </c>
      <c r="N702" s="25">
        <f>G702/$H702</f>
        <v/>
      </c>
      <c r="O702" s="25">
        <f>SUM(MMULT(I702:N702,'07 Annualised Inputs'!$D$7:$D$12))</f>
        <v/>
      </c>
      <c r="P702" s="25">
        <f>SQRT(SUMPRODUCT(MMULT(I702:N702,'07 Annualised Inputs'!$B$17:$G$22),I702:N702))</f>
        <v/>
      </c>
      <c r="Q702" s="37">
        <f>(O702-'02 Config'!$B$10)/P702</f>
        <v/>
      </c>
    </row>
    <row r="703">
      <c r="A703" s="12" t="n">
        <v>698</v>
      </c>
      <c r="B703" s="36" t="n">
        <v>0.6994237103223125</v>
      </c>
      <c r="C703" s="36" t="n">
        <v>0.484315588685482</v>
      </c>
      <c r="D703" s="36" t="n">
        <v>0.9187979929823424</v>
      </c>
      <c r="E703" s="36" t="n">
        <v>0.8068344471904552</v>
      </c>
      <c r="F703" s="36" t="n">
        <v>0.1041346876072252</v>
      </c>
      <c r="G703" s="36" t="n">
        <v>0.1339156436535585</v>
      </c>
      <c r="H703" s="37">
        <f>SUM(B703:G703)</f>
        <v/>
      </c>
      <c r="I703" s="25">
        <f>B703/$H703</f>
        <v/>
      </c>
      <c r="J703" s="25">
        <f>C703/$H703</f>
        <v/>
      </c>
      <c r="K703" s="25">
        <f>D703/$H703</f>
        <v/>
      </c>
      <c r="L703" s="25">
        <f>E703/$H703</f>
        <v/>
      </c>
      <c r="M703" s="25">
        <f>F703/$H703</f>
        <v/>
      </c>
      <c r="N703" s="25">
        <f>G703/$H703</f>
        <v/>
      </c>
      <c r="O703" s="25">
        <f>SUM(MMULT(I703:N703,'07 Annualised Inputs'!$D$7:$D$12))</f>
        <v/>
      </c>
      <c r="P703" s="25">
        <f>SQRT(SUMPRODUCT(MMULT(I703:N703,'07 Annualised Inputs'!$B$17:$G$22),I703:N703))</f>
        <v/>
      </c>
      <c r="Q703" s="37">
        <f>(O703-'02 Config'!$B$10)/P703</f>
        <v/>
      </c>
    </row>
    <row r="704">
      <c r="A704" s="12" t="n">
        <v>699</v>
      </c>
      <c r="B704" s="36" t="n">
        <v>0.06961100179860558</v>
      </c>
      <c r="C704" s="36" t="n">
        <v>0.4932448747446174</v>
      </c>
      <c r="D704" s="36" t="n">
        <v>0.08077175920735302</v>
      </c>
      <c r="E704" s="36" t="n">
        <v>0.723678336574694</v>
      </c>
      <c r="F704" s="36" t="n">
        <v>0.5523585814504327</v>
      </c>
      <c r="G704" s="36" t="n">
        <v>0.8358850175531424</v>
      </c>
      <c r="H704" s="37">
        <f>SUM(B704:G704)</f>
        <v/>
      </c>
      <c r="I704" s="25">
        <f>B704/$H704</f>
        <v/>
      </c>
      <c r="J704" s="25">
        <f>C704/$H704</f>
        <v/>
      </c>
      <c r="K704" s="25">
        <f>D704/$H704</f>
        <v/>
      </c>
      <c r="L704" s="25">
        <f>E704/$H704</f>
        <v/>
      </c>
      <c r="M704" s="25">
        <f>F704/$H704</f>
        <v/>
      </c>
      <c r="N704" s="25">
        <f>G704/$H704</f>
        <v/>
      </c>
      <c r="O704" s="25">
        <f>SUM(MMULT(I704:N704,'07 Annualised Inputs'!$D$7:$D$12))</f>
        <v/>
      </c>
      <c r="P704" s="25">
        <f>SQRT(SUMPRODUCT(MMULT(I704:N704,'07 Annualised Inputs'!$B$17:$G$22),I704:N704))</f>
        <v/>
      </c>
      <c r="Q704" s="37">
        <f>(O704-'02 Config'!$B$10)/P704</f>
        <v/>
      </c>
    </row>
    <row r="705">
      <c r="A705" s="12" t="n">
        <v>700</v>
      </c>
      <c r="B705" s="36" t="n">
        <v>0.2797957886713163</v>
      </c>
      <c r="C705" s="36" t="n">
        <v>0.5191407841611407</v>
      </c>
      <c r="D705" s="36" t="n">
        <v>0.1174796859105444</v>
      </c>
      <c r="E705" s="36" t="n">
        <v>0.8846100026502804</v>
      </c>
      <c r="F705" s="36" t="n">
        <v>0.1750049622898383</v>
      </c>
      <c r="G705" s="36" t="n">
        <v>0.102362251350405</v>
      </c>
      <c r="H705" s="37">
        <f>SUM(B705:G705)</f>
        <v/>
      </c>
      <c r="I705" s="25">
        <f>B705/$H705</f>
        <v/>
      </c>
      <c r="J705" s="25">
        <f>C705/$H705</f>
        <v/>
      </c>
      <c r="K705" s="25">
        <f>D705/$H705</f>
        <v/>
      </c>
      <c r="L705" s="25">
        <f>E705/$H705</f>
        <v/>
      </c>
      <c r="M705" s="25">
        <f>F705/$H705</f>
        <v/>
      </c>
      <c r="N705" s="25">
        <f>G705/$H705</f>
        <v/>
      </c>
      <c r="O705" s="25">
        <f>SUM(MMULT(I705:N705,'07 Annualised Inputs'!$D$7:$D$12))</f>
        <v/>
      </c>
      <c r="P705" s="25">
        <f>SQRT(SUMPRODUCT(MMULT(I705:N705,'07 Annualised Inputs'!$B$17:$G$22),I705:N705))</f>
        <v/>
      </c>
      <c r="Q705" s="37">
        <f>(O705-'02 Config'!$B$10)/P705</f>
        <v/>
      </c>
    </row>
    <row r="706">
      <c r="A706" s="12" t="n">
        <v>701</v>
      </c>
      <c r="B706" s="36" t="n">
        <v>0.2050505985231833</v>
      </c>
      <c r="C706" s="36" t="n">
        <v>0.8062314887229814</v>
      </c>
      <c r="D706" s="36" t="n">
        <v>0.1058145276846828</v>
      </c>
      <c r="E706" s="36" t="n">
        <v>0.6144274948381659</v>
      </c>
      <c r="F706" s="36" t="n">
        <v>0.7461813006151257</v>
      </c>
      <c r="G706" s="36" t="n">
        <v>0.7510811604828711</v>
      </c>
      <c r="H706" s="37">
        <f>SUM(B706:G706)</f>
        <v/>
      </c>
      <c r="I706" s="25">
        <f>B706/$H706</f>
        <v/>
      </c>
      <c r="J706" s="25">
        <f>C706/$H706</f>
        <v/>
      </c>
      <c r="K706" s="25">
        <f>D706/$H706</f>
        <v/>
      </c>
      <c r="L706" s="25">
        <f>E706/$H706</f>
        <v/>
      </c>
      <c r="M706" s="25">
        <f>F706/$H706</f>
        <v/>
      </c>
      <c r="N706" s="25">
        <f>G706/$H706</f>
        <v/>
      </c>
      <c r="O706" s="25">
        <f>SUM(MMULT(I706:N706,'07 Annualised Inputs'!$D$7:$D$12))</f>
        <v/>
      </c>
      <c r="P706" s="25">
        <f>SQRT(SUMPRODUCT(MMULT(I706:N706,'07 Annualised Inputs'!$B$17:$G$22),I706:N706))</f>
        <v/>
      </c>
      <c r="Q706" s="37">
        <f>(O706-'02 Config'!$B$10)/P706</f>
        <v/>
      </c>
    </row>
    <row r="707">
      <c r="A707" s="12" t="n">
        <v>702</v>
      </c>
      <c r="B707" s="36" t="n">
        <v>0.1900608866081311</v>
      </c>
      <c r="C707" s="36" t="n">
        <v>0.06162399837761201</v>
      </c>
      <c r="D707" s="36" t="n">
        <v>0.4488063837722176</v>
      </c>
      <c r="E707" s="36" t="n">
        <v>0.2024853452445461</v>
      </c>
      <c r="F707" s="36" t="n">
        <v>0.699270809013938</v>
      </c>
      <c r="G707" s="36" t="n">
        <v>0.356692799655421</v>
      </c>
      <c r="H707" s="37">
        <f>SUM(B707:G707)</f>
        <v/>
      </c>
      <c r="I707" s="25">
        <f>B707/$H707</f>
        <v/>
      </c>
      <c r="J707" s="25">
        <f>C707/$H707</f>
        <v/>
      </c>
      <c r="K707" s="25">
        <f>D707/$H707</f>
        <v/>
      </c>
      <c r="L707" s="25">
        <f>E707/$H707</f>
        <v/>
      </c>
      <c r="M707" s="25">
        <f>F707/$H707</f>
        <v/>
      </c>
      <c r="N707" s="25">
        <f>G707/$H707</f>
        <v/>
      </c>
      <c r="O707" s="25">
        <f>SUM(MMULT(I707:N707,'07 Annualised Inputs'!$D$7:$D$12))</f>
        <v/>
      </c>
      <c r="P707" s="25">
        <f>SQRT(SUMPRODUCT(MMULT(I707:N707,'07 Annualised Inputs'!$B$17:$G$22),I707:N707))</f>
        <v/>
      </c>
      <c r="Q707" s="37">
        <f>(O707-'02 Config'!$B$10)/P707</f>
        <v/>
      </c>
    </row>
    <row r="708">
      <c r="A708" s="12" t="n">
        <v>703</v>
      </c>
      <c r="B708" s="36" t="n">
        <v>0.4493539410331321</v>
      </c>
      <c r="C708" s="36" t="n">
        <v>0.1134849331017118</v>
      </c>
      <c r="D708" s="36" t="n">
        <v>0.5675502865481917</v>
      </c>
      <c r="E708" s="36" t="n">
        <v>0.1855241896319073</v>
      </c>
      <c r="F708" s="36" t="n">
        <v>0.6789856609149371</v>
      </c>
      <c r="G708" s="36" t="n">
        <v>0.0711688225478937</v>
      </c>
      <c r="H708" s="37">
        <f>SUM(B708:G708)</f>
        <v/>
      </c>
      <c r="I708" s="25">
        <f>B708/$H708</f>
        <v/>
      </c>
      <c r="J708" s="25">
        <f>C708/$H708</f>
        <v/>
      </c>
      <c r="K708" s="25">
        <f>D708/$H708</f>
        <v/>
      </c>
      <c r="L708" s="25">
        <f>E708/$H708</f>
        <v/>
      </c>
      <c r="M708" s="25">
        <f>F708/$H708</f>
        <v/>
      </c>
      <c r="N708" s="25">
        <f>G708/$H708</f>
        <v/>
      </c>
      <c r="O708" s="25">
        <f>SUM(MMULT(I708:N708,'07 Annualised Inputs'!$D$7:$D$12))</f>
        <v/>
      </c>
      <c r="P708" s="25">
        <f>SQRT(SUMPRODUCT(MMULT(I708:N708,'07 Annualised Inputs'!$B$17:$G$22),I708:N708))</f>
        <v/>
      </c>
      <c r="Q708" s="37">
        <f>(O708-'02 Config'!$B$10)/P708</f>
        <v/>
      </c>
    </row>
    <row r="709">
      <c r="A709" s="12" t="n">
        <v>704</v>
      </c>
      <c r="B709" s="36" t="n">
        <v>0.9758945922813234</v>
      </c>
      <c r="C709" s="36" t="n">
        <v>0.6845269785858117</v>
      </c>
      <c r="D709" s="36" t="n">
        <v>0.1817295678119262</v>
      </c>
      <c r="E709" s="36" t="n">
        <v>0.01409464546185579</v>
      </c>
      <c r="F709" s="36" t="n">
        <v>0.3344628922052187</v>
      </c>
      <c r="G709" s="36" t="n">
        <v>0.1528132640522074</v>
      </c>
      <c r="H709" s="37">
        <f>SUM(B709:G709)</f>
        <v/>
      </c>
      <c r="I709" s="25">
        <f>B709/$H709</f>
        <v/>
      </c>
      <c r="J709" s="25">
        <f>C709/$H709</f>
        <v/>
      </c>
      <c r="K709" s="25">
        <f>D709/$H709</f>
        <v/>
      </c>
      <c r="L709" s="25">
        <f>E709/$H709</f>
        <v/>
      </c>
      <c r="M709" s="25">
        <f>F709/$H709</f>
        <v/>
      </c>
      <c r="N709" s="25">
        <f>G709/$H709</f>
        <v/>
      </c>
      <c r="O709" s="25">
        <f>SUM(MMULT(I709:N709,'07 Annualised Inputs'!$D$7:$D$12))</f>
        <v/>
      </c>
      <c r="P709" s="25">
        <f>SQRT(SUMPRODUCT(MMULT(I709:N709,'07 Annualised Inputs'!$B$17:$G$22),I709:N709))</f>
        <v/>
      </c>
      <c r="Q709" s="37">
        <f>(O709-'02 Config'!$B$10)/P709</f>
        <v/>
      </c>
    </row>
    <row r="710">
      <c r="A710" s="12" t="n">
        <v>705</v>
      </c>
      <c r="B710" s="36" t="n">
        <v>0.218411333119546</v>
      </c>
      <c r="C710" s="36" t="n">
        <v>0.8727502584378894</v>
      </c>
      <c r="D710" s="36" t="n">
        <v>0.6032046600508495</v>
      </c>
      <c r="E710" s="36" t="n">
        <v>0.1764576530288995</v>
      </c>
      <c r="F710" s="36" t="n">
        <v>0.5566594006874488</v>
      </c>
      <c r="G710" s="36" t="n">
        <v>0.2557806534249932</v>
      </c>
      <c r="H710" s="37">
        <f>SUM(B710:G710)</f>
        <v/>
      </c>
      <c r="I710" s="25">
        <f>B710/$H710</f>
        <v/>
      </c>
      <c r="J710" s="25">
        <f>C710/$H710</f>
        <v/>
      </c>
      <c r="K710" s="25">
        <f>D710/$H710</f>
        <v/>
      </c>
      <c r="L710" s="25">
        <f>E710/$H710</f>
        <v/>
      </c>
      <c r="M710" s="25">
        <f>F710/$H710</f>
        <v/>
      </c>
      <c r="N710" s="25">
        <f>G710/$H710</f>
        <v/>
      </c>
      <c r="O710" s="25">
        <f>SUM(MMULT(I710:N710,'07 Annualised Inputs'!$D$7:$D$12))</f>
        <v/>
      </c>
      <c r="P710" s="25">
        <f>SQRT(SUMPRODUCT(MMULT(I710:N710,'07 Annualised Inputs'!$B$17:$G$22),I710:N710))</f>
        <v/>
      </c>
      <c r="Q710" s="37">
        <f>(O710-'02 Config'!$B$10)/P710</f>
        <v/>
      </c>
    </row>
    <row r="711">
      <c r="A711" s="12" t="n">
        <v>706</v>
      </c>
      <c r="B711" s="36" t="n">
        <v>0.9762008643580892</v>
      </c>
      <c r="C711" s="36" t="n">
        <v>0.03275723026369526</v>
      </c>
      <c r="D711" s="36" t="n">
        <v>0.7323184221678151</v>
      </c>
      <c r="E711" s="36" t="n">
        <v>0.7729970261914273</v>
      </c>
      <c r="F711" s="36" t="n">
        <v>0.06716276395770027</v>
      </c>
      <c r="G711" s="36" t="n">
        <v>0.1718693642313516</v>
      </c>
      <c r="H711" s="37">
        <f>SUM(B711:G711)</f>
        <v/>
      </c>
      <c r="I711" s="25">
        <f>B711/$H711</f>
        <v/>
      </c>
      <c r="J711" s="25">
        <f>C711/$H711</f>
        <v/>
      </c>
      <c r="K711" s="25">
        <f>D711/$H711</f>
        <v/>
      </c>
      <c r="L711" s="25">
        <f>E711/$H711</f>
        <v/>
      </c>
      <c r="M711" s="25">
        <f>F711/$H711</f>
        <v/>
      </c>
      <c r="N711" s="25">
        <f>G711/$H711</f>
        <v/>
      </c>
      <c r="O711" s="25">
        <f>SUM(MMULT(I711:N711,'07 Annualised Inputs'!$D$7:$D$12))</f>
        <v/>
      </c>
      <c r="P711" s="25">
        <f>SQRT(SUMPRODUCT(MMULT(I711:N711,'07 Annualised Inputs'!$B$17:$G$22),I711:N711))</f>
        <v/>
      </c>
      <c r="Q711" s="37">
        <f>(O711-'02 Config'!$B$10)/P711</f>
        <v/>
      </c>
    </row>
    <row r="712">
      <c r="A712" s="12" t="n">
        <v>707</v>
      </c>
      <c r="B712" s="36" t="n">
        <v>0.3843066591039576</v>
      </c>
      <c r="C712" s="36" t="n">
        <v>0.8681548265290678</v>
      </c>
      <c r="D712" s="36" t="n">
        <v>0.5369999384184994</v>
      </c>
      <c r="E712" s="36" t="n">
        <v>0.6553068500072905</v>
      </c>
      <c r="F712" s="36" t="n">
        <v>0.7830128354568426</v>
      </c>
      <c r="G712" s="36" t="n">
        <v>0.82812278833752</v>
      </c>
      <c r="H712" s="37">
        <f>SUM(B712:G712)</f>
        <v/>
      </c>
      <c r="I712" s="25">
        <f>B712/$H712</f>
        <v/>
      </c>
      <c r="J712" s="25">
        <f>C712/$H712</f>
        <v/>
      </c>
      <c r="K712" s="25">
        <f>D712/$H712</f>
        <v/>
      </c>
      <c r="L712" s="25">
        <f>E712/$H712</f>
        <v/>
      </c>
      <c r="M712" s="25">
        <f>F712/$H712</f>
        <v/>
      </c>
      <c r="N712" s="25">
        <f>G712/$H712</f>
        <v/>
      </c>
      <c r="O712" s="25">
        <f>SUM(MMULT(I712:N712,'07 Annualised Inputs'!$D$7:$D$12))</f>
        <v/>
      </c>
      <c r="P712" s="25">
        <f>SQRT(SUMPRODUCT(MMULT(I712:N712,'07 Annualised Inputs'!$B$17:$G$22),I712:N712))</f>
        <v/>
      </c>
      <c r="Q712" s="37">
        <f>(O712-'02 Config'!$B$10)/P712</f>
        <v/>
      </c>
    </row>
    <row r="713">
      <c r="A713" s="12" t="n">
        <v>708</v>
      </c>
      <c r="B713" s="36" t="n">
        <v>0.4762845430836811</v>
      </c>
      <c r="C713" s="36" t="n">
        <v>0.5087931387734813</v>
      </c>
      <c r="D713" s="36" t="n">
        <v>0.7180058570877794</v>
      </c>
      <c r="E713" s="36" t="n">
        <v>0.2633423587356264</v>
      </c>
      <c r="F713" s="36" t="n">
        <v>0.8544897363655244</v>
      </c>
      <c r="G713" s="36" t="n">
        <v>0.02078682447584157</v>
      </c>
      <c r="H713" s="37">
        <f>SUM(B713:G713)</f>
        <v/>
      </c>
      <c r="I713" s="25">
        <f>B713/$H713</f>
        <v/>
      </c>
      <c r="J713" s="25">
        <f>C713/$H713</f>
        <v/>
      </c>
      <c r="K713" s="25">
        <f>D713/$H713</f>
        <v/>
      </c>
      <c r="L713" s="25">
        <f>E713/$H713</f>
        <v/>
      </c>
      <c r="M713" s="25">
        <f>F713/$H713</f>
        <v/>
      </c>
      <c r="N713" s="25">
        <f>G713/$H713</f>
        <v/>
      </c>
      <c r="O713" s="25">
        <f>SUM(MMULT(I713:N713,'07 Annualised Inputs'!$D$7:$D$12))</f>
        <v/>
      </c>
      <c r="P713" s="25">
        <f>SQRT(SUMPRODUCT(MMULT(I713:N713,'07 Annualised Inputs'!$B$17:$G$22),I713:N713))</f>
        <v/>
      </c>
      <c r="Q713" s="37">
        <f>(O713-'02 Config'!$B$10)/P713</f>
        <v/>
      </c>
    </row>
    <row r="714">
      <c r="A714" s="12" t="n">
        <v>709</v>
      </c>
      <c r="B714" s="36" t="n">
        <v>0.1957716022097247</v>
      </c>
      <c r="C714" s="36" t="n">
        <v>0.8001999430365032</v>
      </c>
      <c r="D714" s="36" t="n">
        <v>0.3402582118926722</v>
      </c>
      <c r="E714" s="36" t="n">
        <v>0.149832832692306</v>
      </c>
      <c r="F714" s="36" t="n">
        <v>0.1867547557114033</v>
      </c>
      <c r="G714" s="36" t="n">
        <v>0.5307564019360695</v>
      </c>
      <c r="H714" s="37">
        <f>SUM(B714:G714)</f>
        <v/>
      </c>
      <c r="I714" s="25">
        <f>B714/$H714</f>
        <v/>
      </c>
      <c r="J714" s="25">
        <f>C714/$H714</f>
        <v/>
      </c>
      <c r="K714" s="25">
        <f>D714/$H714</f>
        <v/>
      </c>
      <c r="L714" s="25">
        <f>E714/$H714</f>
        <v/>
      </c>
      <c r="M714" s="25">
        <f>F714/$H714</f>
        <v/>
      </c>
      <c r="N714" s="25">
        <f>G714/$H714</f>
        <v/>
      </c>
      <c r="O714" s="25">
        <f>SUM(MMULT(I714:N714,'07 Annualised Inputs'!$D$7:$D$12))</f>
        <v/>
      </c>
      <c r="P714" s="25">
        <f>SQRT(SUMPRODUCT(MMULT(I714:N714,'07 Annualised Inputs'!$B$17:$G$22),I714:N714))</f>
        <v/>
      </c>
      <c r="Q714" s="37">
        <f>(O714-'02 Config'!$B$10)/P714</f>
        <v/>
      </c>
    </row>
    <row r="715">
      <c r="A715" s="12" t="n">
        <v>710</v>
      </c>
      <c r="B715" s="36" t="n">
        <v>0.8461815293449878</v>
      </c>
      <c r="C715" s="36" t="n">
        <v>0.07065071577111059</v>
      </c>
      <c r="D715" s="36" t="n">
        <v>0.0304809091246494</v>
      </c>
      <c r="E715" s="36" t="n">
        <v>0.4651681358368431</v>
      </c>
      <c r="F715" s="36" t="n">
        <v>0.9561874150536347</v>
      </c>
      <c r="G715" s="36" t="n">
        <v>0.2790098034141264</v>
      </c>
      <c r="H715" s="37">
        <f>SUM(B715:G715)</f>
        <v/>
      </c>
      <c r="I715" s="25">
        <f>B715/$H715</f>
        <v/>
      </c>
      <c r="J715" s="25">
        <f>C715/$H715</f>
        <v/>
      </c>
      <c r="K715" s="25">
        <f>D715/$H715</f>
        <v/>
      </c>
      <c r="L715" s="25">
        <f>E715/$H715</f>
        <v/>
      </c>
      <c r="M715" s="25">
        <f>F715/$H715</f>
        <v/>
      </c>
      <c r="N715" s="25">
        <f>G715/$H715</f>
        <v/>
      </c>
      <c r="O715" s="25">
        <f>SUM(MMULT(I715:N715,'07 Annualised Inputs'!$D$7:$D$12))</f>
        <v/>
      </c>
      <c r="P715" s="25">
        <f>SQRT(SUMPRODUCT(MMULT(I715:N715,'07 Annualised Inputs'!$B$17:$G$22),I715:N715))</f>
        <v/>
      </c>
      <c r="Q715" s="37">
        <f>(O715-'02 Config'!$B$10)/P715</f>
        <v/>
      </c>
    </row>
    <row r="716">
      <c r="A716" s="12" t="n">
        <v>711</v>
      </c>
      <c r="B716" s="36" t="n">
        <v>0.9591705390670483</v>
      </c>
      <c r="C716" s="36" t="n">
        <v>0.8876811765900013</v>
      </c>
      <c r="D716" s="36" t="n">
        <v>0.2831350763875111</v>
      </c>
      <c r="E716" s="36" t="n">
        <v>0.8169480642561467</v>
      </c>
      <c r="F716" s="36" t="n">
        <v>0.6858673025688188</v>
      </c>
      <c r="G716" s="36" t="n">
        <v>0.5118223889047572</v>
      </c>
      <c r="H716" s="37">
        <f>SUM(B716:G716)</f>
        <v/>
      </c>
      <c r="I716" s="25">
        <f>B716/$H716</f>
        <v/>
      </c>
      <c r="J716" s="25">
        <f>C716/$H716</f>
        <v/>
      </c>
      <c r="K716" s="25">
        <f>D716/$H716</f>
        <v/>
      </c>
      <c r="L716" s="25">
        <f>E716/$H716</f>
        <v/>
      </c>
      <c r="M716" s="25">
        <f>F716/$H716</f>
        <v/>
      </c>
      <c r="N716" s="25">
        <f>G716/$H716</f>
        <v/>
      </c>
      <c r="O716" s="25">
        <f>SUM(MMULT(I716:N716,'07 Annualised Inputs'!$D$7:$D$12))</f>
        <v/>
      </c>
      <c r="P716" s="25">
        <f>SQRT(SUMPRODUCT(MMULT(I716:N716,'07 Annualised Inputs'!$B$17:$G$22),I716:N716))</f>
        <v/>
      </c>
      <c r="Q716" s="37">
        <f>(O716-'02 Config'!$B$10)/P716</f>
        <v/>
      </c>
    </row>
    <row r="717">
      <c r="A717" s="12" t="n">
        <v>712</v>
      </c>
      <c r="B717" s="36" t="n">
        <v>0.4229161430428747</v>
      </c>
      <c r="C717" s="36" t="n">
        <v>0.8155027559254567</v>
      </c>
      <c r="D717" s="36" t="n">
        <v>0.7930794326950212</v>
      </c>
      <c r="E717" s="36" t="n">
        <v>0.7569363359425592</v>
      </c>
      <c r="F717" s="36" t="n">
        <v>0.9982559512152959</v>
      </c>
      <c r="G717" s="36" t="n">
        <v>0.4785124609413839</v>
      </c>
      <c r="H717" s="37">
        <f>SUM(B717:G717)</f>
        <v/>
      </c>
      <c r="I717" s="25">
        <f>B717/$H717</f>
        <v/>
      </c>
      <c r="J717" s="25">
        <f>C717/$H717</f>
        <v/>
      </c>
      <c r="K717" s="25">
        <f>D717/$H717</f>
        <v/>
      </c>
      <c r="L717" s="25">
        <f>E717/$H717</f>
        <v/>
      </c>
      <c r="M717" s="25">
        <f>F717/$H717</f>
        <v/>
      </c>
      <c r="N717" s="25">
        <f>G717/$H717</f>
        <v/>
      </c>
      <c r="O717" s="25">
        <f>SUM(MMULT(I717:N717,'07 Annualised Inputs'!$D$7:$D$12))</f>
        <v/>
      </c>
      <c r="P717" s="25">
        <f>SQRT(SUMPRODUCT(MMULT(I717:N717,'07 Annualised Inputs'!$B$17:$G$22),I717:N717))</f>
        <v/>
      </c>
      <c r="Q717" s="37">
        <f>(O717-'02 Config'!$B$10)/P717</f>
        <v/>
      </c>
    </row>
    <row r="718">
      <c r="A718" s="12" t="n">
        <v>713</v>
      </c>
      <c r="B718" s="36" t="n">
        <v>0.8069229778199158</v>
      </c>
      <c r="C718" s="36" t="n">
        <v>0.8624783669834785</v>
      </c>
      <c r="D718" s="36" t="n">
        <v>0.2116025814536839</v>
      </c>
      <c r="E718" s="36" t="n">
        <v>0.04206644205306098</v>
      </c>
      <c r="F718" s="36" t="n">
        <v>0.4047484021885797</v>
      </c>
      <c r="G718" s="36" t="n">
        <v>0.856736684436776</v>
      </c>
      <c r="H718" s="37">
        <f>SUM(B718:G718)</f>
        <v/>
      </c>
      <c r="I718" s="25">
        <f>B718/$H718</f>
        <v/>
      </c>
      <c r="J718" s="25">
        <f>C718/$H718</f>
        <v/>
      </c>
      <c r="K718" s="25">
        <f>D718/$H718</f>
        <v/>
      </c>
      <c r="L718" s="25">
        <f>E718/$H718</f>
        <v/>
      </c>
      <c r="M718" s="25">
        <f>F718/$H718</f>
        <v/>
      </c>
      <c r="N718" s="25">
        <f>G718/$H718</f>
        <v/>
      </c>
      <c r="O718" s="25">
        <f>SUM(MMULT(I718:N718,'07 Annualised Inputs'!$D$7:$D$12))</f>
        <v/>
      </c>
      <c r="P718" s="25">
        <f>SQRT(SUMPRODUCT(MMULT(I718:N718,'07 Annualised Inputs'!$B$17:$G$22),I718:N718))</f>
        <v/>
      </c>
      <c r="Q718" s="37">
        <f>(O718-'02 Config'!$B$10)/P718</f>
        <v/>
      </c>
    </row>
    <row r="719">
      <c r="A719" s="12" t="n">
        <v>714</v>
      </c>
      <c r="B719" s="36" t="n">
        <v>0.2891032811945102</v>
      </c>
      <c r="C719" s="36" t="n">
        <v>0.7000101540674241</v>
      </c>
      <c r="D719" s="36" t="n">
        <v>0.007348139064262682</v>
      </c>
      <c r="E719" s="36" t="n">
        <v>0.3553644323202377</v>
      </c>
      <c r="F719" s="36" t="n">
        <v>0.6155166947581512</v>
      </c>
      <c r="G719" s="36" t="n">
        <v>0.1297571900723369</v>
      </c>
      <c r="H719" s="37">
        <f>SUM(B719:G719)</f>
        <v/>
      </c>
      <c r="I719" s="25">
        <f>B719/$H719</f>
        <v/>
      </c>
      <c r="J719" s="25">
        <f>C719/$H719</f>
        <v/>
      </c>
      <c r="K719" s="25">
        <f>D719/$H719</f>
        <v/>
      </c>
      <c r="L719" s="25">
        <f>E719/$H719</f>
        <v/>
      </c>
      <c r="M719" s="25">
        <f>F719/$H719</f>
        <v/>
      </c>
      <c r="N719" s="25">
        <f>G719/$H719</f>
        <v/>
      </c>
      <c r="O719" s="25">
        <f>SUM(MMULT(I719:N719,'07 Annualised Inputs'!$D$7:$D$12))</f>
        <v/>
      </c>
      <c r="P719" s="25">
        <f>SQRT(SUMPRODUCT(MMULT(I719:N719,'07 Annualised Inputs'!$B$17:$G$22),I719:N719))</f>
        <v/>
      </c>
      <c r="Q719" s="37">
        <f>(O719-'02 Config'!$B$10)/P719</f>
        <v/>
      </c>
    </row>
    <row r="720">
      <c r="A720" s="12" t="n">
        <v>715</v>
      </c>
      <c r="B720" s="36" t="n">
        <v>0.8966069121474339</v>
      </c>
      <c r="C720" s="36" t="n">
        <v>0.1562739771170792</v>
      </c>
      <c r="D720" s="36" t="n">
        <v>0.9097935450039947</v>
      </c>
      <c r="E720" s="36" t="n">
        <v>0.2163893086829747</v>
      </c>
      <c r="F720" s="36" t="n">
        <v>0.9942786739158408</v>
      </c>
      <c r="G720" s="36" t="n">
        <v>0.6047487132955909</v>
      </c>
      <c r="H720" s="37">
        <f>SUM(B720:G720)</f>
        <v/>
      </c>
      <c r="I720" s="25">
        <f>B720/$H720</f>
        <v/>
      </c>
      <c r="J720" s="25">
        <f>C720/$H720</f>
        <v/>
      </c>
      <c r="K720" s="25">
        <f>D720/$H720</f>
        <v/>
      </c>
      <c r="L720" s="25">
        <f>E720/$H720</f>
        <v/>
      </c>
      <c r="M720" s="25">
        <f>F720/$H720</f>
        <v/>
      </c>
      <c r="N720" s="25">
        <f>G720/$H720</f>
        <v/>
      </c>
      <c r="O720" s="25">
        <f>SUM(MMULT(I720:N720,'07 Annualised Inputs'!$D$7:$D$12))</f>
        <v/>
      </c>
      <c r="P720" s="25">
        <f>SQRT(SUMPRODUCT(MMULT(I720:N720,'07 Annualised Inputs'!$B$17:$G$22),I720:N720))</f>
        <v/>
      </c>
      <c r="Q720" s="37">
        <f>(O720-'02 Config'!$B$10)/P720</f>
        <v/>
      </c>
    </row>
    <row r="721">
      <c r="A721" s="12" t="n">
        <v>716</v>
      </c>
      <c r="B721" s="36" t="n">
        <v>0.08434489443831128</v>
      </c>
      <c r="C721" s="36" t="n">
        <v>0.06527723447865985</v>
      </c>
      <c r="D721" s="36" t="n">
        <v>0.07492169625946876</v>
      </c>
      <c r="E721" s="36" t="n">
        <v>0.5898927472909519</v>
      </c>
      <c r="F721" s="36" t="n">
        <v>0.8095792023273852</v>
      </c>
      <c r="G721" s="36" t="n">
        <v>0.4029627417705057</v>
      </c>
      <c r="H721" s="37">
        <f>SUM(B721:G721)</f>
        <v/>
      </c>
      <c r="I721" s="25">
        <f>B721/$H721</f>
        <v/>
      </c>
      <c r="J721" s="25">
        <f>C721/$H721</f>
        <v/>
      </c>
      <c r="K721" s="25">
        <f>D721/$H721</f>
        <v/>
      </c>
      <c r="L721" s="25">
        <f>E721/$H721</f>
        <v/>
      </c>
      <c r="M721" s="25">
        <f>F721/$H721</f>
        <v/>
      </c>
      <c r="N721" s="25">
        <f>G721/$H721</f>
        <v/>
      </c>
      <c r="O721" s="25">
        <f>SUM(MMULT(I721:N721,'07 Annualised Inputs'!$D$7:$D$12))</f>
        <v/>
      </c>
      <c r="P721" s="25">
        <f>SQRT(SUMPRODUCT(MMULT(I721:N721,'07 Annualised Inputs'!$B$17:$G$22),I721:N721))</f>
        <v/>
      </c>
      <c r="Q721" s="37">
        <f>(O721-'02 Config'!$B$10)/P721</f>
        <v/>
      </c>
    </row>
    <row r="722">
      <c r="A722" s="12" t="n">
        <v>717</v>
      </c>
      <c r="B722" s="36" t="n">
        <v>0.4448357592818618</v>
      </c>
      <c r="C722" s="36" t="n">
        <v>0.589287703664628</v>
      </c>
      <c r="D722" s="36" t="n">
        <v>0.5330406047863557</v>
      </c>
      <c r="E722" s="36" t="n">
        <v>0.6880617331012702</v>
      </c>
      <c r="F722" s="36" t="n">
        <v>0.4717857201630266</v>
      </c>
      <c r="G722" s="36" t="n">
        <v>0.7138606850640675</v>
      </c>
      <c r="H722" s="37">
        <f>SUM(B722:G722)</f>
        <v/>
      </c>
      <c r="I722" s="25">
        <f>B722/$H722</f>
        <v/>
      </c>
      <c r="J722" s="25">
        <f>C722/$H722</f>
        <v/>
      </c>
      <c r="K722" s="25">
        <f>D722/$H722</f>
        <v/>
      </c>
      <c r="L722" s="25">
        <f>E722/$H722</f>
        <v/>
      </c>
      <c r="M722" s="25">
        <f>F722/$H722</f>
        <v/>
      </c>
      <c r="N722" s="25">
        <f>G722/$H722</f>
        <v/>
      </c>
      <c r="O722" s="25">
        <f>SUM(MMULT(I722:N722,'07 Annualised Inputs'!$D$7:$D$12))</f>
        <v/>
      </c>
      <c r="P722" s="25">
        <f>SQRT(SUMPRODUCT(MMULT(I722:N722,'07 Annualised Inputs'!$B$17:$G$22),I722:N722))</f>
        <v/>
      </c>
      <c r="Q722" s="37">
        <f>(O722-'02 Config'!$B$10)/P722</f>
        <v/>
      </c>
    </row>
    <row r="723">
      <c r="A723" s="12" t="n">
        <v>718</v>
      </c>
      <c r="B723" s="36" t="n">
        <v>0.9973107425466341</v>
      </c>
      <c r="C723" s="36" t="n">
        <v>0.3502978422487649</v>
      </c>
      <c r="D723" s="36" t="n">
        <v>0.01221546291535081</v>
      </c>
      <c r="E723" s="36" t="n">
        <v>0.1256250455516548</v>
      </c>
      <c r="F723" s="36" t="n">
        <v>0.5535141849869538</v>
      </c>
      <c r="G723" s="36" t="n">
        <v>0.344257787144652</v>
      </c>
      <c r="H723" s="37">
        <f>SUM(B723:G723)</f>
        <v/>
      </c>
      <c r="I723" s="25">
        <f>B723/$H723</f>
        <v/>
      </c>
      <c r="J723" s="25">
        <f>C723/$H723</f>
        <v/>
      </c>
      <c r="K723" s="25">
        <f>D723/$H723</f>
        <v/>
      </c>
      <c r="L723" s="25">
        <f>E723/$H723</f>
        <v/>
      </c>
      <c r="M723" s="25">
        <f>F723/$H723</f>
        <v/>
      </c>
      <c r="N723" s="25">
        <f>G723/$H723</f>
        <v/>
      </c>
      <c r="O723" s="25">
        <f>SUM(MMULT(I723:N723,'07 Annualised Inputs'!$D$7:$D$12))</f>
        <v/>
      </c>
      <c r="P723" s="25">
        <f>SQRT(SUMPRODUCT(MMULT(I723:N723,'07 Annualised Inputs'!$B$17:$G$22),I723:N723))</f>
        <v/>
      </c>
      <c r="Q723" s="37">
        <f>(O723-'02 Config'!$B$10)/P723</f>
        <v/>
      </c>
    </row>
    <row r="724">
      <c r="A724" s="12" t="n">
        <v>719</v>
      </c>
      <c r="B724" s="36" t="n">
        <v>0.9399825937049925</v>
      </c>
      <c r="C724" s="36" t="n">
        <v>0.6274460901073829</v>
      </c>
      <c r="D724" s="36" t="n">
        <v>0.5203551859654679</v>
      </c>
      <c r="E724" s="36" t="n">
        <v>0.7980395012720187</v>
      </c>
      <c r="F724" s="36" t="n">
        <v>0.2585898710490951</v>
      </c>
      <c r="G724" s="36" t="n">
        <v>0.8197385402823597</v>
      </c>
      <c r="H724" s="37">
        <f>SUM(B724:G724)</f>
        <v/>
      </c>
      <c r="I724" s="25">
        <f>B724/$H724</f>
        <v/>
      </c>
      <c r="J724" s="25">
        <f>C724/$H724</f>
        <v/>
      </c>
      <c r="K724" s="25">
        <f>D724/$H724</f>
        <v/>
      </c>
      <c r="L724" s="25">
        <f>E724/$H724</f>
        <v/>
      </c>
      <c r="M724" s="25">
        <f>F724/$H724</f>
        <v/>
      </c>
      <c r="N724" s="25">
        <f>G724/$H724</f>
        <v/>
      </c>
      <c r="O724" s="25">
        <f>SUM(MMULT(I724:N724,'07 Annualised Inputs'!$D$7:$D$12))</f>
        <v/>
      </c>
      <c r="P724" s="25">
        <f>SQRT(SUMPRODUCT(MMULT(I724:N724,'07 Annualised Inputs'!$B$17:$G$22),I724:N724))</f>
        <v/>
      </c>
      <c r="Q724" s="37">
        <f>(O724-'02 Config'!$B$10)/P724</f>
        <v/>
      </c>
    </row>
    <row r="725">
      <c r="A725" s="12" t="n">
        <v>720</v>
      </c>
      <c r="B725" s="36" t="n">
        <v>0.003061104864092945</v>
      </c>
      <c r="C725" s="36" t="n">
        <v>0.6196773621357177</v>
      </c>
      <c r="D725" s="36" t="n">
        <v>0.9347571510457789</v>
      </c>
      <c r="E725" s="36" t="n">
        <v>0.78785995203387</v>
      </c>
      <c r="F725" s="36" t="n">
        <v>0.8536341921473594</v>
      </c>
      <c r="G725" s="36" t="n">
        <v>0.3969546951715005</v>
      </c>
      <c r="H725" s="37">
        <f>SUM(B725:G725)</f>
        <v/>
      </c>
      <c r="I725" s="25">
        <f>B725/$H725</f>
        <v/>
      </c>
      <c r="J725" s="25">
        <f>C725/$H725</f>
        <v/>
      </c>
      <c r="K725" s="25">
        <f>D725/$H725</f>
        <v/>
      </c>
      <c r="L725" s="25">
        <f>E725/$H725</f>
        <v/>
      </c>
      <c r="M725" s="25">
        <f>F725/$H725</f>
        <v/>
      </c>
      <c r="N725" s="25">
        <f>G725/$H725</f>
        <v/>
      </c>
      <c r="O725" s="25">
        <f>SUM(MMULT(I725:N725,'07 Annualised Inputs'!$D$7:$D$12))</f>
        <v/>
      </c>
      <c r="P725" s="25">
        <f>SQRT(SUMPRODUCT(MMULT(I725:N725,'07 Annualised Inputs'!$B$17:$G$22),I725:N725))</f>
        <v/>
      </c>
      <c r="Q725" s="37">
        <f>(O725-'02 Config'!$B$10)/P725</f>
        <v/>
      </c>
    </row>
    <row r="726">
      <c r="A726" s="12" t="n">
        <v>721</v>
      </c>
      <c r="B726" s="36" t="n">
        <v>0.8242389461001263</v>
      </c>
      <c r="C726" s="36" t="n">
        <v>0.5508316650302666</v>
      </c>
      <c r="D726" s="36" t="n">
        <v>0.6185402365031989</v>
      </c>
      <c r="E726" s="36" t="n">
        <v>0.05891533933580351</v>
      </c>
      <c r="F726" s="36" t="n">
        <v>0.2015516971743921</v>
      </c>
      <c r="G726" s="36" t="n">
        <v>0.5509644155135526</v>
      </c>
      <c r="H726" s="37">
        <f>SUM(B726:G726)</f>
        <v/>
      </c>
      <c r="I726" s="25">
        <f>B726/$H726</f>
        <v/>
      </c>
      <c r="J726" s="25">
        <f>C726/$H726</f>
        <v/>
      </c>
      <c r="K726" s="25">
        <f>D726/$H726</f>
        <v/>
      </c>
      <c r="L726" s="25">
        <f>E726/$H726</f>
        <v/>
      </c>
      <c r="M726" s="25">
        <f>F726/$H726</f>
        <v/>
      </c>
      <c r="N726" s="25">
        <f>G726/$H726</f>
        <v/>
      </c>
      <c r="O726" s="25">
        <f>SUM(MMULT(I726:N726,'07 Annualised Inputs'!$D$7:$D$12))</f>
        <v/>
      </c>
      <c r="P726" s="25">
        <f>SQRT(SUMPRODUCT(MMULT(I726:N726,'07 Annualised Inputs'!$B$17:$G$22),I726:N726))</f>
        <v/>
      </c>
      <c r="Q726" s="37">
        <f>(O726-'02 Config'!$B$10)/P726</f>
        <v/>
      </c>
    </row>
    <row r="727">
      <c r="A727" s="12" t="n">
        <v>722</v>
      </c>
      <c r="B727" s="36" t="n">
        <v>0.05880105782349765</v>
      </c>
      <c r="C727" s="36" t="n">
        <v>0.7414468065877132</v>
      </c>
      <c r="D727" s="36" t="n">
        <v>0.8400570085219016</v>
      </c>
      <c r="E727" s="36" t="n">
        <v>0.9203623612948049</v>
      </c>
      <c r="F727" s="36" t="n">
        <v>0.1017684591798059</v>
      </c>
      <c r="G727" s="36" t="n">
        <v>0.9397202480228001</v>
      </c>
      <c r="H727" s="37">
        <f>SUM(B727:G727)</f>
        <v/>
      </c>
      <c r="I727" s="25">
        <f>B727/$H727</f>
        <v/>
      </c>
      <c r="J727" s="25">
        <f>C727/$H727</f>
        <v/>
      </c>
      <c r="K727" s="25">
        <f>D727/$H727</f>
        <v/>
      </c>
      <c r="L727" s="25">
        <f>E727/$H727</f>
        <v/>
      </c>
      <c r="M727" s="25">
        <f>F727/$H727</f>
        <v/>
      </c>
      <c r="N727" s="25">
        <f>G727/$H727</f>
        <v/>
      </c>
      <c r="O727" s="25">
        <f>SUM(MMULT(I727:N727,'07 Annualised Inputs'!$D$7:$D$12))</f>
        <v/>
      </c>
      <c r="P727" s="25">
        <f>SQRT(SUMPRODUCT(MMULT(I727:N727,'07 Annualised Inputs'!$B$17:$G$22),I727:N727))</f>
        <v/>
      </c>
      <c r="Q727" s="37">
        <f>(O727-'02 Config'!$B$10)/P727</f>
        <v/>
      </c>
    </row>
    <row r="728">
      <c r="A728" s="12" t="n">
        <v>723</v>
      </c>
      <c r="B728" s="36" t="n">
        <v>0.06762000762929499</v>
      </c>
      <c r="C728" s="36" t="n">
        <v>0.4740562159278153</v>
      </c>
      <c r="D728" s="36" t="n">
        <v>0.8402510206278118</v>
      </c>
      <c r="E728" s="36" t="n">
        <v>0.07031113856445537</v>
      </c>
      <c r="F728" s="36" t="n">
        <v>0.01823107298898363</v>
      </c>
      <c r="G728" s="36" t="n">
        <v>0.02494771870665069</v>
      </c>
      <c r="H728" s="37">
        <f>SUM(B728:G728)</f>
        <v/>
      </c>
      <c r="I728" s="25">
        <f>B728/$H728</f>
        <v/>
      </c>
      <c r="J728" s="25">
        <f>C728/$H728</f>
        <v/>
      </c>
      <c r="K728" s="25">
        <f>D728/$H728</f>
        <v/>
      </c>
      <c r="L728" s="25">
        <f>E728/$H728</f>
        <v/>
      </c>
      <c r="M728" s="25">
        <f>F728/$H728</f>
        <v/>
      </c>
      <c r="N728" s="25">
        <f>G728/$H728</f>
        <v/>
      </c>
      <c r="O728" s="25">
        <f>SUM(MMULT(I728:N728,'07 Annualised Inputs'!$D$7:$D$12))</f>
        <v/>
      </c>
      <c r="P728" s="25">
        <f>SQRT(SUMPRODUCT(MMULT(I728:N728,'07 Annualised Inputs'!$B$17:$G$22),I728:N728))</f>
        <v/>
      </c>
      <c r="Q728" s="37">
        <f>(O728-'02 Config'!$B$10)/P728</f>
        <v/>
      </c>
    </row>
    <row r="729">
      <c r="A729" s="12" t="n">
        <v>724</v>
      </c>
      <c r="B729" s="36" t="n">
        <v>0.5112702394360336</v>
      </c>
      <c r="C729" s="36" t="n">
        <v>0.811596744596663</v>
      </c>
      <c r="D729" s="36" t="n">
        <v>0.1274266710725996</v>
      </c>
      <c r="E729" s="36" t="n">
        <v>0.1246102540795406</v>
      </c>
      <c r="F729" s="36" t="n">
        <v>0.5685468550497916</v>
      </c>
      <c r="G729" s="36" t="n">
        <v>0.2342956008119237</v>
      </c>
      <c r="H729" s="37">
        <f>SUM(B729:G729)</f>
        <v/>
      </c>
      <c r="I729" s="25">
        <f>B729/$H729</f>
        <v/>
      </c>
      <c r="J729" s="25">
        <f>C729/$H729</f>
        <v/>
      </c>
      <c r="K729" s="25">
        <f>D729/$H729</f>
        <v/>
      </c>
      <c r="L729" s="25">
        <f>E729/$H729</f>
        <v/>
      </c>
      <c r="M729" s="25">
        <f>F729/$H729</f>
        <v/>
      </c>
      <c r="N729" s="25">
        <f>G729/$H729</f>
        <v/>
      </c>
      <c r="O729" s="25">
        <f>SUM(MMULT(I729:N729,'07 Annualised Inputs'!$D$7:$D$12))</f>
        <v/>
      </c>
      <c r="P729" s="25">
        <f>SQRT(SUMPRODUCT(MMULT(I729:N729,'07 Annualised Inputs'!$B$17:$G$22),I729:N729))</f>
        <v/>
      </c>
      <c r="Q729" s="37">
        <f>(O729-'02 Config'!$B$10)/P729</f>
        <v/>
      </c>
    </row>
    <row r="730">
      <c r="A730" s="12" t="n">
        <v>725</v>
      </c>
      <c r="B730" s="36" t="n">
        <v>0.7302137351448739</v>
      </c>
      <c r="C730" s="36" t="n">
        <v>0.9496353881767499</v>
      </c>
      <c r="D730" s="36" t="n">
        <v>0.7660334066004131</v>
      </c>
      <c r="E730" s="36" t="n">
        <v>0.8771753663789165</v>
      </c>
      <c r="F730" s="36" t="n">
        <v>0.5195860575716703</v>
      </c>
      <c r="G730" s="36" t="n">
        <v>0.8323193042175333</v>
      </c>
      <c r="H730" s="37">
        <f>SUM(B730:G730)</f>
        <v/>
      </c>
      <c r="I730" s="25">
        <f>B730/$H730</f>
        <v/>
      </c>
      <c r="J730" s="25">
        <f>C730/$H730</f>
        <v/>
      </c>
      <c r="K730" s="25">
        <f>D730/$H730</f>
        <v/>
      </c>
      <c r="L730" s="25">
        <f>E730/$H730</f>
        <v/>
      </c>
      <c r="M730" s="25">
        <f>F730/$H730</f>
        <v/>
      </c>
      <c r="N730" s="25">
        <f>G730/$H730</f>
        <v/>
      </c>
      <c r="O730" s="25">
        <f>SUM(MMULT(I730:N730,'07 Annualised Inputs'!$D$7:$D$12))</f>
        <v/>
      </c>
      <c r="P730" s="25">
        <f>SQRT(SUMPRODUCT(MMULT(I730:N730,'07 Annualised Inputs'!$B$17:$G$22),I730:N730))</f>
        <v/>
      </c>
      <c r="Q730" s="37">
        <f>(O730-'02 Config'!$B$10)/P730</f>
        <v/>
      </c>
    </row>
    <row r="731">
      <c r="A731" s="12" t="n">
        <v>726</v>
      </c>
      <c r="B731" s="36" t="n">
        <v>0.1829031839866824</v>
      </c>
      <c r="C731" s="36" t="n">
        <v>0.06834789039562739</v>
      </c>
      <c r="D731" s="36" t="n">
        <v>0.6559531101246859</v>
      </c>
      <c r="E731" s="36" t="n">
        <v>0.05195250375805593</v>
      </c>
      <c r="F731" s="36" t="n">
        <v>0.8924814191396805</v>
      </c>
      <c r="G731" s="36" t="n">
        <v>0.6915541471074186</v>
      </c>
      <c r="H731" s="37">
        <f>SUM(B731:G731)</f>
        <v/>
      </c>
      <c r="I731" s="25">
        <f>B731/$H731</f>
        <v/>
      </c>
      <c r="J731" s="25">
        <f>C731/$H731</f>
        <v/>
      </c>
      <c r="K731" s="25">
        <f>D731/$H731</f>
        <v/>
      </c>
      <c r="L731" s="25">
        <f>E731/$H731</f>
        <v/>
      </c>
      <c r="M731" s="25">
        <f>F731/$H731</f>
        <v/>
      </c>
      <c r="N731" s="25">
        <f>G731/$H731</f>
        <v/>
      </c>
      <c r="O731" s="25">
        <f>SUM(MMULT(I731:N731,'07 Annualised Inputs'!$D$7:$D$12))</f>
        <v/>
      </c>
      <c r="P731" s="25">
        <f>SQRT(SUMPRODUCT(MMULT(I731:N731,'07 Annualised Inputs'!$B$17:$G$22),I731:N731))</f>
        <v/>
      </c>
      <c r="Q731" s="37">
        <f>(O731-'02 Config'!$B$10)/P731</f>
        <v/>
      </c>
    </row>
    <row r="732">
      <c r="A732" s="12" t="n">
        <v>727</v>
      </c>
      <c r="B732" s="36" t="n">
        <v>0.952200725408912</v>
      </c>
      <c r="C732" s="36" t="n">
        <v>0.3138866563132356</v>
      </c>
      <c r="D732" s="36" t="n">
        <v>0.4861583092016208</v>
      </c>
      <c r="E732" s="36" t="n">
        <v>0.741690365045119</v>
      </c>
      <c r="F732" s="36" t="n">
        <v>0.2427789854608206</v>
      </c>
      <c r="G732" s="36" t="n">
        <v>0.5418488201116669</v>
      </c>
      <c r="H732" s="37">
        <f>SUM(B732:G732)</f>
        <v/>
      </c>
      <c r="I732" s="25">
        <f>B732/$H732</f>
        <v/>
      </c>
      <c r="J732" s="25">
        <f>C732/$H732</f>
        <v/>
      </c>
      <c r="K732" s="25">
        <f>D732/$H732</f>
        <v/>
      </c>
      <c r="L732" s="25">
        <f>E732/$H732</f>
        <v/>
      </c>
      <c r="M732" s="25">
        <f>F732/$H732</f>
        <v/>
      </c>
      <c r="N732" s="25">
        <f>G732/$H732</f>
        <v/>
      </c>
      <c r="O732" s="25">
        <f>SUM(MMULT(I732:N732,'07 Annualised Inputs'!$D$7:$D$12))</f>
        <v/>
      </c>
      <c r="P732" s="25">
        <f>SQRT(SUMPRODUCT(MMULT(I732:N732,'07 Annualised Inputs'!$B$17:$G$22),I732:N732))</f>
        <v/>
      </c>
      <c r="Q732" s="37">
        <f>(O732-'02 Config'!$B$10)/P732</f>
        <v/>
      </c>
    </row>
    <row r="733">
      <c r="A733" s="12" t="n">
        <v>728</v>
      </c>
      <c r="B733" s="36" t="n">
        <v>0.6594672750054781</v>
      </c>
      <c r="C733" s="36" t="n">
        <v>0.9788086544470412</v>
      </c>
      <c r="D733" s="36" t="n">
        <v>0.7447032942423848</v>
      </c>
      <c r="E733" s="36" t="n">
        <v>0.118130850279074</v>
      </c>
      <c r="F733" s="36" t="n">
        <v>0.4753334513833103</v>
      </c>
      <c r="G733" s="36" t="n">
        <v>0.5887707829895721</v>
      </c>
      <c r="H733" s="37">
        <f>SUM(B733:G733)</f>
        <v/>
      </c>
      <c r="I733" s="25">
        <f>B733/$H733</f>
        <v/>
      </c>
      <c r="J733" s="25">
        <f>C733/$H733</f>
        <v/>
      </c>
      <c r="K733" s="25">
        <f>D733/$H733</f>
        <v/>
      </c>
      <c r="L733" s="25">
        <f>E733/$H733</f>
        <v/>
      </c>
      <c r="M733" s="25">
        <f>F733/$H733</f>
        <v/>
      </c>
      <c r="N733" s="25">
        <f>G733/$H733</f>
        <v/>
      </c>
      <c r="O733" s="25">
        <f>SUM(MMULT(I733:N733,'07 Annualised Inputs'!$D$7:$D$12))</f>
        <v/>
      </c>
      <c r="P733" s="25">
        <f>SQRT(SUMPRODUCT(MMULT(I733:N733,'07 Annualised Inputs'!$B$17:$G$22),I733:N733))</f>
        <v/>
      </c>
      <c r="Q733" s="37">
        <f>(O733-'02 Config'!$B$10)/P733</f>
        <v/>
      </c>
    </row>
    <row r="734">
      <c r="A734" s="12" t="n">
        <v>729</v>
      </c>
      <c r="B734" s="36" t="n">
        <v>0.1466231428643527</v>
      </c>
      <c r="C734" s="36" t="n">
        <v>0.4319660569810784</v>
      </c>
      <c r="D734" s="36" t="n">
        <v>0.284005816335823</v>
      </c>
      <c r="E734" s="36" t="n">
        <v>0.118827542262026</v>
      </c>
      <c r="F734" s="36" t="n">
        <v>0.5120419334634545</v>
      </c>
      <c r="G734" s="36" t="n">
        <v>0.1656330810123454</v>
      </c>
      <c r="H734" s="37">
        <f>SUM(B734:G734)</f>
        <v/>
      </c>
      <c r="I734" s="25">
        <f>B734/$H734</f>
        <v/>
      </c>
      <c r="J734" s="25">
        <f>C734/$H734</f>
        <v/>
      </c>
      <c r="K734" s="25">
        <f>D734/$H734</f>
        <v/>
      </c>
      <c r="L734" s="25">
        <f>E734/$H734</f>
        <v/>
      </c>
      <c r="M734" s="25">
        <f>F734/$H734</f>
        <v/>
      </c>
      <c r="N734" s="25">
        <f>G734/$H734</f>
        <v/>
      </c>
      <c r="O734" s="25">
        <f>SUM(MMULT(I734:N734,'07 Annualised Inputs'!$D$7:$D$12))</f>
        <v/>
      </c>
      <c r="P734" s="25">
        <f>SQRT(SUMPRODUCT(MMULT(I734:N734,'07 Annualised Inputs'!$B$17:$G$22),I734:N734))</f>
        <v/>
      </c>
      <c r="Q734" s="37">
        <f>(O734-'02 Config'!$B$10)/P734</f>
        <v/>
      </c>
    </row>
    <row r="735">
      <c r="A735" s="12" t="n">
        <v>730</v>
      </c>
      <c r="B735" s="36" t="n">
        <v>0.5905374085857233</v>
      </c>
      <c r="C735" s="36" t="n">
        <v>0.1696969322418654</v>
      </c>
      <c r="D735" s="36" t="n">
        <v>0.7235949236028211</v>
      </c>
      <c r="E735" s="36" t="n">
        <v>0.1952416230296704</v>
      </c>
      <c r="F735" s="36" t="n">
        <v>0.8962851007761495</v>
      </c>
      <c r="G735" s="36" t="n">
        <v>0.02620935654880885</v>
      </c>
      <c r="H735" s="37">
        <f>SUM(B735:G735)</f>
        <v/>
      </c>
      <c r="I735" s="25">
        <f>B735/$H735</f>
        <v/>
      </c>
      <c r="J735" s="25">
        <f>C735/$H735</f>
        <v/>
      </c>
      <c r="K735" s="25">
        <f>D735/$H735</f>
        <v/>
      </c>
      <c r="L735" s="25">
        <f>E735/$H735</f>
        <v/>
      </c>
      <c r="M735" s="25">
        <f>F735/$H735</f>
        <v/>
      </c>
      <c r="N735" s="25">
        <f>G735/$H735</f>
        <v/>
      </c>
      <c r="O735" s="25">
        <f>SUM(MMULT(I735:N735,'07 Annualised Inputs'!$D$7:$D$12))</f>
        <v/>
      </c>
      <c r="P735" s="25">
        <f>SQRT(SUMPRODUCT(MMULT(I735:N735,'07 Annualised Inputs'!$B$17:$G$22),I735:N735))</f>
        <v/>
      </c>
      <c r="Q735" s="37">
        <f>(O735-'02 Config'!$B$10)/P735</f>
        <v/>
      </c>
    </row>
    <row r="736">
      <c r="A736" s="12" t="n">
        <v>731</v>
      </c>
      <c r="B736" s="36" t="n">
        <v>0.5219973870457359</v>
      </c>
      <c r="C736" s="36" t="n">
        <v>0.3201047658865469</v>
      </c>
      <c r="D736" s="36" t="n">
        <v>0.2250765257745908</v>
      </c>
      <c r="E736" s="36" t="n">
        <v>0.471602779165148</v>
      </c>
      <c r="F736" s="36" t="n">
        <v>0.8420195363242607</v>
      </c>
      <c r="G736" s="36" t="n">
        <v>0.9152772055266487</v>
      </c>
      <c r="H736" s="37">
        <f>SUM(B736:G736)</f>
        <v/>
      </c>
      <c r="I736" s="25">
        <f>B736/$H736</f>
        <v/>
      </c>
      <c r="J736" s="25">
        <f>C736/$H736</f>
        <v/>
      </c>
      <c r="K736" s="25">
        <f>D736/$H736</f>
        <v/>
      </c>
      <c r="L736" s="25">
        <f>E736/$H736</f>
        <v/>
      </c>
      <c r="M736" s="25">
        <f>F736/$H736</f>
        <v/>
      </c>
      <c r="N736" s="25">
        <f>G736/$H736</f>
        <v/>
      </c>
      <c r="O736" s="25">
        <f>SUM(MMULT(I736:N736,'07 Annualised Inputs'!$D$7:$D$12))</f>
        <v/>
      </c>
      <c r="P736" s="25">
        <f>SQRT(SUMPRODUCT(MMULT(I736:N736,'07 Annualised Inputs'!$B$17:$G$22),I736:N736))</f>
        <v/>
      </c>
      <c r="Q736" s="37">
        <f>(O736-'02 Config'!$B$10)/P736</f>
        <v/>
      </c>
    </row>
    <row r="737">
      <c r="A737" s="12" t="n">
        <v>732</v>
      </c>
      <c r="B737" s="36" t="n">
        <v>0.3032486181478458</v>
      </c>
      <c r="C737" s="36" t="n">
        <v>0.1542436220950713</v>
      </c>
      <c r="D737" s="36" t="n">
        <v>0.7201404475663072</v>
      </c>
      <c r="E737" s="36" t="n">
        <v>0.5819987254559883</v>
      </c>
      <c r="F737" s="36" t="n">
        <v>0.2010161486775599</v>
      </c>
      <c r="G737" s="36" t="n">
        <v>0.7602957880874366</v>
      </c>
      <c r="H737" s="37">
        <f>SUM(B737:G737)</f>
        <v/>
      </c>
      <c r="I737" s="25">
        <f>B737/$H737</f>
        <v/>
      </c>
      <c r="J737" s="25">
        <f>C737/$H737</f>
        <v/>
      </c>
      <c r="K737" s="25">
        <f>D737/$H737</f>
        <v/>
      </c>
      <c r="L737" s="25">
        <f>E737/$H737</f>
        <v/>
      </c>
      <c r="M737" s="25">
        <f>F737/$H737</f>
        <v/>
      </c>
      <c r="N737" s="25">
        <f>G737/$H737</f>
        <v/>
      </c>
      <c r="O737" s="25">
        <f>SUM(MMULT(I737:N737,'07 Annualised Inputs'!$D$7:$D$12))</f>
        <v/>
      </c>
      <c r="P737" s="25">
        <f>SQRT(SUMPRODUCT(MMULT(I737:N737,'07 Annualised Inputs'!$B$17:$G$22),I737:N737))</f>
        <v/>
      </c>
      <c r="Q737" s="37">
        <f>(O737-'02 Config'!$B$10)/P737</f>
        <v/>
      </c>
    </row>
    <row r="738">
      <c r="A738" s="12" t="n">
        <v>733</v>
      </c>
      <c r="B738" s="36" t="n">
        <v>0.5189304352421411</v>
      </c>
      <c r="C738" s="36" t="n">
        <v>0.6533951995074075</v>
      </c>
      <c r="D738" s="36" t="n">
        <v>0.3593390339633887</v>
      </c>
      <c r="E738" s="36" t="n">
        <v>0.439097561302376</v>
      </c>
      <c r="F738" s="36" t="n">
        <v>0.1803420983749422</v>
      </c>
      <c r="G738" s="36" t="n">
        <v>0.756515867645341</v>
      </c>
      <c r="H738" s="37">
        <f>SUM(B738:G738)</f>
        <v/>
      </c>
      <c r="I738" s="25">
        <f>B738/$H738</f>
        <v/>
      </c>
      <c r="J738" s="25">
        <f>C738/$H738</f>
        <v/>
      </c>
      <c r="K738" s="25">
        <f>D738/$H738</f>
        <v/>
      </c>
      <c r="L738" s="25">
        <f>E738/$H738</f>
        <v/>
      </c>
      <c r="M738" s="25">
        <f>F738/$H738</f>
        <v/>
      </c>
      <c r="N738" s="25">
        <f>G738/$H738</f>
        <v/>
      </c>
      <c r="O738" s="25">
        <f>SUM(MMULT(I738:N738,'07 Annualised Inputs'!$D$7:$D$12))</f>
        <v/>
      </c>
      <c r="P738" s="25">
        <f>SQRT(SUMPRODUCT(MMULT(I738:N738,'07 Annualised Inputs'!$B$17:$G$22),I738:N738))</f>
        <v/>
      </c>
      <c r="Q738" s="37">
        <f>(O738-'02 Config'!$B$10)/P738</f>
        <v/>
      </c>
    </row>
    <row r="739">
      <c r="A739" s="12" t="n">
        <v>734</v>
      </c>
      <c r="B739" s="36" t="n">
        <v>0.1570113241517919</v>
      </c>
      <c r="C739" s="36" t="n">
        <v>0.7783025947510613</v>
      </c>
      <c r="D739" s="36" t="n">
        <v>0.798007854884586</v>
      </c>
      <c r="E739" s="36" t="n">
        <v>0.7466009640551217</v>
      </c>
      <c r="F739" s="36" t="n">
        <v>0.01942278805874043</v>
      </c>
      <c r="G739" s="36" t="n">
        <v>0.2731332126066736</v>
      </c>
      <c r="H739" s="37">
        <f>SUM(B739:G739)</f>
        <v/>
      </c>
      <c r="I739" s="25">
        <f>B739/$H739</f>
        <v/>
      </c>
      <c r="J739" s="25">
        <f>C739/$H739</f>
        <v/>
      </c>
      <c r="K739" s="25">
        <f>D739/$H739</f>
        <v/>
      </c>
      <c r="L739" s="25">
        <f>E739/$H739</f>
        <v/>
      </c>
      <c r="M739" s="25">
        <f>F739/$H739</f>
        <v/>
      </c>
      <c r="N739" s="25">
        <f>G739/$H739</f>
        <v/>
      </c>
      <c r="O739" s="25">
        <f>SUM(MMULT(I739:N739,'07 Annualised Inputs'!$D$7:$D$12))</f>
        <v/>
      </c>
      <c r="P739" s="25">
        <f>SQRT(SUMPRODUCT(MMULT(I739:N739,'07 Annualised Inputs'!$B$17:$G$22),I739:N739))</f>
        <v/>
      </c>
      <c r="Q739" s="37">
        <f>(O739-'02 Config'!$B$10)/P739</f>
        <v/>
      </c>
    </row>
    <row r="740">
      <c r="A740" s="12" t="n">
        <v>735</v>
      </c>
      <c r="B740" s="36" t="n">
        <v>0.4683377427918137</v>
      </c>
      <c r="C740" s="36" t="n">
        <v>0.5955443787167958</v>
      </c>
      <c r="D740" s="36" t="n">
        <v>0.9192220993690502</v>
      </c>
      <c r="E740" s="36" t="n">
        <v>0.3756059721287023</v>
      </c>
      <c r="F740" s="36" t="n">
        <v>0.8750233187739541</v>
      </c>
      <c r="G740" s="36" t="n">
        <v>0.1634292881368365</v>
      </c>
      <c r="H740" s="37">
        <f>SUM(B740:G740)</f>
        <v/>
      </c>
      <c r="I740" s="25">
        <f>B740/$H740</f>
        <v/>
      </c>
      <c r="J740" s="25">
        <f>C740/$H740</f>
        <v/>
      </c>
      <c r="K740" s="25">
        <f>D740/$H740</f>
        <v/>
      </c>
      <c r="L740" s="25">
        <f>E740/$H740</f>
        <v/>
      </c>
      <c r="M740" s="25">
        <f>F740/$H740</f>
        <v/>
      </c>
      <c r="N740" s="25">
        <f>G740/$H740</f>
        <v/>
      </c>
      <c r="O740" s="25">
        <f>SUM(MMULT(I740:N740,'07 Annualised Inputs'!$D$7:$D$12))</f>
        <v/>
      </c>
      <c r="P740" s="25">
        <f>SQRT(SUMPRODUCT(MMULT(I740:N740,'07 Annualised Inputs'!$B$17:$G$22),I740:N740))</f>
        <v/>
      </c>
      <c r="Q740" s="37">
        <f>(O740-'02 Config'!$B$10)/P740</f>
        <v/>
      </c>
    </row>
    <row r="741">
      <c r="A741" s="12" t="n">
        <v>736</v>
      </c>
      <c r="B741" s="36" t="n">
        <v>0.371280487508627</v>
      </c>
      <c r="C741" s="36" t="n">
        <v>0.052282010821323</v>
      </c>
      <c r="D741" s="36" t="n">
        <v>0.7424892910556222</v>
      </c>
      <c r="E741" s="36" t="n">
        <v>0.150652757432913</v>
      </c>
      <c r="F741" s="36" t="n">
        <v>0.2570200156484578</v>
      </c>
      <c r="G741" s="36" t="n">
        <v>0.7752332521932148</v>
      </c>
      <c r="H741" s="37">
        <f>SUM(B741:G741)</f>
        <v/>
      </c>
      <c r="I741" s="25">
        <f>B741/$H741</f>
        <v/>
      </c>
      <c r="J741" s="25">
        <f>C741/$H741</f>
        <v/>
      </c>
      <c r="K741" s="25">
        <f>D741/$H741</f>
        <v/>
      </c>
      <c r="L741" s="25">
        <f>E741/$H741</f>
        <v/>
      </c>
      <c r="M741" s="25">
        <f>F741/$H741</f>
        <v/>
      </c>
      <c r="N741" s="25">
        <f>G741/$H741</f>
        <v/>
      </c>
      <c r="O741" s="25">
        <f>SUM(MMULT(I741:N741,'07 Annualised Inputs'!$D$7:$D$12))</f>
        <v/>
      </c>
      <c r="P741" s="25">
        <f>SQRT(SUMPRODUCT(MMULT(I741:N741,'07 Annualised Inputs'!$B$17:$G$22),I741:N741))</f>
        <v/>
      </c>
      <c r="Q741" s="37">
        <f>(O741-'02 Config'!$B$10)/P741</f>
        <v/>
      </c>
    </row>
    <row r="742">
      <c r="A742" s="12" t="n">
        <v>737</v>
      </c>
      <c r="B742" s="36" t="n">
        <v>0.53471671742271</v>
      </c>
      <c r="C742" s="36" t="n">
        <v>0.01397271941846256</v>
      </c>
      <c r="D742" s="36" t="n">
        <v>0.002235204747397135</v>
      </c>
      <c r="E742" s="36" t="n">
        <v>0.5106606317398971</v>
      </c>
      <c r="F742" s="36" t="n">
        <v>0.3049555137491948</v>
      </c>
      <c r="G742" s="36" t="n">
        <v>0.1803114459951771</v>
      </c>
      <c r="H742" s="37">
        <f>SUM(B742:G742)</f>
        <v/>
      </c>
      <c r="I742" s="25">
        <f>B742/$H742</f>
        <v/>
      </c>
      <c r="J742" s="25">
        <f>C742/$H742</f>
        <v/>
      </c>
      <c r="K742" s="25">
        <f>D742/$H742</f>
        <v/>
      </c>
      <c r="L742" s="25">
        <f>E742/$H742</f>
        <v/>
      </c>
      <c r="M742" s="25">
        <f>F742/$H742</f>
        <v/>
      </c>
      <c r="N742" s="25">
        <f>G742/$H742</f>
        <v/>
      </c>
      <c r="O742" s="25">
        <f>SUM(MMULT(I742:N742,'07 Annualised Inputs'!$D$7:$D$12))</f>
        <v/>
      </c>
      <c r="P742" s="25">
        <f>SQRT(SUMPRODUCT(MMULT(I742:N742,'07 Annualised Inputs'!$B$17:$G$22),I742:N742))</f>
        <v/>
      </c>
      <c r="Q742" s="37">
        <f>(O742-'02 Config'!$B$10)/P742</f>
        <v/>
      </c>
    </row>
    <row r="743">
      <c r="A743" s="12" t="n">
        <v>738</v>
      </c>
      <c r="B743" s="36" t="n">
        <v>0.6135939377161109</v>
      </c>
      <c r="C743" s="36" t="n">
        <v>0.2284364717174271</v>
      </c>
      <c r="D743" s="36" t="n">
        <v>0.5922071496849479</v>
      </c>
      <c r="E743" s="36" t="n">
        <v>0.3792659505862729</v>
      </c>
      <c r="F743" s="36" t="n">
        <v>0.1867462176697897</v>
      </c>
      <c r="G743" s="36" t="n">
        <v>0.1381047378687487</v>
      </c>
      <c r="H743" s="37">
        <f>SUM(B743:G743)</f>
        <v/>
      </c>
      <c r="I743" s="25">
        <f>B743/$H743</f>
        <v/>
      </c>
      <c r="J743" s="25">
        <f>C743/$H743</f>
        <v/>
      </c>
      <c r="K743" s="25">
        <f>D743/$H743</f>
        <v/>
      </c>
      <c r="L743" s="25">
        <f>E743/$H743</f>
        <v/>
      </c>
      <c r="M743" s="25">
        <f>F743/$H743</f>
        <v/>
      </c>
      <c r="N743" s="25">
        <f>G743/$H743</f>
        <v/>
      </c>
      <c r="O743" s="25">
        <f>SUM(MMULT(I743:N743,'07 Annualised Inputs'!$D$7:$D$12))</f>
        <v/>
      </c>
      <c r="P743" s="25">
        <f>SQRT(SUMPRODUCT(MMULT(I743:N743,'07 Annualised Inputs'!$B$17:$G$22),I743:N743))</f>
        <v/>
      </c>
      <c r="Q743" s="37">
        <f>(O743-'02 Config'!$B$10)/P743</f>
        <v/>
      </c>
    </row>
    <row r="744">
      <c r="A744" s="12" t="n">
        <v>739</v>
      </c>
      <c r="B744" s="36" t="n">
        <v>0.2368606031272881</v>
      </c>
      <c r="C744" s="36" t="n">
        <v>0.02983210801298508</v>
      </c>
      <c r="D744" s="36" t="n">
        <v>0.3081269620362684</v>
      </c>
      <c r="E744" s="36" t="n">
        <v>0.9019546901817942</v>
      </c>
      <c r="F744" s="36" t="n">
        <v>0.8313621258830283</v>
      </c>
      <c r="G744" s="36" t="n">
        <v>0.3720037567196589</v>
      </c>
      <c r="H744" s="37">
        <f>SUM(B744:G744)</f>
        <v/>
      </c>
      <c r="I744" s="25">
        <f>B744/$H744</f>
        <v/>
      </c>
      <c r="J744" s="25">
        <f>C744/$H744</f>
        <v/>
      </c>
      <c r="K744" s="25">
        <f>D744/$H744</f>
        <v/>
      </c>
      <c r="L744" s="25">
        <f>E744/$H744</f>
        <v/>
      </c>
      <c r="M744" s="25">
        <f>F744/$H744</f>
        <v/>
      </c>
      <c r="N744" s="25">
        <f>G744/$H744</f>
        <v/>
      </c>
      <c r="O744" s="25">
        <f>SUM(MMULT(I744:N744,'07 Annualised Inputs'!$D$7:$D$12))</f>
        <v/>
      </c>
      <c r="P744" s="25">
        <f>SQRT(SUMPRODUCT(MMULT(I744:N744,'07 Annualised Inputs'!$B$17:$G$22),I744:N744))</f>
        <v/>
      </c>
      <c r="Q744" s="37">
        <f>(O744-'02 Config'!$B$10)/P744</f>
        <v/>
      </c>
    </row>
    <row r="745">
      <c r="A745" s="12" t="n">
        <v>740</v>
      </c>
      <c r="B745" s="36" t="n">
        <v>0.5758336185818038</v>
      </c>
      <c r="C745" s="36" t="n">
        <v>0.5673605590140585</v>
      </c>
      <c r="D745" s="36" t="n">
        <v>0.8287375391937123</v>
      </c>
      <c r="E745" s="36" t="n">
        <v>0.2362901015169656</v>
      </c>
      <c r="F745" s="36" t="n">
        <v>0.2963874887930124</v>
      </c>
      <c r="G745" s="36" t="n">
        <v>0.3017854337456115</v>
      </c>
      <c r="H745" s="37">
        <f>SUM(B745:G745)</f>
        <v/>
      </c>
      <c r="I745" s="25">
        <f>B745/$H745</f>
        <v/>
      </c>
      <c r="J745" s="25">
        <f>C745/$H745</f>
        <v/>
      </c>
      <c r="K745" s="25">
        <f>D745/$H745</f>
        <v/>
      </c>
      <c r="L745" s="25">
        <f>E745/$H745</f>
        <v/>
      </c>
      <c r="M745" s="25">
        <f>F745/$H745</f>
        <v/>
      </c>
      <c r="N745" s="25">
        <f>G745/$H745</f>
        <v/>
      </c>
      <c r="O745" s="25">
        <f>SUM(MMULT(I745:N745,'07 Annualised Inputs'!$D$7:$D$12))</f>
        <v/>
      </c>
      <c r="P745" s="25">
        <f>SQRT(SUMPRODUCT(MMULT(I745:N745,'07 Annualised Inputs'!$B$17:$G$22),I745:N745))</f>
        <v/>
      </c>
      <c r="Q745" s="37">
        <f>(O745-'02 Config'!$B$10)/P745</f>
        <v/>
      </c>
    </row>
    <row r="746">
      <c r="A746" s="12" t="n">
        <v>741</v>
      </c>
      <c r="B746" s="36" t="n">
        <v>0.04086998977167433</v>
      </c>
      <c r="C746" s="36" t="n">
        <v>0.3146878632891922</v>
      </c>
      <c r="D746" s="36" t="n">
        <v>0.877913776588007</v>
      </c>
      <c r="E746" s="36" t="n">
        <v>0.911987647571481</v>
      </c>
      <c r="F746" s="36" t="n">
        <v>0.1096353457685504</v>
      </c>
      <c r="G746" s="36" t="n">
        <v>0.4580585416184314</v>
      </c>
      <c r="H746" s="37">
        <f>SUM(B746:G746)</f>
        <v/>
      </c>
      <c r="I746" s="25">
        <f>B746/$H746</f>
        <v/>
      </c>
      <c r="J746" s="25">
        <f>C746/$H746</f>
        <v/>
      </c>
      <c r="K746" s="25">
        <f>D746/$H746</f>
        <v/>
      </c>
      <c r="L746" s="25">
        <f>E746/$H746</f>
        <v/>
      </c>
      <c r="M746" s="25">
        <f>F746/$H746</f>
        <v/>
      </c>
      <c r="N746" s="25">
        <f>G746/$H746</f>
        <v/>
      </c>
      <c r="O746" s="25">
        <f>SUM(MMULT(I746:N746,'07 Annualised Inputs'!$D$7:$D$12))</f>
        <v/>
      </c>
      <c r="P746" s="25">
        <f>SQRT(SUMPRODUCT(MMULT(I746:N746,'07 Annualised Inputs'!$B$17:$G$22),I746:N746))</f>
        <v/>
      </c>
      <c r="Q746" s="37">
        <f>(O746-'02 Config'!$B$10)/P746</f>
        <v/>
      </c>
    </row>
    <row r="747">
      <c r="A747" s="12" t="n">
        <v>742</v>
      </c>
      <c r="B747" s="36" t="n">
        <v>0.3813489015876391</v>
      </c>
      <c r="C747" s="36" t="n">
        <v>0.4893591966233879</v>
      </c>
      <c r="D747" s="36" t="n">
        <v>0.5547195240586772</v>
      </c>
      <c r="E747" s="36" t="n">
        <v>0.02025876001774607</v>
      </c>
      <c r="F747" s="36" t="n">
        <v>0.8422422479211608</v>
      </c>
      <c r="G747" s="36" t="n">
        <v>0.9736640731733385</v>
      </c>
      <c r="H747" s="37">
        <f>SUM(B747:G747)</f>
        <v/>
      </c>
      <c r="I747" s="25">
        <f>B747/$H747</f>
        <v/>
      </c>
      <c r="J747" s="25">
        <f>C747/$H747</f>
        <v/>
      </c>
      <c r="K747" s="25">
        <f>D747/$H747</f>
        <v/>
      </c>
      <c r="L747" s="25">
        <f>E747/$H747</f>
        <v/>
      </c>
      <c r="M747" s="25">
        <f>F747/$H747</f>
        <v/>
      </c>
      <c r="N747" s="25">
        <f>G747/$H747</f>
        <v/>
      </c>
      <c r="O747" s="25">
        <f>SUM(MMULT(I747:N747,'07 Annualised Inputs'!$D$7:$D$12))</f>
        <v/>
      </c>
      <c r="P747" s="25">
        <f>SQRT(SUMPRODUCT(MMULT(I747:N747,'07 Annualised Inputs'!$B$17:$G$22),I747:N747))</f>
        <v/>
      </c>
      <c r="Q747" s="37">
        <f>(O747-'02 Config'!$B$10)/P747</f>
        <v/>
      </c>
    </row>
    <row r="748">
      <c r="A748" s="12" t="n">
        <v>743</v>
      </c>
      <c r="B748" s="36" t="n">
        <v>0.6534048120036423</v>
      </c>
      <c r="C748" s="36" t="n">
        <v>0.6604522384933692</v>
      </c>
      <c r="D748" s="36" t="n">
        <v>0.5279798578307084</v>
      </c>
      <c r="E748" s="36" t="n">
        <v>0.3342734117143817</v>
      </c>
      <c r="F748" s="36" t="n">
        <v>0.1489778241795211</v>
      </c>
      <c r="G748" s="36" t="n">
        <v>0.5840633426960506</v>
      </c>
      <c r="H748" s="37">
        <f>SUM(B748:G748)</f>
        <v/>
      </c>
      <c r="I748" s="25">
        <f>B748/$H748</f>
        <v/>
      </c>
      <c r="J748" s="25">
        <f>C748/$H748</f>
        <v/>
      </c>
      <c r="K748" s="25">
        <f>D748/$H748</f>
        <v/>
      </c>
      <c r="L748" s="25">
        <f>E748/$H748</f>
        <v/>
      </c>
      <c r="M748" s="25">
        <f>F748/$H748</f>
        <v/>
      </c>
      <c r="N748" s="25">
        <f>G748/$H748</f>
        <v/>
      </c>
      <c r="O748" s="25">
        <f>SUM(MMULT(I748:N748,'07 Annualised Inputs'!$D$7:$D$12))</f>
        <v/>
      </c>
      <c r="P748" s="25">
        <f>SQRT(SUMPRODUCT(MMULT(I748:N748,'07 Annualised Inputs'!$B$17:$G$22),I748:N748))</f>
        <v/>
      </c>
      <c r="Q748" s="37">
        <f>(O748-'02 Config'!$B$10)/P748</f>
        <v/>
      </c>
    </row>
    <row r="749">
      <c r="A749" s="12" t="n">
        <v>744</v>
      </c>
      <c r="B749" s="36" t="n">
        <v>0.04494140350920706</v>
      </c>
      <c r="C749" s="36" t="n">
        <v>0.8245025676918739</v>
      </c>
      <c r="D749" s="36" t="n">
        <v>0.4209116994706155</v>
      </c>
      <c r="E749" s="36" t="n">
        <v>0.4147542241619748</v>
      </c>
      <c r="F749" s="36" t="n">
        <v>0.3271708584759058</v>
      </c>
      <c r="G749" s="36" t="n">
        <v>0.9693538886985864</v>
      </c>
      <c r="H749" s="37">
        <f>SUM(B749:G749)</f>
        <v/>
      </c>
      <c r="I749" s="25">
        <f>B749/$H749</f>
        <v/>
      </c>
      <c r="J749" s="25">
        <f>C749/$H749</f>
        <v/>
      </c>
      <c r="K749" s="25">
        <f>D749/$H749</f>
        <v/>
      </c>
      <c r="L749" s="25">
        <f>E749/$H749</f>
        <v/>
      </c>
      <c r="M749" s="25">
        <f>F749/$H749</f>
        <v/>
      </c>
      <c r="N749" s="25">
        <f>G749/$H749</f>
        <v/>
      </c>
      <c r="O749" s="25">
        <f>SUM(MMULT(I749:N749,'07 Annualised Inputs'!$D$7:$D$12))</f>
        <v/>
      </c>
      <c r="P749" s="25">
        <f>SQRT(SUMPRODUCT(MMULT(I749:N749,'07 Annualised Inputs'!$B$17:$G$22),I749:N749))</f>
        <v/>
      </c>
      <c r="Q749" s="37">
        <f>(O749-'02 Config'!$B$10)/P749</f>
        <v/>
      </c>
    </row>
    <row r="750">
      <c r="A750" s="12" t="n">
        <v>745</v>
      </c>
      <c r="B750" s="36" t="n">
        <v>0.1749169527707188</v>
      </c>
      <c r="C750" s="36" t="n">
        <v>0.1513078214752112</v>
      </c>
      <c r="D750" s="36" t="n">
        <v>0.1655315015450302</v>
      </c>
      <c r="E750" s="36" t="n">
        <v>0.658527482850764</v>
      </c>
      <c r="F750" s="36" t="n">
        <v>0.9918953187295984</v>
      </c>
      <c r="G750" s="36" t="n">
        <v>0.2354751704017547</v>
      </c>
      <c r="H750" s="37">
        <f>SUM(B750:G750)</f>
        <v/>
      </c>
      <c r="I750" s="25">
        <f>B750/$H750</f>
        <v/>
      </c>
      <c r="J750" s="25">
        <f>C750/$H750</f>
        <v/>
      </c>
      <c r="K750" s="25">
        <f>D750/$H750</f>
        <v/>
      </c>
      <c r="L750" s="25">
        <f>E750/$H750</f>
        <v/>
      </c>
      <c r="M750" s="25">
        <f>F750/$H750</f>
        <v/>
      </c>
      <c r="N750" s="25">
        <f>G750/$H750</f>
        <v/>
      </c>
      <c r="O750" s="25">
        <f>SUM(MMULT(I750:N750,'07 Annualised Inputs'!$D$7:$D$12))</f>
        <v/>
      </c>
      <c r="P750" s="25">
        <f>SQRT(SUMPRODUCT(MMULT(I750:N750,'07 Annualised Inputs'!$B$17:$G$22),I750:N750))</f>
        <v/>
      </c>
      <c r="Q750" s="37">
        <f>(O750-'02 Config'!$B$10)/P750</f>
        <v/>
      </c>
    </row>
    <row r="751">
      <c r="A751" s="12" t="n">
        <v>746</v>
      </c>
      <c r="B751" s="36" t="n">
        <v>0.9056173970674878</v>
      </c>
      <c r="C751" s="36" t="n">
        <v>0.2786165592081724</v>
      </c>
      <c r="D751" s="36" t="n">
        <v>0.6478999201253002</v>
      </c>
      <c r="E751" s="36" t="n">
        <v>0.04049895193336772</v>
      </c>
      <c r="F751" s="36" t="n">
        <v>0.495653974576189</v>
      </c>
      <c r="G751" s="36" t="n">
        <v>0.6545699662789818</v>
      </c>
      <c r="H751" s="37">
        <f>SUM(B751:G751)</f>
        <v/>
      </c>
      <c r="I751" s="25">
        <f>B751/$H751</f>
        <v/>
      </c>
      <c r="J751" s="25">
        <f>C751/$H751</f>
        <v/>
      </c>
      <c r="K751" s="25">
        <f>D751/$H751</f>
        <v/>
      </c>
      <c r="L751" s="25">
        <f>E751/$H751</f>
        <v/>
      </c>
      <c r="M751" s="25">
        <f>F751/$H751</f>
        <v/>
      </c>
      <c r="N751" s="25">
        <f>G751/$H751</f>
        <v/>
      </c>
      <c r="O751" s="25">
        <f>SUM(MMULT(I751:N751,'07 Annualised Inputs'!$D$7:$D$12))</f>
        <v/>
      </c>
      <c r="P751" s="25">
        <f>SQRT(SUMPRODUCT(MMULT(I751:N751,'07 Annualised Inputs'!$B$17:$G$22),I751:N751))</f>
        <v/>
      </c>
      <c r="Q751" s="37">
        <f>(O751-'02 Config'!$B$10)/P751</f>
        <v/>
      </c>
    </row>
    <row r="752">
      <c r="A752" s="12" t="n">
        <v>747</v>
      </c>
      <c r="B752" s="36" t="n">
        <v>0.5363197772226286</v>
      </c>
      <c r="C752" s="36" t="n">
        <v>0.2378353848817911</v>
      </c>
      <c r="D752" s="36" t="n">
        <v>0.8284969482679155</v>
      </c>
      <c r="E752" s="36" t="n">
        <v>0.9701365112382403</v>
      </c>
      <c r="F752" s="36" t="n">
        <v>0.4591960956920653</v>
      </c>
      <c r="G752" s="36" t="n">
        <v>0.6359192651892537</v>
      </c>
      <c r="H752" s="37">
        <f>SUM(B752:G752)</f>
        <v/>
      </c>
      <c r="I752" s="25">
        <f>B752/$H752</f>
        <v/>
      </c>
      <c r="J752" s="25">
        <f>C752/$H752</f>
        <v/>
      </c>
      <c r="K752" s="25">
        <f>D752/$H752</f>
        <v/>
      </c>
      <c r="L752" s="25">
        <f>E752/$H752</f>
        <v/>
      </c>
      <c r="M752" s="25">
        <f>F752/$H752</f>
        <v/>
      </c>
      <c r="N752" s="25">
        <f>G752/$H752</f>
        <v/>
      </c>
      <c r="O752" s="25">
        <f>SUM(MMULT(I752:N752,'07 Annualised Inputs'!$D$7:$D$12))</f>
        <v/>
      </c>
      <c r="P752" s="25">
        <f>SQRT(SUMPRODUCT(MMULT(I752:N752,'07 Annualised Inputs'!$B$17:$G$22),I752:N752))</f>
        <v/>
      </c>
      <c r="Q752" s="37">
        <f>(O752-'02 Config'!$B$10)/P752</f>
        <v/>
      </c>
    </row>
    <row r="753">
      <c r="A753" s="12" t="n">
        <v>748</v>
      </c>
      <c r="B753" s="36" t="n">
        <v>0.7904132683455726</v>
      </c>
      <c r="C753" s="36" t="n">
        <v>0.241489060621794</v>
      </c>
      <c r="D753" s="36" t="n">
        <v>0.8644503819287854</v>
      </c>
      <c r="E753" s="36" t="n">
        <v>0.2802009053099975</v>
      </c>
      <c r="F753" s="36" t="n">
        <v>0.7758308035152388</v>
      </c>
      <c r="G753" s="36" t="n">
        <v>0.1120992324264221</v>
      </c>
      <c r="H753" s="37">
        <f>SUM(B753:G753)</f>
        <v/>
      </c>
      <c r="I753" s="25">
        <f>B753/$H753</f>
        <v/>
      </c>
      <c r="J753" s="25">
        <f>C753/$H753</f>
        <v/>
      </c>
      <c r="K753" s="25">
        <f>D753/$H753</f>
        <v/>
      </c>
      <c r="L753" s="25">
        <f>E753/$H753</f>
        <v/>
      </c>
      <c r="M753" s="25">
        <f>F753/$H753</f>
        <v/>
      </c>
      <c r="N753" s="25">
        <f>G753/$H753</f>
        <v/>
      </c>
      <c r="O753" s="25">
        <f>SUM(MMULT(I753:N753,'07 Annualised Inputs'!$D$7:$D$12))</f>
        <v/>
      </c>
      <c r="P753" s="25">
        <f>SQRT(SUMPRODUCT(MMULT(I753:N753,'07 Annualised Inputs'!$B$17:$G$22),I753:N753))</f>
        <v/>
      </c>
      <c r="Q753" s="37">
        <f>(O753-'02 Config'!$B$10)/P753</f>
        <v/>
      </c>
    </row>
    <row r="754">
      <c r="A754" s="12" t="n">
        <v>749</v>
      </c>
      <c r="B754" s="36" t="n">
        <v>0.2883867034141697</v>
      </c>
      <c r="C754" s="36" t="n">
        <v>0.5336199339398677</v>
      </c>
      <c r="D754" s="36" t="n">
        <v>0.5249220957043151</v>
      </c>
      <c r="E754" s="36" t="n">
        <v>0.8504311844863662</v>
      </c>
      <c r="F754" s="36" t="n">
        <v>0.9961272576386072</v>
      </c>
      <c r="G754" s="36" t="n">
        <v>0.1072108458601406</v>
      </c>
      <c r="H754" s="37">
        <f>SUM(B754:G754)</f>
        <v/>
      </c>
      <c r="I754" s="25">
        <f>B754/$H754</f>
        <v/>
      </c>
      <c r="J754" s="25">
        <f>C754/$H754</f>
        <v/>
      </c>
      <c r="K754" s="25">
        <f>D754/$H754</f>
        <v/>
      </c>
      <c r="L754" s="25">
        <f>E754/$H754</f>
        <v/>
      </c>
      <c r="M754" s="25">
        <f>F754/$H754</f>
        <v/>
      </c>
      <c r="N754" s="25">
        <f>G754/$H754</f>
        <v/>
      </c>
      <c r="O754" s="25">
        <f>SUM(MMULT(I754:N754,'07 Annualised Inputs'!$D$7:$D$12))</f>
        <v/>
      </c>
      <c r="P754" s="25">
        <f>SQRT(SUMPRODUCT(MMULT(I754:N754,'07 Annualised Inputs'!$B$17:$G$22),I754:N754))</f>
        <v/>
      </c>
      <c r="Q754" s="37">
        <f>(O754-'02 Config'!$B$10)/P754</f>
        <v/>
      </c>
    </row>
    <row r="755">
      <c r="A755" s="12" t="n">
        <v>750</v>
      </c>
      <c r="B755" s="36" t="n">
        <v>0.271388132825037</v>
      </c>
      <c r="C755" s="36" t="n">
        <v>0.3575982102230758</v>
      </c>
      <c r="D755" s="36" t="n">
        <v>0.4789184078100051</v>
      </c>
      <c r="E755" s="36" t="n">
        <v>0.4939097431543991</v>
      </c>
      <c r="F755" s="36" t="n">
        <v>0.8561950631484166</v>
      </c>
      <c r="G755" s="36" t="n">
        <v>0.7705593027850998</v>
      </c>
      <c r="H755" s="37">
        <f>SUM(B755:G755)</f>
        <v/>
      </c>
      <c r="I755" s="25">
        <f>B755/$H755</f>
        <v/>
      </c>
      <c r="J755" s="25">
        <f>C755/$H755</f>
        <v/>
      </c>
      <c r="K755" s="25">
        <f>D755/$H755</f>
        <v/>
      </c>
      <c r="L755" s="25">
        <f>E755/$H755</f>
        <v/>
      </c>
      <c r="M755" s="25">
        <f>F755/$H755</f>
        <v/>
      </c>
      <c r="N755" s="25">
        <f>G755/$H755</f>
        <v/>
      </c>
      <c r="O755" s="25">
        <f>SUM(MMULT(I755:N755,'07 Annualised Inputs'!$D$7:$D$12))</f>
        <v/>
      </c>
      <c r="P755" s="25">
        <f>SQRT(SUMPRODUCT(MMULT(I755:N755,'07 Annualised Inputs'!$B$17:$G$22),I755:N755))</f>
        <v/>
      </c>
      <c r="Q755" s="37">
        <f>(O755-'02 Config'!$B$10)/P755</f>
        <v/>
      </c>
    </row>
    <row r="756">
      <c r="A756" s="12" t="n">
        <v>751</v>
      </c>
      <c r="B756" s="36" t="n">
        <v>0.01885157903795331</v>
      </c>
      <c r="C756" s="36" t="n">
        <v>0.4550217605831879</v>
      </c>
      <c r="D756" s="36" t="n">
        <v>0.6180738382440888</v>
      </c>
      <c r="E756" s="36" t="n">
        <v>0.4603955870930234</v>
      </c>
      <c r="F756" s="36" t="n">
        <v>0.1306452560257023</v>
      </c>
      <c r="G756" s="36" t="n">
        <v>0.3974740836906482</v>
      </c>
      <c r="H756" s="37">
        <f>SUM(B756:G756)</f>
        <v/>
      </c>
      <c r="I756" s="25">
        <f>B756/$H756</f>
        <v/>
      </c>
      <c r="J756" s="25">
        <f>C756/$H756</f>
        <v/>
      </c>
      <c r="K756" s="25">
        <f>D756/$H756</f>
        <v/>
      </c>
      <c r="L756" s="25">
        <f>E756/$H756</f>
        <v/>
      </c>
      <c r="M756" s="25">
        <f>F756/$H756</f>
        <v/>
      </c>
      <c r="N756" s="25">
        <f>G756/$H756</f>
        <v/>
      </c>
      <c r="O756" s="25">
        <f>SUM(MMULT(I756:N756,'07 Annualised Inputs'!$D$7:$D$12))</f>
        <v/>
      </c>
      <c r="P756" s="25">
        <f>SQRT(SUMPRODUCT(MMULT(I756:N756,'07 Annualised Inputs'!$B$17:$G$22),I756:N756))</f>
        <v/>
      </c>
      <c r="Q756" s="37">
        <f>(O756-'02 Config'!$B$10)/P756</f>
        <v/>
      </c>
    </row>
    <row r="757">
      <c r="A757" s="12" t="n">
        <v>752</v>
      </c>
      <c r="B757" s="36" t="n">
        <v>0.4116556951297361</v>
      </c>
      <c r="C757" s="36" t="n">
        <v>0.1877159224497588</v>
      </c>
      <c r="D757" s="36" t="n">
        <v>0.7563071144709534</v>
      </c>
      <c r="E757" s="36" t="n">
        <v>0.3214006801424768</v>
      </c>
      <c r="F757" s="36" t="n">
        <v>0.5889872905686162</v>
      </c>
      <c r="G757" s="36" t="n">
        <v>0.5157301809587675</v>
      </c>
      <c r="H757" s="37">
        <f>SUM(B757:G757)</f>
        <v/>
      </c>
      <c r="I757" s="25">
        <f>B757/$H757</f>
        <v/>
      </c>
      <c r="J757" s="25">
        <f>C757/$H757</f>
        <v/>
      </c>
      <c r="K757" s="25">
        <f>D757/$H757</f>
        <v/>
      </c>
      <c r="L757" s="25">
        <f>E757/$H757</f>
        <v/>
      </c>
      <c r="M757" s="25">
        <f>F757/$H757</f>
        <v/>
      </c>
      <c r="N757" s="25">
        <f>G757/$H757</f>
        <v/>
      </c>
      <c r="O757" s="25">
        <f>SUM(MMULT(I757:N757,'07 Annualised Inputs'!$D$7:$D$12))</f>
        <v/>
      </c>
      <c r="P757" s="25">
        <f>SQRT(SUMPRODUCT(MMULT(I757:N757,'07 Annualised Inputs'!$B$17:$G$22),I757:N757))</f>
        <v/>
      </c>
      <c r="Q757" s="37">
        <f>(O757-'02 Config'!$B$10)/P757</f>
        <v/>
      </c>
    </row>
    <row r="758">
      <c r="A758" s="12" t="n">
        <v>753</v>
      </c>
      <c r="B758" s="36" t="n">
        <v>0.8774270792163887</v>
      </c>
      <c r="C758" s="36" t="n">
        <v>0.1220149318628382</v>
      </c>
      <c r="D758" s="36" t="n">
        <v>0.1142630082534601</v>
      </c>
      <c r="E758" s="36" t="n">
        <v>0.3003196691230158</v>
      </c>
      <c r="F758" s="36" t="n">
        <v>0.431214968125835</v>
      </c>
      <c r="G758" s="36" t="n">
        <v>0.2985422487521395</v>
      </c>
      <c r="H758" s="37">
        <f>SUM(B758:G758)</f>
        <v/>
      </c>
      <c r="I758" s="25">
        <f>B758/$H758</f>
        <v/>
      </c>
      <c r="J758" s="25">
        <f>C758/$H758</f>
        <v/>
      </c>
      <c r="K758" s="25">
        <f>D758/$H758</f>
        <v/>
      </c>
      <c r="L758" s="25">
        <f>E758/$H758</f>
        <v/>
      </c>
      <c r="M758" s="25">
        <f>F758/$H758</f>
        <v/>
      </c>
      <c r="N758" s="25">
        <f>G758/$H758</f>
        <v/>
      </c>
      <c r="O758" s="25">
        <f>SUM(MMULT(I758:N758,'07 Annualised Inputs'!$D$7:$D$12))</f>
        <v/>
      </c>
      <c r="P758" s="25">
        <f>SQRT(SUMPRODUCT(MMULT(I758:N758,'07 Annualised Inputs'!$B$17:$G$22),I758:N758))</f>
        <v/>
      </c>
      <c r="Q758" s="37">
        <f>(O758-'02 Config'!$B$10)/P758</f>
        <v/>
      </c>
    </row>
    <row r="759">
      <c r="A759" s="12" t="n">
        <v>754</v>
      </c>
      <c r="B759" s="36" t="n">
        <v>0.7631870823952438</v>
      </c>
      <c r="C759" s="36" t="n">
        <v>0.2452658431092997</v>
      </c>
      <c r="D759" s="36" t="n">
        <v>0.08477474277224473</v>
      </c>
      <c r="E759" s="36" t="n">
        <v>0.4137998098841476</v>
      </c>
      <c r="F759" s="36" t="n">
        <v>0.773379288138484</v>
      </c>
      <c r="G759" s="36" t="n">
        <v>0.8505619435867413</v>
      </c>
      <c r="H759" s="37">
        <f>SUM(B759:G759)</f>
        <v/>
      </c>
      <c r="I759" s="25">
        <f>B759/$H759</f>
        <v/>
      </c>
      <c r="J759" s="25">
        <f>C759/$H759</f>
        <v/>
      </c>
      <c r="K759" s="25">
        <f>D759/$H759</f>
        <v/>
      </c>
      <c r="L759" s="25">
        <f>E759/$H759</f>
        <v/>
      </c>
      <c r="M759" s="25">
        <f>F759/$H759</f>
        <v/>
      </c>
      <c r="N759" s="25">
        <f>G759/$H759</f>
        <v/>
      </c>
      <c r="O759" s="25">
        <f>SUM(MMULT(I759:N759,'07 Annualised Inputs'!$D$7:$D$12))</f>
        <v/>
      </c>
      <c r="P759" s="25">
        <f>SQRT(SUMPRODUCT(MMULT(I759:N759,'07 Annualised Inputs'!$B$17:$G$22),I759:N759))</f>
        <v/>
      </c>
      <c r="Q759" s="37">
        <f>(O759-'02 Config'!$B$10)/P759</f>
        <v/>
      </c>
    </row>
    <row r="760">
      <c r="A760" s="12" t="n">
        <v>755</v>
      </c>
      <c r="B760" s="36" t="n">
        <v>0.7333448483633508</v>
      </c>
      <c r="C760" s="36" t="n">
        <v>0.557886678499744</v>
      </c>
      <c r="D760" s="36" t="n">
        <v>0.7241917017491767</v>
      </c>
      <c r="E760" s="36" t="n">
        <v>0.6813895353038614</v>
      </c>
      <c r="F760" s="36" t="n">
        <v>0.2343666324950608</v>
      </c>
      <c r="G760" s="36" t="n">
        <v>0.5507588922031937</v>
      </c>
      <c r="H760" s="37">
        <f>SUM(B760:G760)</f>
        <v/>
      </c>
      <c r="I760" s="25">
        <f>B760/$H760</f>
        <v/>
      </c>
      <c r="J760" s="25">
        <f>C760/$H760</f>
        <v/>
      </c>
      <c r="K760" s="25">
        <f>D760/$H760</f>
        <v/>
      </c>
      <c r="L760" s="25">
        <f>E760/$H760</f>
        <v/>
      </c>
      <c r="M760" s="25">
        <f>F760/$H760</f>
        <v/>
      </c>
      <c r="N760" s="25">
        <f>G760/$H760</f>
        <v/>
      </c>
      <c r="O760" s="25">
        <f>SUM(MMULT(I760:N760,'07 Annualised Inputs'!$D$7:$D$12))</f>
        <v/>
      </c>
      <c r="P760" s="25">
        <f>SQRT(SUMPRODUCT(MMULT(I760:N760,'07 Annualised Inputs'!$B$17:$G$22),I760:N760))</f>
        <v/>
      </c>
      <c r="Q760" s="37">
        <f>(O760-'02 Config'!$B$10)/P760</f>
        <v/>
      </c>
    </row>
    <row r="761">
      <c r="A761" s="12" t="n">
        <v>756</v>
      </c>
      <c r="B761" s="36" t="n">
        <v>0.770609332638432</v>
      </c>
      <c r="C761" s="36" t="n">
        <v>0.3171206618751382</v>
      </c>
      <c r="D761" s="36" t="n">
        <v>0.6539731467169314</v>
      </c>
      <c r="E761" s="36" t="n">
        <v>0.4814804275187985</v>
      </c>
      <c r="F761" s="36" t="n">
        <v>0.50315885094502</v>
      </c>
      <c r="G761" s="36" t="n">
        <v>0.09005503778215973</v>
      </c>
      <c r="H761" s="37">
        <f>SUM(B761:G761)</f>
        <v/>
      </c>
      <c r="I761" s="25">
        <f>B761/$H761</f>
        <v/>
      </c>
      <c r="J761" s="25">
        <f>C761/$H761</f>
        <v/>
      </c>
      <c r="K761" s="25">
        <f>D761/$H761</f>
        <v/>
      </c>
      <c r="L761" s="25">
        <f>E761/$H761</f>
        <v/>
      </c>
      <c r="M761" s="25">
        <f>F761/$H761</f>
        <v/>
      </c>
      <c r="N761" s="25">
        <f>G761/$H761</f>
        <v/>
      </c>
      <c r="O761" s="25">
        <f>SUM(MMULT(I761:N761,'07 Annualised Inputs'!$D$7:$D$12))</f>
        <v/>
      </c>
      <c r="P761" s="25">
        <f>SQRT(SUMPRODUCT(MMULT(I761:N761,'07 Annualised Inputs'!$B$17:$G$22),I761:N761))</f>
        <v/>
      </c>
      <c r="Q761" s="37">
        <f>(O761-'02 Config'!$B$10)/P761</f>
        <v/>
      </c>
    </row>
    <row r="762">
      <c r="A762" s="12" t="n">
        <v>757</v>
      </c>
      <c r="B762" s="36" t="n">
        <v>0.6662171653053798</v>
      </c>
      <c r="C762" s="36" t="n">
        <v>0.8656870353545201</v>
      </c>
      <c r="D762" s="36" t="n">
        <v>0.1414312880258628</v>
      </c>
      <c r="E762" s="36" t="n">
        <v>0.3661056622164494</v>
      </c>
      <c r="F762" s="36" t="n">
        <v>0.04866745484083501</v>
      </c>
      <c r="G762" s="36" t="n">
        <v>0.0296318859763911</v>
      </c>
      <c r="H762" s="37">
        <f>SUM(B762:G762)</f>
        <v/>
      </c>
      <c r="I762" s="25">
        <f>B762/$H762</f>
        <v/>
      </c>
      <c r="J762" s="25">
        <f>C762/$H762</f>
        <v/>
      </c>
      <c r="K762" s="25">
        <f>D762/$H762</f>
        <v/>
      </c>
      <c r="L762" s="25">
        <f>E762/$H762</f>
        <v/>
      </c>
      <c r="M762" s="25">
        <f>F762/$H762</f>
        <v/>
      </c>
      <c r="N762" s="25">
        <f>G762/$H762</f>
        <v/>
      </c>
      <c r="O762" s="25">
        <f>SUM(MMULT(I762:N762,'07 Annualised Inputs'!$D$7:$D$12))</f>
        <v/>
      </c>
      <c r="P762" s="25">
        <f>SQRT(SUMPRODUCT(MMULT(I762:N762,'07 Annualised Inputs'!$B$17:$G$22),I762:N762))</f>
        <v/>
      </c>
      <c r="Q762" s="37">
        <f>(O762-'02 Config'!$B$10)/P762</f>
        <v/>
      </c>
    </row>
    <row r="763">
      <c r="A763" s="12" t="n">
        <v>758</v>
      </c>
      <c r="B763" s="36" t="n">
        <v>0.9896584966717438</v>
      </c>
      <c r="C763" s="36" t="n">
        <v>0.4934715083063846</v>
      </c>
      <c r="D763" s="36" t="n">
        <v>0.3555190186352464</v>
      </c>
      <c r="E763" s="36" t="n">
        <v>0.2748770766250189</v>
      </c>
      <c r="F763" s="36" t="n">
        <v>0.9800126449449591</v>
      </c>
      <c r="G763" s="36" t="n">
        <v>0.2522507855216837</v>
      </c>
      <c r="H763" s="37">
        <f>SUM(B763:G763)</f>
        <v/>
      </c>
      <c r="I763" s="25">
        <f>B763/$H763</f>
        <v/>
      </c>
      <c r="J763" s="25">
        <f>C763/$H763</f>
        <v/>
      </c>
      <c r="K763" s="25">
        <f>D763/$H763</f>
        <v/>
      </c>
      <c r="L763" s="25">
        <f>E763/$H763</f>
        <v/>
      </c>
      <c r="M763" s="25">
        <f>F763/$H763</f>
        <v/>
      </c>
      <c r="N763" s="25">
        <f>G763/$H763</f>
        <v/>
      </c>
      <c r="O763" s="25">
        <f>SUM(MMULT(I763:N763,'07 Annualised Inputs'!$D$7:$D$12))</f>
        <v/>
      </c>
      <c r="P763" s="25">
        <f>SQRT(SUMPRODUCT(MMULT(I763:N763,'07 Annualised Inputs'!$B$17:$G$22),I763:N763))</f>
        <v/>
      </c>
      <c r="Q763" s="37">
        <f>(O763-'02 Config'!$B$10)/P763</f>
        <v/>
      </c>
    </row>
    <row r="764">
      <c r="A764" s="12" t="n">
        <v>759</v>
      </c>
      <c r="B764" s="36" t="n">
        <v>0.7257083957377433</v>
      </c>
      <c r="C764" s="36" t="n">
        <v>0.2837580958059338</v>
      </c>
      <c r="D764" s="36" t="n">
        <v>0.07048950535691911</v>
      </c>
      <c r="E764" s="36" t="n">
        <v>0.6832766145179413</v>
      </c>
      <c r="F764" s="36" t="n">
        <v>0.001630847629864873</v>
      </c>
      <c r="G764" s="36" t="n">
        <v>0.6757485115605695</v>
      </c>
      <c r="H764" s="37">
        <f>SUM(B764:G764)</f>
        <v/>
      </c>
      <c r="I764" s="25">
        <f>B764/$H764</f>
        <v/>
      </c>
      <c r="J764" s="25">
        <f>C764/$H764</f>
        <v/>
      </c>
      <c r="K764" s="25">
        <f>D764/$H764</f>
        <v/>
      </c>
      <c r="L764" s="25">
        <f>E764/$H764</f>
        <v/>
      </c>
      <c r="M764" s="25">
        <f>F764/$H764</f>
        <v/>
      </c>
      <c r="N764" s="25">
        <f>G764/$H764</f>
        <v/>
      </c>
      <c r="O764" s="25">
        <f>SUM(MMULT(I764:N764,'07 Annualised Inputs'!$D$7:$D$12))</f>
        <v/>
      </c>
      <c r="P764" s="25">
        <f>SQRT(SUMPRODUCT(MMULT(I764:N764,'07 Annualised Inputs'!$B$17:$G$22),I764:N764))</f>
        <v/>
      </c>
      <c r="Q764" s="37">
        <f>(O764-'02 Config'!$B$10)/P764</f>
        <v/>
      </c>
    </row>
    <row r="765">
      <c r="A765" s="12" t="n">
        <v>760</v>
      </c>
      <c r="B765" s="36" t="n">
        <v>0.2503765989898231</v>
      </c>
      <c r="C765" s="36" t="n">
        <v>0.7461042320715012</v>
      </c>
      <c r="D765" s="36" t="n">
        <v>0.7697501673506494</v>
      </c>
      <c r="E765" s="36" t="n">
        <v>0.7241072388175379</v>
      </c>
      <c r="F765" s="36" t="n">
        <v>0.02448344146761039</v>
      </c>
      <c r="G765" s="36" t="n">
        <v>0.7037366196437684</v>
      </c>
      <c r="H765" s="37">
        <f>SUM(B765:G765)</f>
        <v/>
      </c>
      <c r="I765" s="25">
        <f>B765/$H765</f>
        <v/>
      </c>
      <c r="J765" s="25">
        <f>C765/$H765</f>
        <v/>
      </c>
      <c r="K765" s="25">
        <f>D765/$H765</f>
        <v/>
      </c>
      <c r="L765" s="25">
        <f>E765/$H765</f>
        <v/>
      </c>
      <c r="M765" s="25">
        <f>F765/$H765</f>
        <v/>
      </c>
      <c r="N765" s="25">
        <f>G765/$H765</f>
        <v/>
      </c>
      <c r="O765" s="25">
        <f>SUM(MMULT(I765:N765,'07 Annualised Inputs'!$D$7:$D$12))</f>
        <v/>
      </c>
      <c r="P765" s="25">
        <f>SQRT(SUMPRODUCT(MMULT(I765:N765,'07 Annualised Inputs'!$B$17:$G$22),I765:N765))</f>
        <v/>
      </c>
      <c r="Q765" s="37">
        <f>(O765-'02 Config'!$B$10)/P765</f>
        <v/>
      </c>
    </row>
    <row r="766">
      <c r="A766" s="12" t="n">
        <v>761</v>
      </c>
      <c r="B766" s="36" t="n">
        <v>0.9901456140557632</v>
      </c>
      <c r="C766" s="36" t="n">
        <v>0.2426253685256229</v>
      </c>
      <c r="D766" s="36" t="n">
        <v>0.2742385722253385</v>
      </c>
      <c r="E766" s="36" t="n">
        <v>0.8135265495805395</v>
      </c>
      <c r="F766" s="36" t="n">
        <v>0.1603968050560806</v>
      </c>
      <c r="G766" s="36" t="n">
        <v>0.6605836755045515</v>
      </c>
      <c r="H766" s="37">
        <f>SUM(B766:G766)</f>
        <v/>
      </c>
      <c r="I766" s="25">
        <f>B766/$H766</f>
        <v/>
      </c>
      <c r="J766" s="25">
        <f>C766/$H766</f>
        <v/>
      </c>
      <c r="K766" s="25">
        <f>D766/$H766</f>
        <v/>
      </c>
      <c r="L766" s="25">
        <f>E766/$H766</f>
        <v/>
      </c>
      <c r="M766" s="25">
        <f>F766/$H766</f>
        <v/>
      </c>
      <c r="N766" s="25">
        <f>G766/$H766</f>
        <v/>
      </c>
      <c r="O766" s="25">
        <f>SUM(MMULT(I766:N766,'07 Annualised Inputs'!$D$7:$D$12))</f>
        <v/>
      </c>
      <c r="P766" s="25">
        <f>SQRT(SUMPRODUCT(MMULT(I766:N766,'07 Annualised Inputs'!$B$17:$G$22),I766:N766))</f>
        <v/>
      </c>
      <c r="Q766" s="37">
        <f>(O766-'02 Config'!$B$10)/P766</f>
        <v/>
      </c>
    </row>
    <row r="767">
      <c r="A767" s="12" t="n">
        <v>762</v>
      </c>
      <c r="B767" s="36" t="n">
        <v>0.7550263775005784</v>
      </c>
      <c r="C767" s="36" t="n">
        <v>0.03716066181935718</v>
      </c>
      <c r="D767" s="36" t="n">
        <v>0.5537620942652262</v>
      </c>
      <c r="E767" s="36" t="n">
        <v>0.5758772585358829</v>
      </c>
      <c r="F767" s="36" t="n">
        <v>0.3034428973917942</v>
      </c>
      <c r="G767" s="36" t="n">
        <v>0.8763446693975172</v>
      </c>
      <c r="H767" s="37">
        <f>SUM(B767:G767)</f>
        <v/>
      </c>
      <c r="I767" s="25">
        <f>B767/$H767</f>
        <v/>
      </c>
      <c r="J767" s="25">
        <f>C767/$H767</f>
        <v/>
      </c>
      <c r="K767" s="25">
        <f>D767/$H767</f>
        <v/>
      </c>
      <c r="L767" s="25">
        <f>E767/$H767</f>
        <v/>
      </c>
      <c r="M767" s="25">
        <f>F767/$H767</f>
        <v/>
      </c>
      <c r="N767" s="25">
        <f>G767/$H767</f>
        <v/>
      </c>
      <c r="O767" s="25">
        <f>SUM(MMULT(I767:N767,'07 Annualised Inputs'!$D$7:$D$12))</f>
        <v/>
      </c>
      <c r="P767" s="25">
        <f>SQRT(SUMPRODUCT(MMULT(I767:N767,'07 Annualised Inputs'!$B$17:$G$22),I767:N767))</f>
        <v/>
      </c>
      <c r="Q767" s="37">
        <f>(O767-'02 Config'!$B$10)/P767</f>
        <v/>
      </c>
    </row>
    <row r="768">
      <c r="A768" s="12" t="n">
        <v>763</v>
      </c>
      <c r="B768" s="36" t="n">
        <v>0.1627497192998564</v>
      </c>
      <c r="C768" s="36" t="n">
        <v>0.3641947095058605</v>
      </c>
      <c r="D768" s="36" t="n">
        <v>0.8486686871473293</v>
      </c>
      <c r="E768" s="36" t="n">
        <v>0.1906427566059925</v>
      </c>
      <c r="F768" s="36" t="n">
        <v>0.821374136327675</v>
      </c>
      <c r="G768" s="36" t="n">
        <v>0.07906917736795571</v>
      </c>
      <c r="H768" s="37">
        <f>SUM(B768:G768)</f>
        <v/>
      </c>
      <c r="I768" s="25">
        <f>B768/$H768</f>
        <v/>
      </c>
      <c r="J768" s="25">
        <f>C768/$H768</f>
        <v/>
      </c>
      <c r="K768" s="25">
        <f>D768/$H768</f>
        <v/>
      </c>
      <c r="L768" s="25">
        <f>E768/$H768</f>
        <v/>
      </c>
      <c r="M768" s="25">
        <f>F768/$H768</f>
        <v/>
      </c>
      <c r="N768" s="25">
        <f>G768/$H768</f>
        <v/>
      </c>
      <c r="O768" s="25">
        <f>SUM(MMULT(I768:N768,'07 Annualised Inputs'!$D$7:$D$12))</f>
        <v/>
      </c>
      <c r="P768" s="25">
        <f>SQRT(SUMPRODUCT(MMULT(I768:N768,'07 Annualised Inputs'!$B$17:$G$22),I768:N768))</f>
        <v/>
      </c>
      <c r="Q768" s="37">
        <f>(O768-'02 Config'!$B$10)/P768</f>
        <v/>
      </c>
    </row>
    <row r="769">
      <c r="A769" s="12" t="n">
        <v>764</v>
      </c>
      <c r="B769" s="36" t="n">
        <v>0.48922906718999</v>
      </c>
      <c r="C769" s="36" t="n">
        <v>0.07533066244570341</v>
      </c>
      <c r="D769" s="36" t="n">
        <v>0.6779035850615143</v>
      </c>
      <c r="E769" s="36" t="n">
        <v>0.7906014890556002</v>
      </c>
      <c r="F769" s="36" t="n">
        <v>0.8498585482468028</v>
      </c>
      <c r="G769" s="36" t="n">
        <v>0.9812622507439888</v>
      </c>
      <c r="H769" s="37">
        <f>SUM(B769:G769)</f>
        <v/>
      </c>
      <c r="I769" s="25">
        <f>B769/$H769</f>
        <v/>
      </c>
      <c r="J769" s="25">
        <f>C769/$H769</f>
        <v/>
      </c>
      <c r="K769" s="25">
        <f>D769/$H769</f>
        <v/>
      </c>
      <c r="L769" s="25">
        <f>E769/$H769</f>
        <v/>
      </c>
      <c r="M769" s="25">
        <f>F769/$H769</f>
        <v/>
      </c>
      <c r="N769" s="25">
        <f>G769/$H769</f>
        <v/>
      </c>
      <c r="O769" s="25">
        <f>SUM(MMULT(I769:N769,'07 Annualised Inputs'!$D$7:$D$12))</f>
        <v/>
      </c>
      <c r="P769" s="25">
        <f>SQRT(SUMPRODUCT(MMULT(I769:N769,'07 Annualised Inputs'!$B$17:$G$22),I769:N769))</f>
        <v/>
      </c>
      <c r="Q769" s="37">
        <f>(O769-'02 Config'!$B$10)/P769</f>
        <v/>
      </c>
    </row>
    <row r="770">
      <c r="A770" s="12" t="n">
        <v>765</v>
      </c>
      <c r="B770" s="36" t="n">
        <v>0.6720157222995868</v>
      </c>
      <c r="C770" s="36" t="n">
        <v>0.7690619138400203</v>
      </c>
      <c r="D770" s="36" t="n">
        <v>0.5057582783213294</v>
      </c>
      <c r="E770" s="36" t="n">
        <v>0.9127369011811262</v>
      </c>
      <c r="F770" s="36" t="n">
        <v>0.6437583821994626</v>
      </c>
      <c r="G770" s="36" t="n">
        <v>0.8835514062513434</v>
      </c>
      <c r="H770" s="37">
        <f>SUM(B770:G770)</f>
        <v/>
      </c>
      <c r="I770" s="25">
        <f>B770/$H770</f>
        <v/>
      </c>
      <c r="J770" s="25">
        <f>C770/$H770</f>
        <v/>
      </c>
      <c r="K770" s="25">
        <f>D770/$H770</f>
        <v/>
      </c>
      <c r="L770" s="25">
        <f>E770/$H770</f>
        <v/>
      </c>
      <c r="M770" s="25">
        <f>F770/$H770</f>
        <v/>
      </c>
      <c r="N770" s="25">
        <f>G770/$H770</f>
        <v/>
      </c>
      <c r="O770" s="25">
        <f>SUM(MMULT(I770:N770,'07 Annualised Inputs'!$D$7:$D$12))</f>
        <v/>
      </c>
      <c r="P770" s="25">
        <f>SQRT(SUMPRODUCT(MMULT(I770:N770,'07 Annualised Inputs'!$B$17:$G$22),I770:N770))</f>
        <v/>
      </c>
      <c r="Q770" s="37">
        <f>(O770-'02 Config'!$B$10)/P770</f>
        <v/>
      </c>
    </row>
    <row r="771">
      <c r="A771" s="12" t="n">
        <v>766</v>
      </c>
      <c r="B771" s="36" t="n">
        <v>0.2354520170138809</v>
      </c>
      <c r="C771" s="36" t="n">
        <v>0.4967377807180643</v>
      </c>
      <c r="D771" s="36" t="n">
        <v>0.729818921063804</v>
      </c>
      <c r="E771" s="36" t="n">
        <v>0.2027217545626833</v>
      </c>
      <c r="F771" s="36" t="n">
        <v>0.2113397932619783</v>
      </c>
      <c r="G771" s="36" t="n">
        <v>0.9780427404056374</v>
      </c>
      <c r="H771" s="37">
        <f>SUM(B771:G771)</f>
        <v/>
      </c>
      <c r="I771" s="25">
        <f>B771/$H771</f>
        <v/>
      </c>
      <c r="J771" s="25">
        <f>C771/$H771</f>
        <v/>
      </c>
      <c r="K771" s="25">
        <f>D771/$H771</f>
        <v/>
      </c>
      <c r="L771" s="25">
        <f>E771/$H771</f>
        <v/>
      </c>
      <c r="M771" s="25">
        <f>F771/$H771</f>
        <v/>
      </c>
      <c r="N771" s="25">
        <f>G771/$H771</f>
        <v/>
      </c>
      <c r="O771" s="25">
        <f>SUM(MMULT(I771:N771,'07 Annualised Inputs'!$D$7:$D$12))</f>
        <v/>
      </c>
      <c r="P771" s="25">
        <f>SQRT(SUMPRODUCT(MMULT(I771:N771,'07 Annualised Inputs'!$B$17:$G$22),I771:N771))</f>
        <v/>
      </c>
      <c r="Q771" s="37">
        <f>(O771-'02 Config'!$B$10)/P771</f>
        <v/>
      </c>
    </row>
    <row r="772">
      <c r="A772" s="12" t="n">
        <v>767</v>
      </c>
      <c r="B772" s="36" t="n">
        <v>0.434610360737206</v>
      </c>
      <c r="C772" s="36" t="n">
        <v>0.1818154529237717</v>
      </c>
      <c r="D772" s="36" t="n">
        <v>0.331463881981506</v>
      </c>
      <c r="E772" s="36" t="n">
        <v>0.3973761482659256</v>
      </c>
      <c r="F772" s="36" t="n">
        <v>0.6230852574702211</v>
      </c>
      <c r="G772" s="36" t="n">
        <v>0.9230146590477525</v>
      </c>
      <c r="H772" s="37">
        <f>SUM(B772:G772)</f>
        <v/>
      </c>
      <c r="I772" s="25">
        <f>B772/$H772</f>
        <v/>
      </c>
      <c r="J772" s="25">
        <f>C772/$H772</f>
        <v/>
      </c>
      <c r="K772" s="25">
        <f>D772/$H772</f>
        <v/>
      </c>
      <c r="L772" s="25">
        <f>E772/$H772</f>
        <v/>
      </c>
      <c r="M772" s="25">
        <f>F772/$H772</f>
        <v/>
      </c>
      <c r="N772" s="25">
        <f>G772/$H772</f>
        <v/>
      </c>
      <c r="O772" s="25">
        <f>SUM(MMULT(I772:N772,'07 Annualised Inputs'!$D$7:$D$12))</f>
        <v/>
      </c>
      <c r="P772" s="25">
        <f>SQRT(SUMPRODUCT(MMULT(I772:N772,'07 Annualised Inputs'!$B$17:$G$22),I772:N772))</f>
        <v/>
      </c>
      <c r="Q772" s="37">
        <f>(O772-'02 Config'!$B$10)/P772</f>
        <v/>
      </c>
    </row>
    <row r="773">
      <c r="A773" s="12" t="n">
        <v>768</v>
      </c>
      <c r="B773" s="36" t="n">
        <v>0.986590075922091</v>
      </c>
      <c r="C773" s="36" t="n">
        <v>0.6516987589111125</v>
      </c>
      <c r="D773" s="36" t="n">
        <v>0.6999223607977247</v>
      </c>
      <c r="E773" s="36" t="n">
        <v>0.321829169696589</v>
      </c>
      <c r="F773" s="36" t="n">
        <v>0.8571585954487491</v>
      </c>
      <c r="G773" s="36" t="n">
        <v>0.2177983352203149</v>
      </c>
      <c r="H773" s="37">
        <f>SUM(B773:G773)</f>
        <v/>
      </c>
      <c r="I773" s="25">
        <f>B773/$H773</f>
        <v/>
      </c>
      <c r="J773" s="25">
        <f>C773/$H773</f>
        <v/>
      </c>
      <c r="K773" s="25">
        <f>D773/$H773</f>
        <v/>
      </c>
      <c r="L773" s="25">
        <f>E773/$H773</f>
        <v/>
      </c>
      <c r="M773" s="25">
        <f>F773/$H773</f>
        <v/>
      </c>
      <c r="N773" s="25">
        <f>G773/$H773</f>
        <v/>
      </c>
      <c r="O773" s="25">
        <f>SUM(MMULT(I773:N773,'07 Annualised Inputs'!$D$7:$D$12))</f>
        <v/>
      </c>
      <c r="P773" s="25">
        <f>SQRT(SUMPRODUCT(MMULT(I773:N773,'07 Annualised Inputs'!$B$17:$G$22),I773:N773))</f>
        <v/>
      </c>
      <c r="Q773" s="37">
        <f>(O773-'02 Config'!$B$10)/P773</f>
        <v/>
      </c>
    </row>
    <row r="774">
      <c r="A774" s="12" t="n">
        <v>769</v>
      </c>
      <c r="B774" s="36" t="n">
        <v>0.1063806493109676</v>
      </c>
      <c r="C774" s="36" t="n">
        <v>0.9732559900976508</v>
      </c>
      <c r="D774" s="36" t="n">
        <v>0.8641386768205322</v>
      </c>
      <c r="E774" s="36" t="n">
        <v>0.3036451345381334</v>
      </c>
      <c r="F774" s="36" t="n">
        <v>0.6751707163810492</v>
      </c>
      <c r="G774" s="36" t="n">
        <v>0.4670183574131995</v>
      </c>
      <c r="H774" s="37">
        <f>SUM(B774:G774)</f>
        <v/>
      </c>
      <c r="I774" s="25">
        <f>B774/$H774</f>
        <v/>
      </c>
      <c r="J774" s="25">
        <f>C774/$H774</f>
        <v/>
      </c>
      <c r="K774" s="25">
        <f>D774/$H774</f>
        <v/>
      </c>
      <c r="L774" s="25">
        <f>E774/$H774</f>
        <v/>
      </c>
      <c r="M774" s="25">
        <f>F774/$H774</f>
        <v/>
      </c>
      <c r="N774" s="25">
        <f>G774/$H774</f>
        <v/>
      </c>
      <c r="O774" s="25">
        <f>SUM(MMULT(I774:N774,'07 Annualised Inputs'!$D$7:$D$12))</f>
        <v/>
      </c>
      <c r="P774" s="25">
        <f>SQRT(SUMPRODUCT(MMULT(I774:N774,'07 Annualised Inputs'!$B$17:$G$22),I774:N774))</f>
        <v/>
      </c>
      <c r="Q774" s="37">
        <f>(O774-'02 Config'!$B$10)/P774</f>
        <v/>
      </c>
    </row>
    <row r="775">
      <c r="A775" s="12" t="n">
        <v>770</v>
      </c>
      <c r="B775" s="36" t="n">
        <v>0.3231282061454709</v>
      </c>
      <c r="C775" s="36" t="n">
        <v>0.2867742107602949</v>
      </c>
      <c r="D775" s="36" t="n">
        <v>0.1360274452209065</v>
      </c>
      <c r="E775" s="36" t="n">
        <v>0.5493180822758392</v>
      </c>
      <c r="F775" s="36" t="n">
        <v>0.4465966901175078</v>
      </c>
      <c r="G775" s="36" t="n">
        <v>0.5121864202999443</v>
      </c>
      <c r="H775" s="37">
        <f>SUM(B775:G775)</f>
        <v/>
      </c>
      <c r="I775" s="25">
        <f>B775/$H775</f>
        <v/>
      </c>
      <c r="J775" s="25">
        <f>C775/$H775</f>
        <v/>
      </c>
      <c r="K775" s="25">
        <f>D775/$H775</f>
        <v/>
      </c>
      <c r="L775" s="25">
        <f>E775/$H775</f>
        <v/>
      </c>
      <c r="M775" s="25">
        <f>F775/$H775</f>
        <v/>
      </c>
      <c r="N775" s="25">
        <f>G775/$H775</f>
        <v/>
      </c>
      <c r="O775" s="25">
        <f>SUM(MMULT(I775:N775,'07 Annualised Inputs'!$D$7:$D$12))</f>
        <v/>
      </c>
      <c r="P775" s="25">
        <f>SQRT(SUMPRODUCT(MMULT(I775:N775,'07 Annualised Inputs'!$B$17:$G$22),I775:N775))</f>
        <v/>
      </c>
      <c r="Q775" s="37">
        <f>(O775-'02 Config'!$B$10)/P775</f>
        <v/>
      </c>
    </row>
    <row r="776">
      <c r="A776" s="12" t="n">
        <v>771</v>
      </c>
      <c r="B776" s="36" t="n">
        <v>0.2153571674794045</v>
      </c>
      <c r="C776" s="36" t="n">
        <v>0.9386106707732477</v>
      </c>
      <c r="D776" s="36" t="n">
        <v>0.6385911963305415</v>
      </c>
      <c r="E776" s="36" t="n">
        <v>0.8996006573833368</v>
      </c>
      <c r="F776" s="36" t="n">
        <v>0.1092711660327554</v>
      </c>
      <c r="G776" s="36" t="n">
        <v>0.6228509658561748</v>
      </c>
      <c r="H776" s="37">
        <f>SUM(B776:G776)</f>
        <v/>
      </c>
      <c r="I776" s="25">
        <f>B776/$H776</f>
        <v/>
      </c>
      <c r="J776" s="25">
        <f>C776/$H776</f>
        <v/>
      </c>
      <c r="K776" s="25">
        <f>D776/$H776</f>
        <v/>
      </c>
      <c r="L776" s="25">
        <f>E776/$H776</f>
        <v/>
      </c>
      <c r="M776" s="25">
        <f>F776/$H776</f>
        <v/>
      </c>
      <c r="N776" s="25">
        <f>G776/$H776</f>
        <v/>
      </c>
      <c r="O776" s="25">
        <f>SUM(MMULT(I776:N776,'07 Annualised Inputs'!$D$7:$D$12))</f>
        <v/>
      </c>
      <c r="P776" s="25">
        <f>SQRT(SUMPRODUCT(MMULT(I776:N776,'07 Annualised Inputs'!$B$17:$G$22),I776:N776))</f>
        <v/>
      </c>
      <c r="Q776" s="37">
        <f>(O776-'02 Config'!$B$10)/P776</f>
        <v/>
      </c>
    </row>
    <row r="777">
      <c r="A777" s="12" t="n">
        <v>772</v>
      </c>
      <c r="B777" s="36" t="n">
        <v>0.8494618186441611</v>
      </c>
      <c r="C777" s="36" t="n">
        <v>0.3309207798144667</v>
      </c>
      <c r="D777" s="36" t="n">
        <v>0.1951431691359864</v>
      </c>
      <c r="E777" s="36" t="n">
        <v>0.2650213058056197</v>
      </c>
      <c r="F777" s="36" t="n">
        <v>0.272933726749799</v>
      </c>
      <c r="G777" s="36" t="n">
        <v>0.4471989649235352</v>
      </c>
      <c r="H777" s="37">
        <f>SUM(B777:G777)</f>
        <v/>
      </c>
      <c r="I777" s="25">
        <f>B777/$H777</f>
        <v/>
      </c>
      <c r="J777" s="25">
        <f>C777/$H777</f>
        <v/>
      </c>
      <c r="K777" s="25">
        <f>D777/$H777</f>
        <v/>
      </c>
      <c r="L777" s="25">
        <f>E777/$H777</f>
        <v/>
      </c>
      <c r="M777" s="25">
        <f>F777/$H777</f>
        <v/>
      </c>
      <c r="N777" s="25">
        <f>G777/$H777</f>
        <v/>
      </c>
      <c r="O777" s="25">
        <f>SUM(MMULT(I777:N777,'07 Annualised Inputs'!$D$7:$D$12))</f>
        <v/>
      </c>
      <c r="P777" s="25">
        <f>SQRT(SUMPRODUCT(MMULT(I777:N777,'07 Annualised Inputs'!$B$17:$G$22),I777:N777))</f>
        <v/>
      </c>
      <c r="Q777" s="37">
        <f>(O777-'02 Config'!$B$10)/P777</f>
        <v/>
      </c>
    </row>
    <row r="778">
      <c r="A778" s="12" t="n">
        <v>773</v>
      </c>
      <c r="B778" s="36" t="n">
        <v>0.3259636027793316</v>
      </c>
      <c r="C778" s="36" t="n">
        <v>0.2712740727079913</v>
      </c>
      <c r="D778" s="36" t="n">
        <v>0.6485122984051379</v>
      </c>
      <c r="E778" s="36" t="n">
        <v>0.05303237167188446</v>
      </c>
      <c r="F778" s="36" t="n">
        <v>0.34036377813973</v>
      </c>
      <c r="G778" s="36" t="n">
        <v>0.6897519659404748</v>
      </c>
      <c r="H778" s="37">
        <f>SUM(B778:G778)</f>
        <v/>
      </c>
      <c r="I778" s="25">
        <f>B778/$H778</f>
        <v/>
      </c>
      <c r="J778" s="25">
        <f>C778/$H778</f>
        <v/>
      </c>
      <c r="K778" s="25">
        <f>D778/$H778</f>
        <v/>
      </c>
      <c r="L778" s="25">
        <f>E778/$H778</f>
        <v/>
      </c>
      <c r="M778" s="25">
        <f>F778/$H778</f>
        <v/>
      </c>
      <c r="N778" s="25">
        <f>G778/$H778</f>
        <v/>
      </c>
      <c r="O778" s="25">
        <f>SUM(MMULT(I778:N778,'07 Annualised Inputs'!$D$7:$D$12))</f>
        <v/>
      </c>
      <c r="P778" s="25">
        <f>SQRT(SUMPRODUCT(MMULT(I778:N778,'07 Annualised Inputs'!$B$17:$G$22),I778:N778))</f>
        <v/>
      </c>
      <c r="Q778" s="37">
        <f>(O778-'02 Config'!$B$10)/P778</f>
        <v/>
      </c>
    </row>
    <row r="779">
      <c r="A779" s="12" t="n">
        <v>774</v>
      </c>
      <c r="B779" s="36" t="n">
        <v>0.1758497492810059</v>
      </c>
      <c r="C779" s="36" t="n">
        <v>0.2209278622129124</v>
      </c>
      <c r="D779" s="36" t="n">
        <v>0.2006666254129175</v>
      </c>
      <c r="E779" s="36" t="n">
        <v>0.0009261067314049187</v>
      </c>
      <c r="F779" s="36" t="n">
        <v>0.4737677518315727</v>
      </c>
      <c r="G779" s="36" t="n">
        <v>0.03895878941612319</v>
      </c>
      <c r="H779" s="37">
        <f>SUM(B779:G779)</f>
        <v/>
      </c>
      <c r="I779" s="25">
        <f>B779/$H779</f>
        <v/>
      </c>
      <c r="J779" s="25">
        <f>C779/$H779</f>
        <v/>
      </c>
      <c r="K779" s="25">
        <f>D779/$H779</f>
        <v/>
      </c>
      <c r="L779" s="25">
        <f>E779/$H779</f>
        <v/>
      </c>
      <c r="M779" s="25">
        <f>F779/$H779</f>
        <v/>
      </c>
      <c r="N779" s="25">
        <f>G779/$H779</f>
        <v/>
      </c>
      <c r="O779" s="25">
        <f>SUM(MMULT(I779:N779,'07 Annualised Inputs'!$D$7:$D$12))</f>
        <v/>
      </c>
      <c r="P779" s="25">
        <f>SQRT(SUMPRODUCT(MMULT(I779:N779,'07 Annualised Inputs'!$B$17:$G$22),I779:N779))</f>
        <v/>
      </c>
      <c r="Q779" s="37">
        <f>(O779-'02 Config'!$B$10)/P779</f>
        <v/>
      </c>
    </row>
    <row r="780">
      <c r="A780" s="12" t="n">
        <v>775</v>
      </c>
      <c r="B780" s="36" t="n">
        <v>0.2729398117749001</v>
      </c>
      <c r="C780" s="36" t="n">
        <v>0.9948034245919716</v>
      </c>
      <c r="D780" s="36" t="n">
        <v>0.9183962113902998</v>
      </c>
      <c r="E780" s="36" t="n">
        <v>0.2150758081563342</v>
      </c>
      <c r="F780" s="36" t="n">
        <v>0.3100024319139327</v>
      </c>
      <c r="G780" s="36" t="n">
        <v>0.4637045822685515</v>
      </c>
      <c r="H780" s="37">
        <f>SUM(B780:G780)</f>
        <v/>
      </c>
      <c r="I780" s="25">
        <f>B780/$H780</f>
        <v/>
      </c>
      <c r="J780" s="25">
        <f>C780/$H780</f>
        <v/>
      </c>
      <c r="K780" s="25">
        <f>D780/$H780</f>
        <v/>
      </c>
      <c r="L780" s="25">
        <f>E780/$H780</f>
        <v/>
      </c>
      <c r="M780" s="25">
        <f>F780/$H780</f>
        <v/>
      </c>
      <c r="N780" s="25">
        <f>G780/$H780</f>
        <v/>
      </c>
      <c r="O780" s="25">
        <f>SUM(MMULT(I780:N780,'07 Annualised Inputs'!$D$7:$D$12))</f>
        <v/>
      </c>
      <c r="P780" s="25">
        <f>SQRT(SUMPRODUCT(MMULT(I780:N780,'07 Annualised Inputs'!$B$17:$G$22),I780:N780))</f>
        <v/>
      </c>
      <c r="Q780" s="37">
        <f>(O780-'02 Config'!$B$10)/P780</f>
        <v/>
      </c>
    </row>
    <row r="781">
      <c r="A781" s="12" t="n">
        <v>776</v>
      </c>
      <c r="B781" s="36" t="n">
        <v>0.8444135466592435</v>
      </c>
      <c r="C781" s="36" t="n">
        <v>0.8026459413930911</v>
      </c>
      <c r="D781" s="36" t="n">
        <v>0.1262414365662822</v>
      </c>
      <c r="E781" s="36" t="n">
        <v>0.1244488483483521</v>
      </c>
      <c r="F781" s="36" t="n">
        <v>0.4167322538940447</v>
      </c>
      <c r="G781" s="36" t="n">
        <v>0.8700953896137721</v>
      </c>
      <c r="H781" s="37">
        <f>SUM(B781:G781)</f>
        <v/>
      </c>
      <c r="I781" s="25">
        <f>B781/$H781</f>
        <v/>
      </c>
      <c r="J781" s="25">
        <f>C781/$H781</f>
        <v/>
      </c>
      <c r="K781" s="25">
        <f>D781/$H781</f>
        <v/>
      </c>
      <c r="L781" s="25">
        <f>E781/$H781</f>
        <v/>
      </c>
      <c r="M781" s="25">
        <f>F781/$H781</f>
        <v/>
      </c>
      <c r="N781" s="25">
        <f>G781/$H781</f>
        <v/>
      </c>
      <c r="O781" s="25">
        <f>SUM(MMULT(I781:N781,'07 Annualised Inputs'!$D$7:$D$12))</f>
        <v/>
      </c>
      <c r="P781" s="25">
        <f>SQRT(SUMPRODUCT(MMULT(I781:N781,'07 Annualised Inputs'!$B$17:$G$22),I781:N781))</f>
        <v/>
      </c>
      <c r="Q781" s="37">
        <f>(O781-'02 Config'!$B$10)/P781</f>
        <v/>
      </c>
    </row>
    <row r="782">
      <c r="A782" s="12" t="n">
        <v>777</v>
      </c>
      <c r="B782" s="36" t="n">
        <v>0.8820849990955023</v>
      </c>
      <c r="C782" s="36" t="n">
        <v>0.1073658496865302</v>
      </c>
      <c r="D782" s="36" t="n">
        <v>0.5742972879655516</v>
      </c>
      <c r="E782" s="36" t="n">
        <v>0.1556751971251129</v>
      </c>
      <c r="F782" s="36" t="n">
        <v>0.6861293100027828</v>
      </c>
      <c r="G782" s="36" t="n">
        <v>0.9164332479289065</v>
      </c>
      <c r="H782" s="37">
        <f>SUM(B782:G782)</f>
        <v/>
      </c>
      <c r="I782" s="25">
        <f>B782/$H782</f>
        <v/>
      </c>
      <c r="J782" s="25">
        <f>C782/$H782</f>
        <v/>
      </c>
      <c r="K782" s="25">
        <f>D782/$H782</f>
        <v/>
      </c>
      <c r="L782" s="25">
        <f>E782/$H782</f>
        <v/>
      </c>
      <c r="M782" s="25">
        <f>F782/$H782</f>
        <v/>
      </c>
      <c r="N782" s="25">
        <f>G782/$H782</f>
        <v/>
      </c>
      <c r="O782" s="25">
        <f>SUM(MMULT(I782:N782,'07 Annualised Inputs'!$D$7:$D$12))</f>
        <v/>
      </c>
      <c r="P782" s="25">
        <f>SQRT(SUMPRODUCT(MMULT(I782:N782,'07 Annualised Inputs'!$B$17:$G$22),I782:N782))</f>
        <v/>
      </c>
      <c r="Q782" s="37">
        <f>(O782-'02 Config'!$B$10)/P782</f>
        <v/>
      </c>
    </row>
    <row r="783">
      <c r="A783" s="12" t="n">
        <v>778</v>
      </c>
      <c r="B783" s="36" t="n">
        <v>0.4547692924755936</v>
      </c>
      <c r="C783" s="36" t="n">
        <v>0.0830827746920515</v>
      </c>
      <c r="D783" s="36" t="n">
        <v>0.5792541958945455</v>
      </c>
      <c r="E783" s="36" t="n">
        <v>0.4085166701358547</v>
      </c>
      <c r="F783" s="36" t="n">
        <v>0.8108987523339602</v>
      </c>
      <c r="G783" s="36" t="n">
        <v>0.3403444639263877</v>
      </c>
      <c r="H783" s="37">
        <f>SUM(B783:G783)</f>
        <v/>
      </c>
      <c r="I783" s="25">
        <f>B783/$H783</f>
        <v/>
      </c>
      <c r="J783" s="25">
        <f>C783/$H783</f>
        <v/>
      </c>
      <c r="K783" s="25">
        <f>D783/$H783</f>
        <v/>
      </c>
      <c r="L783" s="25">
        <f>E783/$H783</f>
        <v/>
      </c>
      <c r="M783" s="25">
        <f>F783/$H783</f>
        <v/>
      </c>
      <c r="N783" s="25">
        <f>G783/$H783</f>
        <v/>
      </c>
      <c r="O783" s="25">
        <f>SUM(MMULT(I783:N783,'07 Annualised Inputs'!$D$7:$D$12))</f>
        <v/>
      </c>
      <c r="P783" s="25">
        <f>SQRT(SUMPRODUCT(MMULT(I783:N783,'07 Annualised Inputs'!$B$17:$G$22),I783:N783))</f>
        <v/>
      </c>
      <c r="Q783" s="37">
        <f>(O783-'02 Config'!$B$10)/P783</f>
        <v/>
      </c>
    </row>
    <row r="784">
      <c r="A784" s="12" t="n">
        <v>779</v>
      </c>
      <c r="B784" s="36" t="n">
        <v>0.8748972004725892</v>
      </c>
      <c r="C784" s="36" t="n">
        <v>0.2737004076347849</v>
      </c>
      <c r="D784" s="36" t="n">
        <v>0.1575176358886859</v>
      </c>
      <c r="E784" s="36" t="n">
        <v>0.3064803773185799</v>
      </c>
      <c r="F784" s="36" t="n">
        <v>0.03491579182274651</v>
      </c>
      <c r="G784" s="36" t="n">
        <v>0.2812459668742413</v>
      </c>
      <c r="H784" s="37">
        <f>SUM(B784:G784)</f>
        <v/>
      </c>
      <c r="I784" s="25">
        <f>B784/$H784</f>
        <v/>
      </c>
      <c r="J784" s="25">
        <f>C784/$H784</f>
        <v/>
      </c>
      <c r="K784" s="25">
        <f>D784/$H784</f>
        <v/>
      </c>
      <c r="L784" s="25">
        <f>E784/$H784</f>
        <v/>
      </c>
      <c r="M784" s="25">
        <f>F784/$H784</f>
        <v/>
      </c>
      <c r="N784" s="25">
        <f>G784/$H784</f>
        <v/>
      </c>
      <c r="O784" s="25">
        <f>SUM(MMULT(I784:N784,'07 Annualised Inputs'!$D$7:$D$12))</f>
        <v/>
      </c>
      <c r="P784" s="25">
        <f>SQRT(SUMPRODUCT(MMULT(I784:N784,'07 Annualised Inputs'!$B$17:$G$22),I784:N784))</f>
        <v/>
      </c>
      <c r="Q784" s="37">
        <f>(O784-'02 Config'!$B$10)/P784</f>
        <v/>
      </c>
    </row>
    <row r="785">
      <c r="A785" s="12" t="n">
        <v>780</v>
      </c>
      <c r="B785" s="36" t="n">
        <v>0.6601176338820307</v>
      </c>
      <c r="C785" s="36" t="n">
        <v>0.1422829785565923</v>
      </c>
      <c r="D785" s="36" t="n">
        <v>0.111364972786588</v>
      </c>
      <c r="E785" s="36" t="n">
        <v>0.1323852912543504</v>
      </c>
      <c r="F785" s="36" t="n">
        <v>0.07755167426146636</v>
      </c>
      <c r="G785" s="36" t="n">
        <v>0.8746354118429396</v>
      </c>
      <c r="H785" s="37">
        <f>SUM(B785:G785)</f>
        <v/>
      </c>
      <c r="I785" s="25">
        <f>B785/$H785</f>
        <v/>
      </c>
      <c r="J785" s="25">
        <f>C785/$H785</f>
        <v/>
      </c>
      <c r="K785" s="25">
        <f>D785/$H785</f>
        <v/>
      </c>
      <c r="L785" s="25">
        <f>E785/$H785</f>
        <v/>
      </c>
      <c r="M785" s="25">
        <f>F785/$H785</f>
        <v/>
      </c>
      <c r="N785" s="25">
        <f>G785/$H785</f>
        <v/>
      </c>
      <c r="O785" s="25">
        <f>SUM(MMULT(I785:N785,'07 Annualised Inputs'!$D$7:$D$12))</f>
        <v/>
      </c>
      <c r="P785" s="25">
        <f>SQRT(SUMPRODUCT(MMULT(I785:N785,'07 Annualised Inputs'!$B$17:$G$22),I785:N785))</f>
        <v/>
      </c>
      <c r="Q785" s="37">
        <f>(O785-'02 Config'!$B$10)/P785</f>
        <v/>
      </c>
    </row>
    <row r="786">
      <c r="A786" s="12" t="n">
        <v>781</v>
      </c>
      <c r="B786" s="36" t="n">
        <v>0.9441151154965282</v>
      </c>
      <c r="C786" s="36" t="n">
        <v>0.04656115172878628</v>
      </c>
      <c r="D786" s="36" t="n">
        <v>0.7600717815435403</v>
      </c>
      <c r="E786" s="36" t="n">
        <v>0.7371517467171977</v>
      </c>
      <c r="F786" s="36" t="n">
        <v>0.9969094246100404</v>
      </c>
      <c r="G786" s="36" t="n">
        <v>0.3478706617210682</v>
      </c>
      <c r="H786" s="37">
        <f>SUM(B786:G786)</f>
        <v/>
      </c>
      <c r="I786" s="25">
        <f>B786/$H786</f>
        <v/>
      </c>
      <c r="J786" s="25">
        <f>C786/$H786</f>
        <v/>
      </c>
      <c r="K786" s="25">
        <f>D786/$H786</f>
        <v/>
      </c>
      <c r="L786" s="25">
        <f>E786/$H786</f>
        <v/>
      </c>
      <c r="M786" s="25">
        <f>F786/$H786</f>
        <v/>
      </c>
      <c r="N786" s="25">
        <f>G786/$H786</f>
        <v/>
      </c>
      <c r="O786" s="25">
        <f>SUM(MMULT(I786:N786,'07 Annualised Inputs'!$D$7:$D$12))</f>
        <v/>
      </c>
      <c r="P786" s="25">
        <f>SQRT(SUMPRODUCT(MMULT(I786:N786,'07 Annualised Inputs'!$B$17:$G$22),I786:N786))</f>
        <v/>
      </c>
      <c r="Q786" s="37">
        <f>(O786-'02 Config'!$B$10)/P786</f>
        <v/>
      </c>
    </row>
    <row r="787">
      <c r="A787" s="12" t="n">
        <v>782</v>
      </c>
      <c r="B787" s="36" t="n">
        <v>0.2855089916904162</v>
      </c>
      <c r="C787" s="36" t="n">
        <v>0.4530821208098272</v>
      </c>
      <c r="D787" s="36" t="n">
        <v>0.8565751771491905</v>
      </c>
      <c r="E787" s="36" t="n">
        <v>0.7285936425378988</v>
      </c>
      <c r="F787" s="36" t="n">
        <v>0.4716238139675027</v>
      </c>
      <c r="G787" s="36" t="n">
        <v>0.2445628432858732</v>
      </c>
      <c r="H787" s="37">
        <f>SUM(B787:G787)</f>
        <v/>
      </c>
      <c r="I787" s="25">
        <f>B787/$H787</f>
        <v/>
      </c>
      <c r="J787" s="25">
        <f>C787/$H787</f>
        <v/>
      </c>
      <c r="K787" s="25">
        <f>D787/$H787</f>
        <v/>
      </c>
      <c r="L787" s="25">
        <f>E787/$H787</f>
        <v/>
      </c>
      <c r="M787" s="25">
        <f>F787/$H787</f>
        <v/>
      </c>
      <c r="N787" s="25">
        <f>G787/$H787</f>
        <v/>
      </c>
      <c r="O787" s="25">
        <f>SUM(MMULT(I787:N787,'07 Annualised Inputs'!$D$7:$D$12))</f>
        <v/>
      </c>
      <c r="P787" s="25">
        <f>SQRT(SUMPRODUCT(MMULT(I787:N787,'07 Annualised Inputs'!$B$17:$G$22),I787:N787))</f>
        <v/>
      </c>
      <c r="Q787" s="37">
        <f>(O787-'02 Config'!$B$10)/P787</f>
        <v/>
      </c>
    </row>
    <row r="788">
      <c r="A788" s="12" t="n">
        <v>783</v>
      </c>
      <c r="B788" s="36" t="n">
        <v>0.7270157412683711</v>
      </c>
      <c r="C788" s="36" t="n">
        <v>0.8545268680421961</v>
      </c>
      <c r="D788" s="36" t="n">
        <v>0.3999512310674909</v>
      </c>
      <c r="E788" s="36" t="n">
        <v>0.6685854458209842</v>
      </c>
      <c r="F788" s="36" t="n">
        <v>0.4002120211765982</v>
      </c>
      <c r="G788" s="36" t="n">
        <v>0.4784934381414848</v>
      </c>
      <c r="H788" s="37">
        <f>SUM(B788:G788)</f>
        <v/>
      </c>
      <c r="I788" s="25">
        <f>B788/$H788</f>
        <v/>
      </c>
      <c r="J788" s="25">
        <f>C788/$H788</f>
        <v/>
      </c>
      <c r="K788" s="25">
        <f>D788/$H788</f>
        <v/>
      </c>
      <c r="L788" s="25">
        <f>E788/$H788</f>
        <v/>
      </c>
      <c r="M788" s="25">
        <f>F788/$H788</f>
        <v/>
      </c>
      <c r="N788" s="25">
        <f>G788/$H788</f>
        <v/>
      </c>
      <c r="O788" s="25">
        <f>SUM(MMULT(I788:N788,'07 Annualised Inputs'!$D$7:$D$12))</f>
        <v/>
      </c>
      <c r="P788" s="25">
        <f>SQRT(SUMPRODUCT(MMULT(I788:N788,'07 Annualised Inputs'!$B$17:$G$22),I788:N788))</f>
        <v/>
      </c>
      <c r="Q788" s="37">
        <f>(O788-'02 Config'!$B$10)/P788</f>
        <v/>
      </c>
    </row>
    <row r="789">
      <c r="A789" s="12" t="n">
        <v>784</v>
      </c>
      <c r="B789" s="36" t="n">
        <v>0.5249103799549136</v>
      </c>
      <c r="C789" s="36" t="n">
        <v>0.7757258140222779</v>
      </c>
      <c r="D789" s="36" t="n">
        <v>0.9775059841289311</v>
      </c>
      <c r="E789" s="36" t="n">
        <v>0.4443661626382324</v>
      </c>
      <c r="F789" s="36" t="n">
        <v>0.3423150062476059</v>
      </c>
      <c r="G789" s="36" t="n">
        <v>0.3735910064723913</v>
      </c>
      <c r="H789" s="37">
        <f>SUM(B789:G789)</f>
        <v/>
      </c>
      <c r="I789" s="25">
        <f>B789/$H789</f>
        <v/>
      </c>
      <c r="J789" s="25">
        <f>C789/$H789</f>
        <v/>
      </c>
      <c r="K789" s="25">
        <f>D789/$H789</f>
        <v/>
      </c>
      <c r="L789" s="25">
        <f>E789/$H789</f>
        <v/>
      </c>
      <c r="M789" s="25">
        <f>F789/$H789</f>
        <v/>
      </c>
      <c r="N789" s="25">
        <f>G789/$H789</f>
        <v/>
      </c>
      <c r="O789" s="25">
        <f>SUM(MMULT(I789:N789,'07 Annualised Inputs'!$D$7:$D$12))</f>
        <v/>
      </c>
      <c r="P789" s="25">
        <f>SQRT(SUMPRODUCT(MMULT(I789:N789,'07 Annualised Inputs'!$B$17:$G$22),I789:N789))</f>
        <v/>
      </c>
      <c r="Q789" s="37">
        <f>(O789-'02 Config'!$B$10)/P789</f>
        <v/>
      </c>
    </row>
    <row r="790">
      <c r="A790" s="12" t="n">
        <v>785</v>
      </c>
      <c r="B790" s="36" t="n">
        <v>0.1338890693751816</v>
      </c>
      <c r="C790" s="36" t="n">
        <v>0.2969387378177227</v>
      </c>
      <c r="D790" s="36" t="n">
        <v>0.08644741326880623</v>
      </c>
      <c r="E790" s="36" t="n">
        <v>0.4278942631792472</v>
      </c>
      <c r="F790" s="36" t="n">
        <v>0.1673572693110489</v>
      </c>
      <c r="G790" s="36" t="n">
        <v>0.3464067459744087</v>
      </c>
      <c r="H790" s="37">
        <f>SUM(B790:G790)</f>
        <v/>
      </c>
      <c r="I790" s="25">
        <f>B790/$H790</f>
        <v/>
      </c>
      <c r="J790" s="25">
        <f>C790/$H790</f>
        <v/>
      </c>
      <c r="K790" s="25">
        <f>D790/$H790</f>
        <v/>
      </c>
      <c r="L790" s="25">
        <f>E790/$H790</f>
        <v/>
      </c>
      <c r="M790" s="25">
        <f>F790/$H790</f>
        <v/>
      </c>
      <c r="N790" s="25">
        <f>G790/$H790</f>
        <v/>
      </c>
      <c r="O790" s="25">
        <f>SUM(MMULT(I790:N790,'07 Annualised Inputs'!$D$7:$D$12))</f>
        <v/>
      </c>
      <c r="P790" s="25">
        <f>SQRT(SUMPRODUCT(MMULT(I790:N790,'07 Annualised Inputs'!$B$17:$G$22),I790:N790))</f>
        <v/>
      </c>
      <c r="Q790" s="37">
        <f>(O790-'02 Config'!$B$10)/P790</f>
        <v/>
      </c>
    </row>
    <row r="791">
      <c r="A791" s="12" t="n">
        <v>786</v>
      </c>
      <c r="B791" s="36" t="n">
        <v>0.7935777493916063</v>
      </c>
      <c r="C791" s="36" t="n">
        <v>0.245927650589136</v>
      </c>
      <c r="D791" s="36" t="n">
        <v>0.611894621342069</v>
      </c>
      <c r="E791" s="36" t="n">
        <v>0.9011814192486128</v>
      </c>
      <c r="F791" s="36" t="n">
        <v>0.5669291870295469</v>
      </c>
      <c r="G791" s="36" t="n">
        <v>0.1937926127724127</v>
      </c>
      <c r="H791" s="37">
        <f>SUM(B791:G791)</f>
        <v/>
      </c>
      <c r="I791" s="25">
        <f>B791/$H791</f>
        <v/>
      </c>
      <c r="J791" s="25">
        <f>C791/$H791</f>
        <v/>
      </c>
      <c r="K791" s="25">
        <f>D791/$H791</f>
        <v/>
      </c>
      <c r="L791" s="25">
        <f>E791/$H791</f>
        <v/>
      </c>
      <c r="M791" s="25">
        <f>F791/$H791</f>
        <v/>
      </c>
      <c r="N791" s="25">
        <f>G791/$H791</f>
        <v/>
      </c>
      <c r="O791" s="25">
        <f>SUM(MMULT(I791:N791,'07 Annualised Inputs'!$D$7:$D$12))</f>
        <v/>
      </c>
      <c r="P791" s="25">
        <f>SQRT(SUMPRODUCT(MMULT(I791:N791,'07 Annualised Inputs'!$B$17:$G$22),I791:N791))</f>
        <v/>
      </c>
      <c r="Q791" s="37">
        <f>(O791-'02 Config'!$B$10)/P791</f>
        <v/>
      </c>
    </row>
    <row r="792">
      <c r="A792" s="12" t="n">
        <v>787</v>
      </c>
      <c r="B792" s="36" t="n">
        <v>0.3447661939659543</v>
      </c>
      <c r="C792" s="36" t="n">
        <v>0.590369207184066</v>
      </c>
      <c r="D792" s="36" t="n">
        <v>0.5066111397598535</v>
      </c>
      <c r="E792" s="36" t="n">
        <v>0.1486198362769038</v>
      </c>
      <c r="F792" s="36" t="n">
        <v>0.4467963446905689</v>
      </c>
      <c r="G792" s="36" t="n">
        <v>0.5430666949102484</v>
      </c>
      <c r="H792" s="37">
        <f>SUM(B792:G792)</f>
        <v/>
      </c>
      <c r="I792" s="25">
        <f>B792/$H792</f>
        <v/>
      </c>
      <c r="J792" s="25">
        <f>C792/$H792</f>
        <v/>
      </c>
      <c r="K792" s="25">
        <f>D792/$H792</f>
        <v/>
      </c>
      <c r="L792" s="25">
        <f>E792/$H792</f>
        <v/>
      </c>
      <c r="M792" s="25">
        <f>F792/$H792</f>
        <v/>
      </c>
      <c r="N792" s="25">
        <f>G792/$H792</f>
        <v/>
      </c>
      <c r="O792" s="25">
        <f>SUM(MMULT(I792:N792,'07 Annualised Inputs'!$D$7:$D$12))</f>
        <v/>
      </c>
      <c r="P792" s="25">
        <f>SQRT(SUMPRODUCT(MMULT(I792:N792,'07 Annualised Inputs'!$B$17:$G$22),I792:N792))</f>
        <v/>
      </c>
      <c r="Q792" s="37">
        <f>(O792-'02 Config'!$B$10)/P792</f>
        <v/>
      </c>
    </row>
    <row r="793">
      <c r="A793" s="12" t="n">
        <v>788</v>
      </c>
      <c r="B793" s="36" t="n">
        <v>0.2673327144575725</v>
      </c>
      <c r="C793" s="36" t="n">
        <v>0.6124455153398519</v>
      </c>
      <c r="D793" s="36" t="n">
        <v>0.07016009948520985</v>
      </c>
      <c r="E793" s="36" t="n">
        <v>0.3366070335655168</v>
      </c>
      <c r="F793" s="36" t="n">
        <v>0.8042768327775744</v>
      </c>
      <c r="G793" s="36" t="n">
        <v>0.2592848009081554</v>
      </c>
      <c r="H793" s="37">
        <f>SUM(B793:G793)</f>
        <v/>
      </c>
      <c r="I793" s="25">
        <f>B793/$H793</f>
        <v/>
      </c>
      <c r="J793" s="25">
        <f>C793/$H793</f>
        <v/>
      </c>
      <c r="K793" s="25">
        <f>D793/$H793</f>
        <v/>
      </c>
      <c r="L793" s="25">
        <f>E793/$H793</f>
        <v/>
      </c>
      <c r="M793" s="25">
        <f>F793/$H793</f>
        <v/>
      </c>
      <c r="N793" s="25">
        <f>G793/$H793</f>
        <v/>
      </c>
      <c r="O793" s="25">
        <f>SUM(MMULT(I793:N793,'07 Annualised Inputs'!$D$7:$D$12))</f>
        <v/>
      </c>
      <c r="P793" s="25">
        <f>SQRT(SUMPRODUCT(MMULT(I793:N793,'07 Annualised Inputs'!$B$17:$G$22),I793:N793))</f>
        <v/>
      </c>
      <c r="Q793" s="37">
        <f>(O793-'02 Config'!$B$10)/P793</f>
        <v/>
      </c>
    </row>
    <row r="794">
      <c r="A794" s="12" t="n">
        <v>789</v>
      </c>
      <c r="B794" s="36" t="n">
        <v>0.6051768500030782</v>
      </c>
      <c r="C794" s="36" t="n">
        <v>0.4100297137103119</v>
      </c>
      <c r="D794" s="36" t="n">
        <v>0.3164601424152468</v>
      </c>
      <c r="E794" s="36" t="n">
        <v>0.9161316879100269</v>
      </c>
      <c r="F794" s="36" t="n">
        <v>0.3432617180803835</v>
      </c>
      <c r="G794" s="36" t="n">
        <v>0.2366759014870183</v>
      </c>
      <c r="H794" s="37">
        <f>SUM(B794:G794)</f>
        <v/>
      </c>
      <c r="I794" s="25">
        <f>B794/$H794</f>
        <v/>
      </c>
      <c r="J794" s="25">
        <f>C794/$H794</f>
        <v/>
      </c>
      <c r="K794" s="25">
        <f>D794/$H794</f>
        <v/>
      </c>
      <c r="L794" s="25">
        <f>E794/$H794</f>
        <v/>
      </c>
      <c r="M794" s="25">
        <f>F794/$H794</f>
        <v/>
      </c>
      <c r="N794" s="25">
        <f>G794/$H794</f>
        <v/>
      </c>
      <c r="O794" s="25">
        <f>SUM(MMULT(I794:N794,'07 Annualised Inputs'!$D$7:$D$12))</f>
        <v/>
      </c>
      <c r="P794" s="25">
        <f>SQRT(SUMPRODUCT(MMULT(I794:N794,'07 Annualised Inputs'!$B$17:$G$22),I794:N794))</f>
        <v/>
      </c>
      <c r="Q794" s="37">
        <f>(O794-'02 Config'!$B$10)/P794</f>
        <v/>
      </c>
    </row>
    <row r="795">
      <c r="A795" s="12" t="n">
        <v>790</v>
      </c>
      <c r="B795" s="36" t="n">
        <v>0.9093013156402705</v>
      </c>
      <c r="C795" s="36" t="n">
        <v>0.7459443559358149</v>
      </c>
      <c r="D795" s="36" t="n">
        <v>0.6817997136981974</v>
      </c>
      <c r="E795" s="36" t="n">
        <v>0.04953494206687581</v>
      </c>
      <c r="F795" s="36" t="n">
        <v>0.1312049607157758</v>
      </c>
      <c r="G795" s="36" t="n">
        <v>0.6383399638096628</v>
      </c>
      <c r="H795" s="37">
        <f>SUM(B795:G795)</f>
        <v/>
      </c>
      <c r="I795" s="25">
        <f>B795/$H795</f>
        <v/>
      </c>
      <c r="J795" s="25">
        <f>C795/$H795</f>
        <v/>
      </c>
      <c r="K795" s="25">
        <f>D795/$H795</f>
        <v/>
      </c>
      <c r="L795" s="25">
        <f>E795/$H795</f>
        <v/>
      </c>
      <c r="M795" s="25">
        <f>F795/$H795</f>
        <v/>
      </c>
      <c r="N795" s="25">
        <f>G795/$H795</f>
        <v/>
      </c>
      <c r="O795" s="25">
        <f>SUM(MMULT(I795:N795,'07 Annualised Inputs'!$D$7:$D$12))</f>
        <v/>
      </c>
      <c r="P795" s="25">
        <f>SQRT(SUMPRODUCT(MMULT(I795:N795,'07 Annualised Inputs'!$B$17:$G$22),I795:N795))</f>
        <v/>
      </c>
      <c r="Q795" s="37">
        <f>(O795-'02 Config'!$B$10)/P795</f>
        <v/>
      </c>
    </row>
    <row r="796">
      <c r="A796" s="12" t="n">
        <v>791</v>
      </c>
      <c r="B796" s="36" t="n">
        <v>0.2094328365262602</v>
      </c>
      <c r="C796" s="36" t="n">
        <v>0.2256379856303591</v>
      </c>
      <c r="D796" s="36" t="n">
        <v>0.7791385153436107</v>
      </c>
      <c r="E796" s="36" t="n">
        <v>0.2859249488369426</v>
      </c>
      <c r="F796" s="36" t="n">
        <v>0.071587302151916</v>
      </c>
      <c r="G796" s="36" t="n">
        <v>0.0364319473098611</v>
      </c>
      <c r="H796" s="37">
        <f>SUM(B796:G796)</f>
        <v/>
      </c>
      <c r="I796" s="25">
        <f>B796/$H796</f>
        <v/>
      </c>
      <c r="J796" s="25">
        <f>C796/$H796</f>
        <v/>
      </c>
      <c r="K796" s="25">
        <f>D796/$H796</f>
        <v/>
      </c>
      <c r="L796" s="25">
        <f>E796/$H796</f>
        <v/>
      </c>
      <c r="M796" s="25">
        <f>F796/$H796</f>
        <v/>
      </c>
      <c r="N796" s="25">
        <f>G796/$H796</f>
        <v/>
      </c>
      <c r="O796" s="25">
        <f>SUM(MMULT(I796:N796,'07 Annualised Inputs'!$D$7:$D$12))</f>
        <v/>
      </c>
      <c r="P796" s="25">
        <f>SQRT(SUMPRODUCT(MMULT(I796:N796,'07 Annualised Inputs'!$B$17:$G$22),I796:N796))</f>
        <v/>
      </c>
      <c r="Q796" s="37">
        <f>(O796-'02 Config'!$B$10)/P796</f>
        <v/>
      </c>
    </row>
    <row r="797">
      <c r="A797" s="12" t="n">
        <v>792</v>
      </c>
      <c r="B797" s="36" t="n">
        <v>0.4431779872452878</v>
      </c>
      <c r="C797" s="36" t="n">
        <v>0.617128577684646</v>
      </c>
      <c r="D797" s="36" t="n">
        <v>0.8688852333918029</v>
      </c>
      <c r="E797" s="36" t="n">
        <v>0.1108043950326393</v>
      </c>
      <c r="F797" s="36" t="n">
        <v>0.1966728262882963</v>
      </c>
      <c r="G797" s="36" t="n">
        <v>0.5298006109074711</v>
      </c>
      <c r="H797" s="37">
        <f>SUM(B797:G797)</f>
        <v/>
      </c>
      <c r="I797" s="25">
        <f>B797/$H797</f>
        <v/>
      </c>
      <c r="J797" s="25">
        <f>C797/$H797</f>
        <v/>
      </c>
      <c r="K797" s="25">
        <f>D797/$H797</f>
        <v/>
      </c>
      <c r="L797" s="25">
        <f>E797/$H797</f>
        <v/>
      </c>
      <c r="M797" s="25">
        <f>F797/$H797</f>
        <v/>
      </c>
      <c r="N797" s="25">
        <f>G797/$H797</f>
        <v/>
      </c>
      <c r="O797" s="25">
        <f>SUM(MMULT(I797:N797,'07 Annualised Inputs'!$D$7:$D$12))</f>
        <v/>
      </c>
      <c r="P797" s="25">
        <f>SQRT(SUMPRODUCT(MMULT(I797:N797,'07 Annualised Inputs'!$B$17:$G$22),I797:N797))</f>
        <v/>
      </c>
      <c r="Q797" s="37">
        <f>(O797-'02 Config'!$B$10)/P797</f>
        <v/>
      </c>
    </row>
    <row r="798">
      <c r="A798" s="12" t="n">
        <v>793</v>
      </c>
      <c r="B798" s="36" t="n">
        <v>0.3641083622419751</v>
      </c>
      <c r="C798" s="36" t="n">
        <v>0.4825374512454946</v>
      </c>
      <c r="D798" s="36" t="n">
        <v>0.9241246489842154</v>
      </c>
      <c r="E798" s="36" t="n">
        <v>0.5448916538646872</v>
      </c>
      <c r="F798" s="36" t="n">
        <v>0.4151206106120759</v>
      </c>
      <c r="G798" s="36" t="n">
        <v>0.9894399066997448</v>
      </c>
      <c r="H798" s="37">
        <f>SUM(B798:G798)</f>
        <v/>
      </c>
      <c r="I798" s="25">
        <f>B798/$H798</f>
        <v/>
      </c>
      <c r="J798" s="25">
        <f>C798/$H798</f>
        <v/>
      </c>
      <c r="K798" s="25">
        <f>D798/$H798</f>
        <v/>
      </c>
      <c r="L798" s="25">
        <f>E798/$H798</f>
        <v/>
      </c>
      <c r="M798" s="25">
        <f>F798/$H798</f>
        <v/>
      </c>
      <c r="N798" s="25">
        <f>G798/$H798</f>
        <v/>
      </c>
      <c r="O798" s="25">
        <f>SUM(MMULT(I798:N798,'07 Annualised Inputs'!$D$7:$D$12))</f>
        <v/>
      </c>
      <c r="P798" s="25">
        <f>SQRT(SUMPRODUCT(MMULT(I798:N798,'07 Annualised Inputs'!$B$17:$G$22),I798:N798))</f>
        <v/>
      </c>
      <c r="Q798" s="37">
        <f>(O798-'02 Config'!$B$10)/P798</f>
        <v/>
      </c>
    </row>
    <row r="799">
      <c r="A799" s="12" t="n">
        <v>794</v>
      </c>
      <c r="B799" s="36" t="n">
        <v>0.06521566989953631</v>
      </c>
      <c r="C799" s="36" t="n">
        <v>0.9321134483711719</v>
      </c>
      <c r="D799" s="36" t="n">
        <v>0.501661842065483</v>
      </c>
      <c r="E799" s="36" t="n">
        <v>0.5037563377671381</v>
      </c>
      <c r="F799" s="36" t="n">
        <v>0.9219643342032092</v>
      </c>
      <c r="G799" s="36" t="n">
        <v>0.5073239795930695</v>
      </c>
      <c r="H799" s="37">
        <f>SUM(B799:G799)</f>
        <v/>
      </c>
      <c r="I799" s="25">
        <f>B799/$H799</f>
        <v/>
      </c>
      <c r="J799" s="25">
        <f>C799/$H799</f>
        <v/>
      </c>
      <c r="K799" s="25">
        <f>D799/$H799</f>
        <v/>
      </c>
      <c r="L799" s="25">
        <f>E799/$H799</f>
        <v/>
      </c>
      <c r="M799" s="25">
        <f>F799/$H799</f>
        <v/>
      </c>
      <c r="N799" s="25">
        <f>G799/$H799</f>
        <v/>
      </c>
      <c r="O799" s="25">
        <f>SUM(MMULT(I799:N799,'07 Annualised Inputs'!$D$7:$D$12))</f>
        <v/>
      </c>
      <c r="P799" s="25">
        <f>SQRT(SUMPRODUCT(MMULT(I799:N799,'07 Annualised Inputs'!$B$17:$G$22),I799:N799))</f>
        <v/>
      </c>
      <c r="Q799" s="37">
        <f>(O799-'02 Config'!$B$10)/P799</f>
        <v/>
      </c>
    </row>
    <row r="800">
      <c r="A800" s="12" t="n">
        <v>795</v>
      </c>
      <c r="B800" s="36" t="n">
        <v>0.4384070905301488</v>
      </c>
      <c r="C800" s="36" t="n">
        <v>0.272488592117199</v>
      </c>
      <c r="D800" s="36" t="n">
        <v>0.6588167668174209</v>
      </c>
      <c r="E800" s="36" t="n">
        <v>0.5696450909797616</v>
      </c>
      <c r="F800" s="36" t="n">
        <v>0.2143454369477831</v>
      </c>
      <c r="G800" s="36" t="n">
        <v>0.7094129150613248</v>
      </c>
      <c r="H800" s="37">
        <f>SUM(B800:G800)</f>
        <v/>
      </c>
      <c r="I800" s="25">
        <f>B800/$H800</f>
        <v/>
      </c>
      <c r="J800" s="25">
        <f>C800/$H800</f>
        <v/>
      </c>
      <c r="K800" s="25">
        <f>D800/$H800</f>
        <v/>
      </c>
      <c r="L800" s="25">
        <f>E800/$H800</f>
        <v/>
      </c>
      <c r="M800" s="25">
        <f>F800/$H800</f>
        <v/>
      </c>
      <c r="N800" s="25">
        <f>G800/$H800</f>
        <v/>
      </c>
      <c r="O800" s="25">
        <f>SUM(MMULT(I800:N800,'07 Annualised Inputs'!$D$7:$D$12))</f>
        <v/>
      </c>
      <c r="P800" s="25">
        <f>SQRT(SUMPRODUCT(MMULT(I800:N800,'07 Annualised Inputs'!$B$17:$G$22),I800:N800))</f>
        <v/>
      </c>
      <c r="Q800" s="37">
        <f>(O800-'02 Config'!$B$10)/P800</f>
        <v/>
      </c>
    </row>
    <row r="801">
      <c r="A801" s="12" t="n">
        <v>796</v>
      </c>
      <c r="B801" s="36" t="n">
        <v>0.6440868573366405</v>
      </c>
      <c r="C801" s="36" t="n">
        <v>0.3973338842065408</v>
      </c>
      <c r="D801" s="36" t="n">
        <v>0.00440092190355057</v>
      </c>
      <c r="E801" s="36" t="n">
        <v>0.4465811501761877</v>
      </c>
      <c r="F801" s="36" t="n">
        <v>0.006058117130251728</v>
      </c>
      <c r="G801" s="36" t="n">
        <v>0.07499848929903985</v>
      </c>
      <c r="H801" s="37">
        <f>SUM(B801:G801)</f>
        <v/>
      </c>
      <c r="I801" s="25">
        <f>B801/$H801</f>
        <v/>
      </c>
      <c r="J801" s="25">
        <f>C801/$H801</f>
        <v/>
      </c>
      <c r="K801" s="25">
        <f>D801/$H801</f>
        <v/>
      </c>
      <c r="L801" s="25">
        <f>E801/$H801</f>
        <v/>
      </c>
      <c r="M801" s="25">
        <f>F801/$H801</f>
        <v/>
      </c>
      <c r="N801" s="25">
        <f>G801/$H801</f>
        <v/>
      </c>
      <c r="O801" s="25">
        <f>SUM(MMULT(I801:N801,'07 Annualised Inputs'!$D$7:$D$12))</f>
        <v/>
      </c>
      <c r="P801" s="25">
        <f>SQRT(SUMPRODUCT(MMULT(I801:N801,'07 Annualised Inputs'!$B$17:$G$22),I801:N801))</f>
        <v/>
      </c>
      <c r="Q801" s="37">
        <f>(O801-'02 Config'!$B$10)/P801</f>
        <v/>
      </c>
    </row>
    <row r="802">
      <c r="A802" s="12" t="n">
        <v>797</v>
      </c>
      <c r="B802" s="36" t="n">
        <v>0.4306099024808341</v>
      </c>
      <c r="C802" s="36" t="n">
        <v>0.0819198841853277</v>
      </c>
      <c r="D802" s="36" t="n">
        <v>0.2756654337871662</v>
      </c>
      <c r="E802" s="36" t="n">
        <v>0.6554913685589684</v>
      </c>
      <c r="F802" s="36" t="n">
        <v>0.308615342609419</v>
      </c>
      <c r="G802" s="36" t="n">
        <v>0.9976485941215104</v>
      </c>
      <c r="H802" s="37">
        <f>SUM(B802:G802)</f>
        <v/>
      </c>
      <c r="I802" s="25">
        <f>B802/$H802</f>
        <v/>
      </c>
      <c r="J802" s="25">
        <f>C802/$H802</f>
        <v/>
      </c>
      <c r="K802" s="25">
        <f>D802/$H802</f>
        <v/>
      </c>
      <c r="L802" s="25">
        <f>E802/$H802</f>
        <v/>
      </c>
      <c r="M802" s="25">
        <f>F802/$H802</f>
        <v/>
      </c>
      <c r="N802" s="25">
        <f>G802/$H802</f>
        <v/>
      </c>
      <c r="O802" s="25">
        <f>SUM(MMULT(I802:N802,'07 Annualised Inputs'!$D$7:$D$12))</f>
        <v/>
      </c>
      <c r="P802" s="25">
        <f>SQRT(SUMPRODUCT(MMULT(I802:N802,'07 Annualised Inputs'!$B$17:$G$22),I802:N802))</f>
        <v/>
      </c>
      <c r="Q802" s="37">
        <f>(O802-'02 Config'!$B$10)/P802</f>
        <v/>
      </c>
    </row>
    <row r="803">
      <c r="A803" s="12" t="n">
        <v>798</v>
      </c>
      <c r="B803" s="36" t="n">
        <v>0.9163020339149811</v>
      </c>
      <c r="C803" s="36" t="n">
        <v>0.5853099045855237</v>
      </c>
      <c r="D803" s="36" t="n">
        <v>0.9669471386349304</v>
      </c>
      <c r="E803" s="36" t="n">
        <v>0.8680172944325221</v>
      </c>
      <c r="F803" s="36" t="n">
        <v>0.318898518840487</v>
      </c>
      <c r="G803" s="36" t="n">
        <v>0.7495962459853094</v>
      </c>
      <c r="H803" s="37">
        <f>SUM(B803:G803)</f>
        <v/>
      </c>
      <c r="I803" s="25">
        <f>B803/$H803</f>
        <v/>
      </c>
      <c r="J803" s="25">
        <f>C803/$H803</f>
        <v/>
      </c>
      <c r="K803" s="25">
        <f>D803/$H803</f>
        <v/>
      </c>
      <c r="L803" s="25">
        <f>E803/$H803</f>
        <v/>
      </c>
      <c r="M803" s="25">
        <f>F803/$H803</f>
        <v/>
      </c>
      <c r="N803" s="25">
        <f>G803/$H803</f>
        <v/>
      </c>
      <c r="O803" s="25">
        <f>SUM(MMULT(I803:N803,'07 Annualised Inputs'!$D$7:$D$12))</f>
        <v/>
      </c>
      <c r="P803" s="25">
        <f>SQRT(SUMPRODUCT(MMULT(I803:N803,'07 Annualised Inputs'!$B$17:$G$22),I803:N803))</f>
        <v/>
      </c>
      <c r="Q803" s="37">
        <f>(O803-'02 Config'!$B$10)/P803</f>
        <v/>
      </c>
    </row>
    <row r="804">
      <c r="A804" s="12" t="n">
        <v>799</v>
      </c>
      <c r="B804" s="36" t="n">
        <v>0.1368317840039474</v>
      </c>
      <c r="C804" s="36" t="n">
        <v>0.6845514243787411</v>
      </c>
      <c r="D804" s="36" t="n">
        <v>0.4910818264945804</v>
      </c>
      <c r="E804" s="36" t="n">
        <v>0.01682593925282472</v>
      </c>
      <c r="F804" s="36" t="n">
        <v>0.2742298223903707</v>
      </c>
      <c r="G804" s="36" t="n">
        <v>0.9553822174042486</v>
      </c>
      <c r="H804" s="37">
        <f>SUM(B804:G804)</f>
        <v/>
      </c>
      <c r="I804" s="25">
        <f>B804/$H804</f>
        <v/>
      </c>
      <c r="J804" s="25">
        <f>C804/$H804</f>
        <v/>
      </c>
      <c r="K804" s="25">
        <f>D804/$H804</f>
        <v/>
      </c>
      <c r="L804" s="25">
        <f>E804/$H804</f>
        <v/>
      </c>
      <c r="M804" s="25">
        <f>F804/$H804</f>
        <v/>
      </c>
      <c r="N804" s="25">
        <f>G804/$H804</f>
        <v/>
      </c>
      <c r="O804" s="25">
        <f>SUM(MMULT(I804:N804,'07 Annualised Inputs'!$D$7:$D$12))</f>
        <v/>
      </c>
      <c r="P804" s="25">
        <f>SQRT(SUMPRODUCT(MMULT(I804:N804,'07 Annualised Inputs'!$B$17:$G$22),I804:N804))</f>
        <v/>
      </c>
      <c r="Q804" s="37">
        <f>(O804-'02 Config'!$B$10)/P804</f>
        <v/>
      </c>
    </row>
    <row r="805">
      <c r="A805" s="12" t="n">
        <v>800</v>
      </c>
      <c r="B805" s="36" t="n">
        <v>0.3158314850884807</v>
      </c>
      <c r="C805" s="36" t="n">
        <v>0.1814544553014407</v>
      </c>
      <c r="D805" s="36" t="n">
        <v>0.1875314465722083</v>
      </c>
      <c r="E805" s="36" t="n">
        <v>0.479213264641949</v>
      </c>
      <c r="F805" s="36" t="n">
        <v>0.8426492406705349</v>
      </c>
      <c r="G805" s="36" t="n">
        <v>0.7580017651333465</v>
      </c>
      <c r="H805" s="37">
        <f>SUM(B805:G805)</f>
        <v/>
      </c>
      <c r="I805" s="25">
        <f>B805/$H805</f>
        <v/>
      </c>
      <c r="J805" s="25">
        <f>C805/$H805</f>
        <v/>
      </c>
      <c r="K805" s="25">
        <f>D805/$H805</f>
        <v/>
      </c>
      <c r="L805" s="25">
        <f>E805/$H805</f>
        <v/>
      </c>
      <c r="M805" s="25">
        <f>F805/$H805</f>
        <v/>
      </c>
      <c r="N805" s="25">
        <f>G805/$H805</f>
        <v/>
      </c>
      <c r="O805" s="25">
        <f>SUM(MMULT(I805:N805,'07 Annualised Inputs'!$D$7:$D$12))</f>
        <v/>
      </c>
      <c r="P805" s="25">
        <f>SQRT(SUMPRODUCT(MMULT(I805:N805,'07 Annualised Inputs'!$B$17:$G$22),I805:N805))</f>
        <v/>
      </c>
      <c r="Q805" s="37">
        <f>(O805-'02 Config'!$B$10)/P805</f>
        <v/>
      </c>
    </row>
    <row r="806">
      <c r="A806" s="12" t="n">
        <v>801</v>
      </c>
      <c r="B806" s="36" t="n">
        <v>0.4368520075377743</v>
      </c>
      <c r="C806" s="36" t="n">
        <v>0.2087268834369606</v>
      </c>
      <c r="D806" s="36" t="n">
        <v>0.04606490010219111</v>
      </c>
      <c r="E806" s="36" t="n">
        <v>0.462630319482731</v>
      </c>
      <c r="F806" s="36" t="n">
        <v>0.8147753485181917</v>
      </c>
      <c r="G806" s="36" t="n">
        <v>0.7296819935943137</v>
      </c>
      <c r="H806" s="37">
        <f>SUM(B806:G806)</f>
        <v/>
      </c>
      <c r="I806" s="25">
        <f>B806/$H806</f>
        <v/>
      </c>
      <c r="J806" s="25">
        <f>C806/$H806</f>
        <v/>
      </c>
      <c r="K806" s="25">
        <f>D806/$H806</f>
        <v/>
      </c>
      <c r="L806" s="25">
        <f>E806/$H806</f>
        <v/>
      </c>
      <c r="M806" s="25">
        <f>F806/$H806</f>
        <v/>
      </c>
      <c r="N806" s="25">
        <f>G806/$H806</f>
        <v/>
      </c>
      <c r="O806" s="25">
        <f>SUM(MMULT(I806:N806,'07 Annualised Inputs'!$D$7:$D$12))</f>
        <v/>
      </c>
      <c r="P806" s="25">
        <f>SQRT(SUMPRODUCT(MMULT(I806:N806,'07 Annualised Inputs'!$B$17:$G$22),I806:N806))</f>
        <v/>
      </c>
      <c r="Q806" s="37">
        <f>(O806-'02 Config'!$B$10)/P806</f>
        <v/>
      </c>
    </row>
    <row r="807">
      <c r="A807" s="12" t="n">
        <v>802</v>
      </c>
      <c r="B807" s="36" t="n">
        <v>0.4086007676272503</v>
      </c>
      <c r="C807" s="36" t="n">
        <v>0.5947026719176003</v>
      </c>
      <c r="D807" s="36" t="n">
        <v>0.4362465209462176</v>
      </c>
      <c r="E807" s="36" t="n">
        <v>0.5790161097901778</v>
      </c>
      <c r="F807" s="36" t="n">
        <v>0.5175052443935492</v>
      </c>
      <c r="G807" s="36" t="n">
        <v>0.680966600125159</v>
      </c>
      <c r="H807" s="37">
        <f>SUM(B807:G807)</f>
        <v/>
      </c>
      <c r="I807" s="25">
        <f>B807/$H807</f>
        <v/>
      </c>
      <c r="J807" s="25">
        <f>C807/$H807</f>
        <v/>
      </c>
      <c r="K807" s="25">
        <f>D807/$H807</f>
        <v/>
      </c>
      <c r="L807" s="25">
        <f>E807/$H807</f>
        <v/>
      </c>
      <c r="M807" s="25">
        <f>F807/$H807</f>
        <v/>
      </c>
      <c r="N807" s="25">
        <f>G807/$H807</f>
        <v/>
      </c>
      <c r="O807" s="25">
        <f>SUM(MMULT(I807:N807,'07 Annualised Inputs'!$D$7:$D$12))</f>
        <v/>
      </c>
      <c r="P807" s="25">
        <f>SQRT(SUMPRODUCT(MMULT(I807:N807,'07 Annualised Inputs'!$B$17:$G$22),I807:N807))</f>
        <v/>
      </c>
      <c r="Q807" s="37">
        <f>(O807-'02 Config'!$B$10)/P807</f>
        <v/>
      </c>
    </row>
    <row r="808">
      <c r="A808" s="12" t="n">
        <v>803</v>
      </c>
      <c r="B808" s="36" t="n">
        <v>0.507708843533124</v>
      </c>
      <c r="C808" s="36" t="n">
        <v>0.9406109981675586</v>
      </c>
      <c r="D808" s="36" t="n">
        <v>0.4280281815816862</v>
      </c>
      <c r="E808" s="36" t="n">
        <v>0.01591630303971092</v>
      </c>
      <c r="F808" s="36" t="n">
        <v>0.2363735354089845</v>
      </c>
      <c r="G808" s="36" t="n">
        <v>0.5006068581066559</v>
      </c>
      <c r="H808" s="37">
        <f>SUM(B808:G808)</f>
        <v/>
      </c>
      <c r="I808" s="25">
        <f>B808/$H808</f>
        <v/>
      </c>
      <c r="J808" s="25">
        <f>C808/$H808</f>
        <v/>
      </c>
      <c r="K808" s="25">
        <f>D808/$H808</f>
        <v/>
      </c>
      <c r="L808" s="25">
        <f>E808/$H808</f>
        <v/>
      </c>
      <c r="M808" s="25">
        <f>F808/$H808</f>
        <v/>
      </c>
      <c r="N808" s="25">
        <f>G808/$H808</f>
        <v/>
      </c>
      <c r="O808" s="25">
        <f>SUM(MMULT(I808:N808,'07 Annualised Inputs'!$D$7:$D$12))</f>
        <v/>
      </c>
      <c r="P808" s="25">
        <f>SQRT(SUMPRODUCT(MMULT(I808:N808,'07 Annualised Inputs'!$B$17:$G$22),I808:N808))</f>
        <v/>
      </c>
      <c r="Q808" s="37">
        <f>(O808-'02 Config'!$B$10)/P808</f>
        <v/>
      </c>
    </row>
    <row r="809">
      <c r="A809" s="12" t="n">
        <v>804</v>
      </c>
      <c r="B809" s="36" t="n">
        <v>0.540571851888662</v>
      </c>
      <c r="C809" s="36" t="n">
        <v>0.5523847893120535</v>
      </c>
      <c r="D809" s="36" t="n">
        <v>0.7145520982700821</v>
      </c>
      <c r="E809" s="36" t="n">
        <v>0.2746481426175279</v>
      </c>
      <c r="F809" s="36" t="n">
        <v>0.6649036790414772</v>
      </c>
      <c r="G809" s="36" t="n">
        <v>0.7040322731192128</v>
      </c>
      <c r="H809" s="37">
        <f>SUM(B809:G809)</f>
        <v/>
      </c>
      <c r="I809" s="25">
        <f>B809/$H809</f>
        <v/>
      </c>
      <c r="J809" s="25">
        <f>C809/$H809</f>
        <v/>
      </c>
      <c r="K809" s="25">
        <f>D809/$H809</f>
        <v/>
      </c>
      <c r="L809" s="25">
        <f>E809/$H809</f>
        <v/>
      </c>
      <c r="M809" s="25">
        <f>F809/$H809</f>
        <v/>
      </c>
      <c r="N809" s="25">
        <f>G809/$H809</f>
        <v/>
      </c>
      <c r="O809" s="25">
        <f>SUM(MMULT(I809:N809,'07 Annualised Inputs'!$D$7:$D$12))</f>
        <v/>
      </c>
      <c r="P809" s="25">
        <f>SQRT(SUMPRODUCT(MMULT(I809:N809,'07 Annualised Inputs'!$B$17:$G$22),I809:N809))</f>
        <v/>
      </c>
      <c r="Q809" s="37">
        <f>(O809-'02 Config'!$B$10)/P809</f>
        <v/>
      </c>
    </row>
    <row r="810">
      <c r="A810" s="12" t="n">
        <v>805</v>
      </c>
      <c r="B810" s="36" t="n">
        <v>0.4112807526208263</v>
      </c>
      <c r="C810" s="36" t="n">
        <v>0.402169099146322</v>
      </c>
      <c r="D810" s="36" t="n">
        <v>0.1789247856564498</v>
      </c>
      <c r="E810" s="36" t="n">
        <v>0.4139873762553737</v>
      </c>
      <c r="F810" s="36" t="n">
        <v>0.7868162917070124</v>
      </c>
      <c r="G810" s="36" t="n">
        <v>0.9089730055498839</v>
      </c>
      <c r="H810" s="37">
        <f>SUM(B810:G810)</f>
        <v/>
      </c>
      <c r="I810" s="25">
        <f>B810/$H810</f>
        <v/>
      </c>
      <c r="J810" s="25">
        <f>C810/$H810</f>
        <v/>
      </c>
      <c r="K810" s="25">
        <f>D810/$H810</f>
        <v/>
      </c>
      <c r="L810" s="25">
        <f>E810/$H810</f>
        <v/>
      </c>
      <c r="M810" s="25">
        <f>F810/$H810</f>
        <v/>
      </c>
      <c r="N810" s="25">
        <f>G810/$H810</f>
        <v/>
      </c>
      <c r="O810" s="25">
        <f>SUM(MMULT(I810:N810,'07 Annualised Inputs'!$D$7:$D$12))</f>
        <v/>
      </c>
      <c r="P810" s="25">
        <f>SQRT(SUMPRODUCT(MMULT(I810:N810,'07 Annualised Inputs'!$B$17:$G$22),I810:N810))</f>
        <v/>
      </c>
      <c r="Q810" s="37">
        <f>(O810-'02 Config'!$B$10)/P810</f>
        <v/>
      </c>
    </row>
    <row r="811">
      <c r="A811" s="12" t="n">
        <v>806</v>
      </c>
      <c r="B811" s="36" t="n">
        <v>0.5936131913179654</v>
      </c>
      <c r="C811" s="36" t="n">
        <v>0.2993703433542988</v>
      </c>
      <c r="D811" s="36" t="n">
        <v>0.6822897186597314</v>
      </c>
      <c r="E811" s="36" t="n">
        <v>0.7401462086960039</v>
      </c>
      <c r="F811" s="36" t="n">
        <v>0.3322127787806624</v>
      </c>
      <c r="G811" s="36" t="n">
        <v>0.8265478614895467</v>
      </c>
      <c r="H811" s="37">
        <f>SUM(B811:G811)</f>
        <v/>
      </c>
      <c r="I811" s="25">
        <f>B811/$H811</f>
        <v/>
      </c>
      <c r="J811" s="25">
        <f>C811/$H811</f>
        <v/>
      </c>
      <c r="K811" s="25">
        <f>D811/$H811</f>
        <v/>
      </c>
      <c r="L811" s="25">
        <f>E811/$H811</f>
        <v/>
      </c>
      <c r="M811" s="25">
        <f>F811/$H811</f>
        <v/>
      </c>
      <c r="N811" s="25">
        <f>G811/$H811</f>
        <v/>
      </c>
      <c r="O811" s="25">
        <f>SUM(MMULT(I811:N811,'07 Annualised Inputs'!$D$7:$D$12))</f>
        <v/>
      </c>
      <c r="P811" s="25">
        <f>SQRT(SUMPRODUCT(MMULT(I811:N811,'07 Annualised Inputs'!$B$17:$G$22),I811:N811))</f>
        <v/>
      </c>
      <c r="Q811" s="37">
        <f>(O811-'02 Config'!$B$10)/P811</f>
        <v/>
      </c>
    </row>
    <row r="812">
      <c r="A812" s="12" t="n">
        <v>807</v>
      </c>
      <c r="B812" s="36" t="n">
        <v>0.07369583213834008</v>
      </c>
      <c r="C812" s="36" t="n">
        <v>0.01075371760002553</v>
      </c>
      <c r="D812" s="36" t="n">
        <v>0.1229707726320526</v>
      </c>
      <c r="E812" s="36" t="n">
        <v>0.1560083478275097</v>
      </c>
      <c r="F812" s="36" t="n">
        <v>0.8789290329477213</v>
      </c>
      <c r="G812" s="36" t="n">
        <v>0.4249817022212808</v>
      </c>
      <c r="H812" s="37">
        <f>SUM(B812:G812)</f>
        <v/>
      </c>
      <c r="I812" s="25">
        <f>B812/$H812</f>
        <v/>
      </c>
      <c r="J812" s="25">
        <f>C812/$H812</f>
        <v/>
      </c>
      <c r="K812" s="25">
        <f>D812/$H812</f>
        <v/>
      </c>
      <c r="L812" s="25">
        <f>E812/$H812</f>
        <v/>
      </c>
      <c r="M812" s="25">
        <f>F812/$H812</f>
        <v/>
      </c>
      <c r="N812" s="25">
        <f>G812/$H812</f>
        <v/>
      </c>
      <c r="O812" s="25">
        <f>SUM(MMULT(I812:N812,'07 Annualised Inputs'!$D$7:$D$12))</f>
        <v/>
      </c>
      <c r="P812" s="25">
        <f>SQRT(SUMPRODUCT(MMULT(I812:N812,'07 Annualised Inputs'!$B$17:$G$22),I812:N812))</f>
        <v/>
      </c>
      <c r="Q812" s="37">
        <f>(O812-'02 Config'!$B$10)/P812</f>
        <v/>
      </c>
    </row>
    <row r="813">
      <c r="A813" s="12" t="n">
        <v>808</v>
      </c>
      <c r="B813" s="36" t="n">
        <v>0.2749316919703817</v>
      </c>
      <c r="C813" s="36" t="n">
        <v>0.4290751159868194</v>
      </c>
      <c r="D813" s="36" t="n">
        <v>0.3948408927006323</v>
      </c>
      <c r="E813" s="36" t="n">
        <v>0.301461667988017</v>
      </c>
      <c r="F813" s="36" t="n">
        <v>0.1378995824119653</v>
      </c>
      <c r="G813" s="36" t="n">
        <v>0.6559154619738806</v>
      </c>
      <c r="H813" s="37">
        <f>SUM(B813:G813)</f>
        <v/>
      </c>
      <c r="I813" s="25">
        <f>B813/$H813</f>
        <v/>
      </c>
      <c r="J813" s="25">
        <f>C813/$H813</f>
        <v/>
      </c>
      <c r="K813" s="25">
        <f>D813/$H813</f>
        <v/>
      </c>
      <c r="L813" s="25">
        <f>E813/$H813</f>
        <v/>
      </c>
      <c r="M813" s="25">
        <f>F813/$H813</f>
        <v/>
      </c>
      <c r="N813" s="25">
        <f>G813/$H813</f>
        <v/>
      </c>
      <c r="O813" s="25">
        <f>SUM(MMULT(I813:N813,'07 Annualised Inputs'!$D$7:$D$12))</f>
        <v/>
      </c>
      <c r="P813" s="25">
        <f>SQRT(SUMPRODUCT(MMULT(I813:N813,'07 Annualised Inputs'!$B$17:$G$22),I813:N813))</f>
        <v/>
      </c>
      <c r="Q813" s="37">
        <f>(O813-'02 Config'!$B$10)/P813</f>
        <v/>
      </c>
    </row>
    <row r="814">
      <c r="A814" s="12" t="n">
        <v>809</v>
      </c>
      <c r="B814" s="36" t="n">
        <v>0.1366044027796554</v>
      </c>
      <c r="C814" s="36" t="n">
        <v>0.7754244526726743</v>
      </c>
      <c r="D814" s="36" t="n">
        <v>0.2016880132804536</v>
      </c>
      <c r="E814" s="36" t="n">
        <v>0.7313713071333117</v>
      </c>
      <c r="F814" s="36" t="n">
        <v>0.805586105695467</v>
      </c>
      <c r="G814" s="36" t="n">
        <v>0.1253260097744507</v>
      </c>
      <c r="H814" s="37">
        <f>SUM(B814:G814)</f>
        <v/>
      </c>
      <c r="I814" s="25">
        <f>B814/$H814</f>
        <v/>
      </c>
      <c r="J814" s="25">
        <f>C814/$H814</f>
        <v/>
      </c>
      <c r="K814" s="25">
        <f>D814/$H814</f>
        <v/>
      </c>
      <c r="L814" s="25">
        <f>E814/$H814</f>
        <v/>
      </c>
      <c r="M814" s="25">
        <f>F814/$H814</f>
        <v/>
      </c>
      <c r="N814" s="25">
        <f>G814/$H814</f>
        <v/>
      </c>
      <c r="O814" s="25">
        <f>SUM(MMULT(I814:N814,'07 Annualised Inputs'!$D$7:$D$12))</f>
        <v/>
      </c>
      <c r="P814" s="25">
        <f>SQRT(SUMPRODUCT(MMULT(I814:N814,'07 Annualised Inputs'!$B$17:$G$22),I814:N814))</f>
        <v/>
      </c>
      <c r="Q814" s="37">
        <f>(O814-'02 Config'!$B$10)/P814</f>
        <v/>
      </c>
    </row>
    <row r="815">
      <c r="A815" s="12" t="n">
        <v>810</v>
      </c>
      <c r="B815" s="36" t="n">
        <v>0.08674576828800407</v>
      </c>
      <c r="C815" s="36" t="n">
        <v>0.9495727706536599</v>
      </c>
      <c r="D815" s="36" t="n">
        <v>0.4630468067525807</v>
      </c>
      <c r="E815" s="36" t="n">
        <v>0.6302354949729884</v>
      </c>
      <c r="F815" s="36" t="n">
        <v>0.02326044012176776</v>
      </c>
      <c r="G815" s="36" t="n">
        <v>0.2787101805563399</v>
      </c>
      <c r="H815" s="37">
        <f>SUM(B815:G815)</f>
        <v/>
      </c>
      <c r="I815" s="25">
        <f>B815/$H815</f>
        <v/>
      </c>
      <c r="J815" s="25">
        <f>C815/$H815</f>
        <v/>
      </c>
      <c r="K815" s="25">
        <f>D815/$H815</f>
        <v/>
      </c>
      <c r="L815" s="25">
        <f>E815/$H815</f>
        <v/>
      </c>
      <c r="M815" s="25">
        <f>F815/$H815</f>
        <v/>
      </c>
      <c r="N815" s="25">
        <f>G815/$H815</f>
        <v/>
      </c>
      <c r="O815" s="25">
        <f>SUM(MMULT(I815:N815,'07 Annualised Inputs'!$D$7:$D$12))</f>
        <v/>
      </c>
      <c r="P815" s="25">
        <f>SQRT(SUMPRODUCT(MMULT(I815:N815,'07 Annualised Inputs'!$B$17:$G$22),I815:N815))</f>
        <v/>
      </c>
      <c r="Q815" s="37">
        <f>(O815-'02 Config'!$B$10)/P815</f>
        <v/>
      </c>
    </row>
    <row r="816">
      <c r="A816" s="12" t="n">
        <v>811</v>
      </c>
      <c r="B816" s="36" t="n">
        <v>0.5053976545593862</v>
      </c>
      <c r="C816" s="36" t="n">
        <v>0.8862183133894039</v>
      </c>
      <c r="D816" s="36" t="n">
        <v>0.2714394175643763</v>
      </c>
      <c r="E816" s="36" t="n">
        <v>0.7751913198587196</v>
      </c>
      <c r="F816" s="36" t="n">
        <v>0.6622129282587018</v>
      </c>
      <c r="G816" s="36" t="n">
        <v>0.115270767805745</v>
      </c>
      <c r="H816" s="37">
        <f>SUM(B816:G816)</f>
        <v/>
      </c>
      <c r="I816" s="25">
        <f>B816/$H816</f>
        <v/>
      </c>
      <c r="J816" s="25">
        <f>C816/$H816</f>
        <v/>
      </c>
      <c r="K816" s="25">
        <f>D816/$H816</f>
        <v/>
      </c>
      <c r="L816" s="25">
        <f>E816/$H816</f>
        <v/>
      </c>
      <c r="M816" s="25">
        <f>F816/$H816</f>
        <v/>
      </c>
      <c r="N816" s="25">
        <f>G816/$H816</f>
        <v/>
      </c>
      <c r="O816" s="25">
        <f>SUM(MMULT(I816:N816,'07 Annualised Inputs'!$D$7:$D$12))</f>
        <v/>
      </c>
      <c r="P816" s="25">
        <f>SQRT(SUMPRODUCT(MMULT(I816:N816,'07 Annualised Inputs'!$B$17:$G$22),I816:N816))</f>
        <v/>
      </c>
      <c r="Q816" s="37">
        <f>(O816-'02 Config'!$B$10)/P816</f>
        <v/>
      </c>
    </row>
    <row r="817">
      <c r="A817" s="12" t="n">
        <v>812</v>
      </c>
      <c r="B817" s="36" t="n">
        <v>0.2933751727919965</v>
      </c>
      <c r="C817" s="36" t="n">
        <v>0.2378640364386198</v>
      </c>
      <c r="D817" s="36" t="n">
        <v>0.4425275875732855</v>
      </c>
      <c r="E817" s="36" t="n">
        <v>0.6353342430475842</v>
      </c>
      <c r="F817" s="36" t="n">
        <v>0.4334197555085066</v>
      </c>
      <c r="G817" s="36" t="n">
        <v>0.244536575751806</v>
      </c>
      <c r="H817" s="37">
        <f>SUM(B817:G817)</f>
        <v/>
      </c>
      <c r="I817" s="25">
        <f>B817/$H817</f>
        <v/>
      </c>
      <c r="J817" s="25">
        <f>C817/$H817</f>
        <v/>
      </c>
      <c r="K817" s="25">
        <f>D817/$H817</f>
        <v/>
      </c>
      <c r="L817" s="25">
        <f>E817/$H817</f>
        <v/>
      </c>
      <c r="M817" s="25">
        <f>F817/$H817</f>
        <v/>
      </c>
      <c r="N817" s="25">
        <f>G817/$H817</f>
        <v/>
      </c>
      <c r="O817" s="25">
        <f>SUM(MMULT(I817:N817,'07 Annualised Inputs'!$D$7:$D$12))</f>
        <v/>
      </c>
      <c r="P817" s="25">
        <f>SQRT(SUMPRODUCT(MMULT(I817:N817,'07 Annualised Inputs'!$B$17:$G$22),I817:N817))</f>
        <v/>
      </c>
      <c r="Q817" s="37">
        <f>(O817-'02 Config'!$B$10)/P817</f>
        <v/>
      </c>
    </row>
    <row r="818">
      <c r="A818" s="12" t="n">
        <v>813</v>
      </c>
      <c r="B818" s="36" t="n">
        <v>0.6958787682282754</v>
      </c>
      <c r="C818" s="36" t="n">
        <v>0.5844710947114898</v>
      </c>
      <c r="D818" s="36" t="n">
        <v>0.5193139074156919</v>
      </c>
      <c r="E818" s="36" t="n">
        <v>0.5544195974459784</v>
      </c>
      <c r="F818" s="36" t="n">
        <v>0.2219006462938236</v>
      </c>
      <c r="G818" s="36" t="n">
        <v>0.6804310610924562</v>
      </c>
      <c r="H818" s="37">
        <f>SUM(B818:G818)</f>
        <v/>
      </c>
      <c r="I818" s="25">
        <f>B818/$H818</f>
        <v/>
      </c>
      <c r="J818" s="25">
        <f>C818/$H818</f>
        <v/>
      </c>
      <c r="K818" s="25">
        <f>D818/$H818</f>
        <v/>
      </c>
      <c r="L818" s="25">
        <f>E818/$H818</f>
        <v/>
      </c>
      <c r="M818" s="25">
        <f>F818/$H818</f>
        <v/>
      </c>
      <c r="N818" s="25">
        <f>G818/$H818</f>
        <v/>
      </c>
      <c r="O818" s="25">
        <f>SUM(MMULT(I818:N818,'07 Annualised Inputs'!$D$7:$D$12))</f>
        <v/>
      </c>
      <c r="P818" s="25">
        <f>SQRT(SUMPRODUCT(MMULT(I818:N818,'07 Annualised Inputs'!$B$17:$G$22),I818:N818))</f>
        <v/>
      </c>
      <c r="Q818" s="37">
        <f>(O818-'02 Config'!$B$10)/P818</f>
        <v/>
      </c>
    </row>
    <row r="819">
      <c r="A819" s="12" t="n">
        <v>814</v>
      </c>
      <c r="B819" s="36" t="n">
        <v>0.3875005355387683</v>
      </c>
      <c r="C819" s="36" t="n">
        <v>0.3634678197300196</v>
      </c>
      <c r="D819" s="36" t="n">
        <v>0.1497342082667705</v>
      </c>
      <c r="E819" s="36" t="n">
        <v>0.5968373345504464</v>
      </c>
      <c r="F819" s="36" t="n">
        <v>0.6026644105465065</v>
      </c>
      <c r="G819" s="36" t="n">
        <v>0.3403006436665283</v>
      </c>
      <c r="H819" s="37">
        <f>SUM(B819:G819)</f>
        <v/>
      </c>
      <c r="I819" s="25">
        <f>B819/$H819</f>
        <v/>
      </c>
      <c r="J819" s="25">
        <f>C819/$H819</f>
        <v/>
      </c>
      <c r="K819" s="25">
        <f>D819/$H819</f>
        <v/>
      </c>
      <c r="L819" s="25">
        <f>E819/$H819</f>
        <v/>
      </c>
      <c r="M819" s="25">
        <f>F819/$H819</f>
        <v/>
      </c>
      <c r="N819" s="25">
        <f>G819/$H819</f>
        <v/>
      </c>
      <c r="O819" s="25">
        <f>SUM(MMULT(I819:N819,'07 Annualised Inputs'!$D$7:$D$12))</f>
        <v/>
      </c>
      <c r="P819" s="25">
        <f>SQRT(SUMPRODUCT(MMULT(I819:N819,'07 Annualised Inputs'!$B$17:$G$22),I819:N819))</f>
        <v/>
      </c>
      <c r="Q819" s="37">
        <f>(O819-'02 Config'!$B$10)/P819</f>
        <v/>
      </c>
    </row>
    <row r="820">
      <c r="A820" s="12" t="n">
        <v>815</v>
      </c>
      <c r="B820" s="36" t="n">
        <v>0.8598500568655341</v>
      </c>
      <c r="C820" s="36" t="n">
        <v>0.8454578987154283</v>
      </c>
      <c r="D820" s="36" t="n">
        <v>0.1090543064824313</v>
      </c>
      <c r="E820" s="36" t="n">
        <v>0.6950383878099182</v>
      </c>
      <c r="F820" s="36" t="n">
        <v>0.3938347561850223</v>
      </c>
      <c r="G820" s="36" t="n">
        <v>0.9997148510628928</v>
      </c>
      <c r="H820" s="37">
        <f>SUM(B820:G820)</f>
        <v/>
      </c>
      <c r="I820" s="25">
        <f>B820/$H820</f>
        <v/>
      </c>
      <c r="J820" s="25">
        <f>C820/$H820</f>
        <v/>
      </c>
      <c r="K820" s="25">
        <f>D820/$H820</f>
        <v/>
      </c>
      <c r="L820" s="25">
        <f>E820/$H820</f>
        <v/>
      </c>
      <c r="M820" s="25">
        <f>F820/$H820</f>
        <v/>
      </c>
      <c r="N820" s="25">
        <f>G820/$H820</f>
        <v/>
      </c>
      <c r="O820" s="25">
        <f>SUM(MMULT(I820:N820,'07 Annualised Inputs'!$D$7:$D$12))</f>
        <v/>
      </c>
      <c r="P820" s="25">
        <f>SQRT(SUMPRODUCT(MMULT(I820:N820,'07 Annualised Inputs'!$B$17:$G$22),I820:N820))</f>
        <v/>
      </c>
      <c r="Q820" s="37">
        <f>(O820-'02 Config'!$B$10)/P820</f>
        <v/>
      </c>
    </row>
    <row r="821">
      <c r="A821" s="12" t="n">
        <v>816</v>
      </c>
      <c r="B821" s="36" t="n">
        <v>0.2250236296846524</v>
      </c>
      <c r="C821" s="36" t="n">
        <v>0.2805242054144894</v>
      </c>
      <c r="D821" s="36" t="n">
        <v>0.4421062945557275</v>
      </c>
      <c r="E821" s="36" t="n">
        <v>0.2687151486806632</v>
      </c>
      <c r="F821" s="36" t="n">
        <v>0.6919933663865142</v>
      </c>
      <c r="G821" s="36" t="n">
        <v>0.4809081121814806</v>
      </c>
      <c r="H821" s="37">
        <f>SUM(B821:G821)</f>
        <v/>
      </c>
      <c r="I821" s="25">
        <f>B821/$H821</f>
        <v/>
      </c>
      <c r="J821" s="25">
        <f>C821/$H821</f>
        <v/>
      </c>
      <c r="K821" s="25">
        <f>D821/$H821</f>
        <v/>
      </c>
      <c r="L821" s="25">
        <f>E821/$H821</f>
        <v/>
      </c>
      <c r="M821" s="25">
        <f>F821/$H821</f>
        <v/>
      </c>
      <c r="N821" s="25">
        <f>G821/$H821</f>
        <v/>
      </c>
      <c r="O821" s="25">
        <f>SUM(MMULT(I821:N821,'07 Annualised Inputs'!$D$7:$D$12))</f>
        <v/>
      </c>
      <c r="P821" s="25">
        <f>SQRT(SUMPRODUCT(MMULT(I821:N821,'07 Annualised Inputs'!$B$17:$G$22),I821:N821))</f>
        <v/>
      </c>
      <c r="Q821" s="37">
        <f>(O821-'02 Config'!$B$10)/P821</f>
        <v/>
      </c>
    </row>
    <row r="822">
      <c r="A822" s="12" t="n">
        <v>817</v>
      </c>
      <c r="B822" s="36" t="n">
        <v>0.2208788348495402</v>
      </c>
      <c r="C822" s="36" t="n">
        <v>0.5063740694865626</v>
      </c>
      <c r="D822" s="36" t="n">
        <v>0.8887877663650384</v>
      </c>
      <c r="E822" s="36" t="n">
        <v>0.7923956468500528</v>
      </c>
      <c r="F822" s="36" t="n">
        <v>0.498828924426821</v>
      </c>
      <c r="G822" s="36" t="n">
        <v>0.2884926031419477</v>
      </c>
      <c r="H822" s="37">
        <f>SUM(B822:G822)</f>
        <v/>
      </c>
      <c r="I822" s="25">
        <f>B822/$H822</f>
        <v/>
      </c>
      <c r="J822" s="25">
        <f>C822/$H822</f>
        <v/>
      </c>
      <c r="K822" s="25">
        <f>D822/$H822</f>
        <v/>
      </c>
      <c r="L822" s="25">
        <f>E822/$H822</f>
        <v/>
      </c>
      <c r="M822" s="25">
        <f>F822/$H822</f>
        <v/>
      </c>
      <c r="N822" s="25">
        <f>G822/$H822</f>
        <v/>
      </c>
      <c r="O822" s="25">
        <f>SUM(MMULT(I822:N822,'07 Annualised Inputs'!$D$7:$D$12))</f>
        <v/>
      </c>
      <c r="P822" s="25">
        <f>SQRT(SUMPRODUCT(MMULT(I822:N822,'07 Annualised Inputs'!$B$17:$G$22),I822:N822))</f>
        <v/>
      </c>
      <c r="Q822" s="37">
        <f>(O822-'02 Config'!$B$10)/P822</f>
        <v/>
      </c>
    </row>
    <row r="823">
      <c r="A823" s="12" t="n">
        <v>818</v>
      </c>
      <c r="B823" s="36" t="n">
        <v>0.1798864647025278</v>
      </c>
      <c r="C823" s="36" t="n">
        <v>0.8783828771868954</v>
      </c>
      <c r="D823" s="36" t="n">
        <v>0.7101669404986963</v>
      </c>
      <c r="E823" s="36" t="n">
        <v>0.5721633031474584</v>
      </c>
      <c r="F823" s="36" t="n">
        <v>0.8794346459536684</v>
      </c>
      <c r="G823" s="36" t="n">
        <v>0.1216902873740895</v>
      </c>
      <c r="H823" s="37">
        <f>SUM(B823:G823)</f>
        <v/>
      </c>
      <c r="I823" s="25">
        <f>B823/$H823</f>
        <v/>
      </c>
      <c r="J823" s="25">
        <f>C823/$H823</f>
        <v/>
      </c>
      <c r="K823" s="25">
        <f>D823/$H823</f>
        <v/>
      </c>
      <c r="L823" s="25">
        <f>E823/$H823</f>
        <v/>
      </c>
      <c r="M823" s="25">
        <f>F823/$H823</f>
        <v/>
      </c>
      <c r="N823" s="25">
        <f>G823/$H823</f>
        <v/>
      </c>
      <c r="O823" s="25">
        <f>SUM(MMULT(I823:N823,'07 Annualised Inputs'!$D$7:$D$12))</f>
        <v/>
      </c>
      <c r="P823" s="25">
        <f>SQRT(SUMPRODUCT(MMULT(I823:N823,'07 Annualised Inputs'!$B$17:$G$22),I823:N823))</f>
        <v/>
      </c>
      <c r="Q823" s="37">
        <f>(O823-'02 Config'!$B$10)/P823</f>
        <v/>
      </c>
    </row>
    <row r="824">
      <c r="A824" s="12" t="n">
        <v>819</v>
      </c>
      <c r="B824" s="36" t="n">
        <v>0.6824892860020683</v>
      </c>
      <c r="C824" s="36" t="n">
        <v>0.216712312413232</v>
      </c>
      <c r="D824" s="36" t="n">
        <v>0.120577441015987</v>
      </c>
      <c r="E824" s="36" t="n">
        <v>0.4656085100069332</v>
      </c>
      <c r="F824" s="36" t="n">
        <v>0.3873929297643537</v>
      </c>
      <c r="G824" s="36" t="n">
        <v>0.9411736093251855</v>
      </c>
      <c r="H824" s="37">
        <f>SUM(B824:G824)</f>
        <v/>
      </c>
      <c r="I824" s="25">
        <f>B824/$H824</f>
        <v/>
      </c>
      <c r="J824" s="25">
        <f>C824/$H824</f>
        <v/>
      </c>
      <c r="K824" s="25">
        <f>D824/$H824</f>
        <v/>
      </c>
      <c r="L824" s="25">
        <f>E824/$H824</f>
        <v/>
      </c>
      <c r="M824" s="25">
        <f>F824/$H824</f>
        <v/>
      </c>
      <c r="N824" s="25">
        <f>G824/$H824</f>
        <v/>
      </c>
      <c r="O824" s="25">
        <f>SUM(MMULT(I824:N824,'07 Annualised Inputs'!$D$7:$D$12))</f>
        <v/>
      </c>
      <c r="P824" s="25">
        <f>SQRT(SUMPRODUCT(MMULT(I824:N824,'07 Annualised Inputs'!$B$17:$G$22),I824:N824))</f>
        <v/>
      </c>
      <c r="Q824" s="37">
        <f>(O824-'02 Config'!$B$10)/P824</f>
        <v/>
      </c>
    </row>
    <row r="825">
      <c r="A825" s="12" t="n">
        <v>820</v>
      </c>
      <c r="B825" s="36" t="n">
        <v>0.3239795467518164</v>
      </c>
      <c r="C825" s="36" t="n">
        <v>0.8149022590520024</v>
      </c>
      <c r="D825" s="36" t="n">
        <v>0.7488270004683447</v>
      </c>
      <c r="E825" s="36" t="n">
        <v>0.6679238700585363</v>
      </c>
      <c r="F825" s="36" t="n">
        <v>0.9204004729600596</v>
      </c>
      <c r="G825" s="36" t="n">
        <v>0.4079245943813421</v>
      </c>
      <c r="H825" s="37">
        <f>SUM(B825:G825)</f>
        <v/>
      </c>
      <c r="I825" s="25">
        <f>B825/$H825</f>
        <v/>
      </c>
      <c r="J825" s="25">
        <f>C825/$H825</f>
        <v/>
      </c>
      <c r="K825" s="25">
        <f>D825/$H825</f>
        <v/>
      </c>
      <c r="L825" s="25">
        <f>E825/$H825</f>
        <v/>
      </c>
      <c r="M825" s="25">
        <f>F825/$H825</f>
        <v/>
      </c>
      <c r="N825" s="25">
        <f>G825/$H825</f>
        <v/>
      </c>
      <c r="O825" s="25">
        <f>SUM(MMULT(I825:N825,'07 Annualised Inputs'!$D$7:$D$12))</f>
        <v/>
      </c>
      <c r="P825" s="25">
        <f>SQRT(SUMPRODUCT(MMULT(I825:N825,'07 Annualised Inputs'!$B$17:$G$22),I825:N825))</f>
        <v/>
      </c>
      <c r="Q825" s="37">
        <f>(O825-'02 Config'!$B$10)/P825</f>
        <v/>
      </c>
    </row>
    <row r="826">
      <c r="A826" s="12" t="n">
        <v>821</v>
      </c>
      <c r="B826" s="36" t="n">
        <v>0.3896711859828657</v>
      </c>
      <c r="C826" s="36" t="n">
        <v>0.1609474235815094</v>
      </c>
      <c r="D826" s="36" t="n">
        <v>0.2757620754950691</v>
      </c>
      <c r="E826" s="36" t="n">
        <v>0.8797764560608707</v>
      </c>
      <c r="F826" s="36" t="n">
        <v>0.474382132911368</v>
      </c>
      <c r="G826" s="36" t="n">
        <v>0.3413533221907105</v>
      </c>
      <c r="H826" s="37">
        <f>SUM(B826:G826)</f>
        <v/>
      </c>
      <c r="I826" s="25">
        <f>B826/$H826</f>
        <v/>
      </c>
      <c r="J826" s="25">
        <f>C826/$H826</f>
        <v/>
      </c>
      <c r="K826" s="25">
        <f>D826/$H826</f>
        <v/>
      </c>
      <c r="L826" s="25">
        <f>E826/$H826</f>
        <v/>
      </c>
      <c r="M826" s="25">
        <f>F826/$H826</f>
        <v/>
      </c>
      <c r="N826" s="25">
        <f>G826/$H826</f>
        <v/>
      </c>
      <c r="O826" s="25">
        <f>SUM(MMULT(I826:N826,'07 Annualised Inputs'!$D$7:$D$12))</f>
        <v/>
      </c>
      <c r="P826" s="25">
        <f>SQRT(SUMPRODUCT(MMULT(I826:N826,'07 Annualised Inputs'!$B$17:$G$22),I826:N826))</f>
        <v/>
      </c>
      <c r="Q826" s="37">
        <f>(O826-'02 Config'!$B$10)/P826</f>
        <v/>
      </c>
    </row>
    <row r="827">
      <c r="A827" s="12" t="n">
        <v>822</v>
      </c>
      <c r="B827" s="36" t="n">
        <v>0.2161120550821711</v>
      </c>
      <c r="C827" s="36" t="n">
        <v>0.484960250243615</v>
      </c>
      <c r="D827" s="36" t="n">
        <v>0.7166653704645288</v>
      </c>
      <c r="E827" s="36" t="n">
        <v>0.2866920254570754</v>
      </c>
      <c r="F827" s="36" t="n">
        <v>0.7577165208126542</v>
      </c>
      <c r="G827" s="36" t="n">
        <v>0.6297877747249184</v>
      </c>
      <c r="H827" s="37">
        <f>SUM(B827:G827)</f>
        <v/>
      </c>
      <c r="I827" s="25">
        <f>B827/$H827</f>
        <v/>
      </c>
      <c r="J827" s="25">
        <f>C827/$H827</f>
        <v/>
      </c>
      <c r="K827" s="25">
        <f>D827/$H827</f>
        <v/>
      </c>
      <c r="L827" s="25">
        <f>E827/$H827</f>
        <v/>
      </c>
      <c r="M827" s="25">
        <f>F827/$H827</f>
        <v/>
      </c>
      <c r="N827" s="25">
        <f>G827/$H827</f>
        <v/>
      </c>
      <c r="O827" s="25">
        <f>SUM(MMULT(I827:N827,'07 Annualised Inputs'!$D$7:$D$12))</f>
        <v/>
      </c>
      <c r="P827" s="25">
        <f>SQRT(SUMPRODUCT(MMULT(I827:N827,'07 Annualised Inputs'!$B$17:$G$22),I827:N827))</f>
        <v/>
      </c>
      <c r="Q827" s="37">
        <f>(O827-'02 Config'!$B$10)/P827</f>
        <v/>
      </c>
    </row>
    <row r="828">
      <c r="A828" s="12" t="n">
        <v>823</v>
      </c>
      <c r="B828" s="36" t="n">
        <v>0.7875625625397042</v>
      </c>
      <c r="C828" s="36" t="n">
        <v>0.2509096288749123</v>
      </c>
      <c r="D828" s="36" t="n">
        <v>0.6310281447330454</v>
      </c>
      <c r="E828" s="36" t="n">
        <v>0.1537352794888419</v>
      </c>
      <c r="F828" s="36" t="n">
        <v>0.3637969821646367</v>
      </c>
      <c r="G828" s="36" t="n">
        <v>0.7243600948428013</v>
      </c>
      <c r="H828" s="37">
        <f>SUM(B828:G828)</f>
        <v/>
      </c>
      <c r="I828" s="25">
        <f>B828/$H828</f>
        <v/>
      </c>
      <c r="J828" s="25">
        <f>C828/$H828</f>
        <v/>
      </c>
      <c r="K828" s="25">
        <f>D828/$H828</f>
        <v/>
      </c>
      <c r="L828" s="25">
        <f>E828/$H828</f>
        <v/>
      </c>
      <c r="M828" s="25">
        <f>F828/$H828</f>
        <v/>
      </c>
      <c r="N828" s="25">
        <f>G828/$H828</f>
        <v/>
      </c>
      <c r="O828" s="25">
        <f>SUM(MMULT(I828:N828,'07 Annualised Inputs'!$D$7:$D$12))</f>
        <v/>
      </c>
      <c r="P828" s="25">
        <f>SQRT(SUMPRODUCT(MMULT(I828:N828,'07 Annualised Inputs'!$B$17:$G$22),I828:N828))</f>
        <v/>
      </c>
      <c r="Q828" s="37">
        <f>(O828-'02 Config'!$B$10)/P828</f>
        <v/>
      </c>
    </row>
    <row r="829">
      <c r="A829" s="12" t="n">
        <v>824</v>
      </c>
      <c r="B829" s="36" t="n">
        <v>0.6316683855799359</v>
      </c>
      <c r="C829" s="36" t="n">
        <v>0.187860725337522</v>
      </c>
      <c r="D829" s="36" t="n">
        <v>0.8583426720925291</v>
      </c>
      <c r="E829" s="36" t="n">
        <v>0.05335098234518187</v>
      </c>
      <c r="F829" s="36" t="n">
        <v>0.5952156885166495</v>
      </c>
      <c r="G829" s="36" t="n">
        <v>0.9838205002316063</v>
      </c>
      <c r="H829" s="37">
        <f>SUM(B829:G829)</f>
        <v/>
      </c>
      <c r="I829" s="25">
        <f>B829/$H829</f>
        <v/>
      </c>
      <c r="J829" s="25">
        <f>C829/$H829</f>
        <v/>
      </c>
      <c r="K829" s="25">
        <f>D829/$H829</f>
        <v/>
      </c>
      <c r="L829" s="25">
        <f>E829/$H829</f>
        <v/>
      </c>
      <c r="M829" s="25">
        <f>F829/$H829</f>
        <v/>
      </c>
      <c r="N829" s="25">
        <f>G829/$H829</f>
        <v/>
      </c>
      <c r="O829" s="25">
        <f>SUM(MMULT(I829:N829,'07 Annualised Inputs'!$D$7:$D$12))</f>
        <v/>
      </c>
      <c r="P829" s="25">
        <f>SQRT(SUMPRODUCT(MMULT(I829:N829,'07 Annualised Inputs'!$B$17:$G$22),I829:N829))</f>
        <v/>
      </c>
      <c r="Q829" s="37">
        <f>(O829-'02 Config'!$B$10)/P829</f>
        <v/>
      </c>
    </row>
    <row r="830">
      <c r="A830" s="12" t="n">
        <v>825</v>
      </c>
      <c r="B830" s="36" t="n">
        <v>0.5315047318427486</v>
      </c>
      <c r="C830" s="36" t="n">
        <v>0.8006718199594207</v>
      </c>
      <c r="D830" s="36" t="n">
        <v>0.5951809731891021</v>
      </c>
      <c r="E830" s="36" t="n">
        <v>0.7830883149229926</v>
      </c>
      <c r="F830" s="36" t="n">
        <v>0.6555941353552872</v>
      </c>
      <c r="G830" s="36" t="n">
        <v>0.6911320145375287</v>
      </c>
      <c r="H830" s="37">
        <f>SUM(B830:G830)</f>
        <v/>
      </c>
      <c r="I830" s="25">
        <f>B830/$H830</f>
        <v/>
      </c>
      <c r="J830" s="25">
        <f>C830/$H830</f>
        <v/>
      </c>
      <c r="K830" s="25">
        <f>D830/$H830</f>
        <v/>
      </c>
      <c r="L830" s="25">
        <f>E830/$H830</f>
        <v/>
      </c>
      <c r="M830" s="25">
        <f>F830/$H830</f>
        <v/>
      </c>
      <c r="N830" s="25">
        <f>G830/$H830</f>
        <v/>
      </c>
      <c r="O830" s="25">
        <f>SUM(MMULT(I830:N830,'07 Annualised Inputs'!$D$7:$D$12))</f>
        <v/>
      </c>
      <c r="P830" s="25">
        <f>SQRT(SUMPRODUCT(MMULT(I830:N830,'07 Annualised Inputs'!$B$17:$G$22),I830:N830))</f>
        <v/>
      </c>
      <c r="Q830" s="37">
        <f>(O830-'02 Config'!$B$10)/P830</f>
        <v/>
      </c>
    </row>
    <row r="831">
      <c r="A831" s="12" t="n">
        <v>826</v>
      </c>
      <c r="B831" s="36" t="n">
        <v>0.2278111510863841</v>
      </c>
      <c r="C831" s="36" t="n">
        <v>0.7418209135729177</v>
      </c>
      <c r="D831" s="36" t="n">
        <v>0.2379098866643308</v>
      </c>
      <c r="E831" s="36" t="n">
        <v>0.9806402751425881</v>
      </c>
      <c r="F831" s="36" t="n">
        <v>0.2277871909612047</v>
      </c>
      <c r="G831" s="36" t="n">
        <v>0.2366840035976563</v>
      </c>
      <c r="H831" s="37">
        <f>SUM(B831:G831)</f>
        <v/>
      </c>
      <c r="I831" s="25">
        <f>B831/$H831</f>
        <v/>
      </c>
      <c r="J831" s="25">
        <f>C831/$H831</f>
        <v/>
      </c>
      <c r="K831" s="25">
        <f>D831/$H831</f>
        <v/>
      </c>
      <c r="L831" s="25">
        <f>E831/$H831</f>
        <v/>
      </c>
      <c r="M831" s="25">
        <f>F831/$H831</f>
        <v/>
      </c>
      <c r="N831" s="25">
        <f>G831/$H831</f>
        <v/>
      </c>
      <c r="O831" s="25">
        <f>SUM(MMULT(I831:N831,'07 Annualised Inputs'!$D$7:$D$12))</f>
        <v/>
      </c>
      <c r="P831" s="25">
        <f>SQRT(SUMPRODUCT(MMULT(I831:N831,'07 Annualised Inputs'!$B$17:$G$22),I831:N831))</f>
        <v/>
      </c>
      <c r="Q831" s="37">
        <f>(O831-'02 Config'!$B$10)/P831</f>
        <v/>
      </c>
    </row>
    <row r="832">
      <c r="A832" s="12" t="n">
        <v>827</v>
      </c>
      <c r="B832" s="36" t="n">
        <v>0.8586731204838641</v>
      </c>
      <c r="C832" s="36" t="n">
        <v>0.2429858619628191</v>
      </c>
      <c r="D832" s="36" t="n">
        <v>0.360902793491283</v>
      </c>
      <c r="E832" s="36" t="n">
        <v>0.714640161179027</v>
      </c>
      <c r="F832" s="36" t="n">
        <v>0.1587485801947632</v>
      </c>
      <c r="G832" s="36" t="n">
        <v>0.1590717548275022</v>
      </c>
      <c r="H832" s="37">
        <f>SUM(B832:G832)</f>
        <v/>
      </c>
      <c r="I832" s="25">
        <f>B832/$H832</f>
        <v/>
      </c>
      <c r="J832" s="25">
        <f>C832/$H832</f>
        <v/>
      </c>
      <c r="K832" s="25">
        <f>D832/$H832</f>
        <v/>
      </c>
      <c r="L832" s="25">
        <f>E832/$H832</f>
        <v/>
      </c>
      <c r="M832" s="25">
        <f>F832/$H832</f>
        <v/>
      </c>
      <c r="N832" s="25">
        <f>G832/$H832</f>
        <v/>
      </c>
      <c r="O832" s="25">
        <f>SUM(MMULT(I832:N832,'07 Annualised Inputs'!$D$7:$D$12))</f>
        <v/>
      </c>
      <c r="P832" s="25">
        <f>SQRT(SUMPRODUCT(MMULT(I832:N832,'07 Annualised Inputs'!$B$17:$G$22),I832:N832))</f>
        <v/>
      </c>
      <c r="Q832" s="37">
        <f>(O832-'02 Config'!$B$10)/P832</f>
        <v/>
      </c>
    </row>
    <row r="833">
      <c r="A833" s="12" t="n">
        <v>828</v>
      </c>
      <c r="B833" s="36" t="n">
        <v>0.4863584232666189</v>
      </c>
      <c r="C833" s="36" t="n">
        <v>0.2436967542327269</v>
      </c>
      <c r="D833" s="36" t="n">
        <v>0.2356579555690336</v>
      </c>
      <c r="E833" s="36" t="n">
        <v>0.00923892141851268</v>
      </c>
      <c r="F833" s="36" t="n">
        <v>0.370449591197948</v>
      </c>
      <c r="G833" s="36" t="n">
        <v>0.3182505546184032</v>
      </c>
      <c r="H833" s="37">
        <f>SUM(B833:G833)</f>
        <v/>
      </c>
      <c r="I833" s="25">
        <f>B833/$H833</f>
        <v/>
      </c>
      <c r="J833" s="25">
        <f>C833/$H833</f>
        <v/>
      </c>
      <c r="K833" s="25">
        <f>D833/$H833</f>
        <v/>
      </c>
      <c r="L833" s="25">
        <f>E833/$H833</f>
        <v/>
      </c>
      <c r="M833" s="25">
        <f>F833/$H833</f>
        <v/>
      </c>
      <c r="N833" s="25">
        <f>G833/$H833</f>
        <v/>
      </c>
      <c r="O833" s="25">
        <f>SUM(MMULT(I833:N833,'07 Annualised Inputs'!$D$7:$D$12))</f>
        <v/>
      </c>
      <c r="P833" s="25">
        <f>SQRT(SUMPRODUCT(MMULT(I833:N833,'07 Annualised Inputs'!$B$17:$G$22),I833:N833))</f>
        <v/>
      </c>
      <c r="Q833" s="37">
        <f>(O833-'02 Config'!$B$10)/P833</f>
        <v/>
      </c>
    </row>
    <row r="834">
      <c r="A834" s="12" t="n">
        <v>829</v>
      </c>
      <c r="B834" s="36" t="n">
        <v>0.0311558108266704</v>
      </c>
      <c r="C834" s="36" t="n">
        <v>0.6212331782136635</v>
      </c>
      <c r="D834" s="36" t="n">
        <v>0.626655182003354</v>
      </c>
      <c r="E834" s="36" t="n">
        <v>0.07080047177365889</v>
      </c>
      <c r="F834" s="36" t="n">
        <v>0.3170415629094531</v>
      </c>
      <c r="G834" s="36" t="n">
        <v>0.8728055319953978</v>
      </c>
      <c r="H834" s="37">
        <f>SUM(B834:G834)</f>
        <v/>
      </c>
      <c r="I834" s="25">
        <f>B834/$H834</f>
        <v/>
      </c>
      <c r="J834" s="25">
        <f>C834/$H834</f>
        <v/>
      </c>
      <c r="K834" s="25">
        <f>D834/$H834</f>
        <v/>
      </c>
      <c r="L834" s="25">
        <f>E834/$H834</f>
        <v/>
      </c>
      <c r="M834" s="25">
        <f>F834/$H834</f>
        <v/>
      </c>
      <c r="N834" s="25">
        <f>G834/$H834</f>
        <v/>
      </c>
      <c r="O834" s="25">
        <f>SUM(MMULT(I834:N834,'07 Annualised Inputs'!$D$7:$D$12))</f>
        <v/>
      </c>
      <c r="P834" s="25">
        <f>SQRT(SUMPRODUCT(MMULT(I834:N834,'07 Annualised Inputs'!$B$17:$G$22),I834:N834))</f>
        <v/>
      </c>
      <c r="Q834" s="37">
        <f>(O834-'02 Config'!$B$10)/P834</f>
        <v/>
      </c>
    </row>
    <row r="835">
      <c r="A835" s="12" t="n">
        <v>830</v>
      </c>
      <c r="B835" s="36" t="n">
        <v>0.5821670682445784</v>
      </c>
      <c r="C835" s="36" t="n">
        <v>0.4119747240119879</v>
      </c>
      <c r="D835" s="36" t="n">
        <v>0.4651019284640959</v>
      </c>
      <c r="E835" s="36" t="n">
        <v>0.2082799944358051</v>
      </c>
      <c r="F835" s="36" t="n">
        <v>0.811881500707928</v>
      </c>
      <c r="G835" s="36" t="n">
        <v>0.9140047054509676</v>
      </c>
      <c r="H835" s="37">
        <f>SUM(B835:G835)</f>
        <v/>
      </c>
      <c r="I835" s="25">
        <f>B835/$H835</f>
        <v/>
      </c>
      <c r="J835" s="25">
        <f>C835/$H835</f>
        <v/>
      </c>
      <c r="K835" s="25">
        <f>D835/$H835</f>
        <v/>
      </c>
      <c r="L835" s="25">
        <f>E835/$H835</f>
        <v/>
      </c>
      <c r="M835" s="25">
        <f>F835/$H835</f>
        <v/>
      </c>
      <c r="N835" s="25">
        <f>G835/$H835</f>
        <v/>
      </c>
      <c r="O835" s="25">
        <f>SUM(MMULT(I835:N835,'07 Annualised Inputs'!$D$7:$D$12))</f>
        <v/>
      </c>
      <c r="P835" s="25">
        <f>SQRT(SUMPRODUCT(MMULT(I835:N835,'07 Annualised Inputs'!$B$17:$G$22),I835:N835))</f>
        <v/>
      </c>
      <c r="Q835" s="37">
        <f>(O835-'02 Config'!$B$10)/P835</f>
        <v/>
      </c>
    </row>
    <row r="836">
      <c r="A836" s="12" t="n">
        <v>831</v>
      </c>
      <c r="B836" s="36" t="n">
        <v>0.9106640422500436</v>
      </c>
      <c r="C836" s="36" t="n">
        <v>0.2239343916922997</v>
      </c>
      <c r="D836" s="36" t="n">
        <v>0.3107402677764569</v>
      </c>
      <c r="E836" s="36" t="n">
        <v>0.1606227748095368</v>
      </c>
      <c r="F836" s="36" t="n">
        <v>0.3072011336323132</v>
      </c>
      <c r="G836" s="36" t="n">
        <v>0.3328053721226003</v>
      </c>
      <c r="H836" s="37">
        <f>SUM(B836:G836)</f>
        <v/>
      </c>
      <c r="I836" s="25">
        <f>B836/$H836</f>
        <v/>
      </c>
      <c r="J836" s="25">
        <f>C836/$H836</f>
        <v/>
      </c>
      <c r="K836" s="25">
        <f>D836/$H836</f>
        <v/>
      </c>
      <c r="L836" s="25">
        <f>E836/$H836</f>
        <v/>
      </c>
      <c r="M836" s="25">
        <f>F836/$H836</f>
        <v/>
      </c>
      <c r="N836" s="25">
        <f>G836/$H836</f>
        <v/>
      </c>
      <c r="O836" s="25">
        <f>SUM(MMULT(I836:N836,'07 Annualised Inputs'!$D$7:$D$12))</f>
        <v/>
      </c>
      <c r="P836" s="25">
        <f>SQRT(SUMPRODUCT(MMULT(I836:N836,'07 Annualised Inputs'!$B$17:$G$22),I836:N836))</f>
        <v/>
      </c>
      <c r="Q836" s="37">
        <f>(O836-'02 Config'!$B$10)/P836</f>
        <v/>
      </c>
    </row>
    <row r="837">
      <c r="A837" s="12" t="n">
        <v>832</v>
      </c>
      <c r="B837" s="36" t="n">
        <v>0.6331057370646355</v>
      </c>
      <c r="C837" s="36" t="n">
        <v>0.1896463815481246</v>
      </c>
      <c r="D837" s="36" t="n">
        <v>0.9193969243677436</v>
      </c>
      <c r="E837" s="36" t="n">
        <v>0.10309947008531</v>
      </c>
      <c r="F837" s="36" t="n">
        <v>0.006878011034333054</v>
      </c>
      <c r="G837" s="36" t="n">
        <v>0.8549451286305332</v>
      </c>
      <c r="H837" s="37">
        <f>SUM(B837:G837)</f>
        <v/>
      </c>
      <c r="I837" s="25">
        <f>B837/$H837</f>
        <v/>
      </c>
      <c r="J837" s="25">
        <f>C837/$H837</f>
        <v/>
      </c>
      <c r="K837" s="25">
        <f>D837/$H837</f>
        <v/>
      </c>
      <c r="L837" s="25">
        <f>E837/$H837</f>
        <v/>
      </c>
      <c r="M837" s="25">
        <f>F837/$H837</f>
        <v/>
      </c>
      <c r="N837" s="25">
        <f>G837/$H837</f>
        <v/>
      </c>
      <c r="O837" s="25">
        <f>SUM(MMULT(I837:N837,'07 Annualised Inputs'!$D$7:$D$12))</f>
        <v/>
      </c>
      <c r="P837" s="25">
        <f>SQRT(SUMPRODUCT(MMULT(I837:N837,'07 Annualised Inputs'!$B$17:$G$22),I837:N837))</f>
        <v/>
      </c>
      <c r="Q837" s="37">
        <f>(O837-'02 Config'!$B$10)/P837</f>
        <v/>
      </c>
    </row>
    <row r="838">
      <c r="A838" s="12" t="n">
        <v>833</v>
      </c>
      <c r="B838" s="36" t="n">
        <v>0.7037698077660497</v>
      </c>
      <c r="C838" s="36" t="n">
        <v>0.3553598703559985</v>
      </c>
      <c r="D838" s="36" t="n">
        <v>0.595499705910118</v>
      </c>
      <c r="E838" s="36" t="n">
        <v>0.2235441008392334</v>
      </c>
      <c r="F838" s="36" t="n">
        <v>0.168389648645376</v>
      </c>
      <c r="G838" s="36" t="n">
        <v>0.4711491351387228</v>
      </c>
      <c r="H838" s="37">
        <f>SUM(B838:G838)</f>
        <v/>
      </c>
      <c r="I838" s="25">
        <f>B838/$H838</f>
        <v/>
      </c>
      <c r="J838" s="25">
        <f>C838/$H838</f>
        <v/>
      </c>
      <c r="K838" s="25">
        <f>D838/$H838</f>
        <v/>
      </c>
      <c r="L838" s="25">
        <f>E838/$H838</f>
        <v/>
      </c>
      <c r="M838" s="25">
        <f>F838/$H838</f>
        <v/>
      </c>
      <c r="N838" s="25">
        <f>G838/$H838</f>
        <v/>
      </c>
      <c r="O838" s="25">
        <f>SUM(MMULT(I838:N838,'07 Annualised Inputs'!$D$7:$D$12))</f>
        <v/>
      </c>
      <c r="P838" s="25">
        <f>SQRT(SUMPRODUCT(MMULT(I838:N838,'07 Annualised Inputs'!$B$17:$G$22),I838:N838))</f>
        <v/>
      </c>
      <c r="Q838" s="37">
        <f>(O838-'02 Config'!$B$10)/P838</f>
        <v/>
      </c>
    </row>
    <row r="839">
      <c r="A839" s="12" t="n">
        <v>834</v>
      </c>
      <c r="B839" s="36" t="n">
        <v>0.3531878297209609</v>
      </c>
      <c r="C839" s="36" t="n">
        <v>0.6152300505352921</v>
      </c>
      <c r="D839" s="36" t="n">
        <v>0.2181491845610315</v>
      </c>
      <c r="E839" s="36" t="n">
        <v>0.6629277005606187</v>
      </c>
      <c r="F839" s="36" t="n">
        <v>0.7668615203028132</v>
      </c>
      <c r="G839" s="36" t="n">
        <v>0.1666361430284744</v>
      </c>
      <c r="H839" s="37">
        <f>SUM(B839:G839)</f>
        <v/>
      </c>
      <c r="I839" s="25">
        <f>B839/$H839</f>
        <v/>
      </c>
      <c r="J839" s="25">
        <f>C839/$H839</f>
        <v/>
      </c>
      <c r="K839" s="25">
        <f>D839/$H839</f>
        <v/>
      </c>
      <c r="L839" s="25">
        <f>E839/$H839</f>
        <v/>
      </c>
      <c r="M839" s="25">
        <f>F839/$H839</f>
        <v/>
      </c>
      <c r="N839" s="25">
        <f>G839/$H839</f>
        <v/>
      </c>
      <c r="O839" s="25">
        <f>SUM(MMULT(I839:N839,'07 Annualised Inputs'!$D$7:$D$12))</f>
        <v/>
      </c>
      <c r="P839" s="25">
        <f>SQRT(SUMPRODUCT(MMULT(I839:N839,'07 Annualised Inputs'!$B$17:$G$22),I839:N839))</f>
        <v/>
      </c>
      <c r="Q839" s="37">
        <f>(O839-'02 Config'!$B$10)/P839</f>
        <v/>
      </c>
    </row>
    <row r="840">
      <c r="A840" s="12" t="n">
        <v>835</v>
      </c>
      <c r="B840" s="36" t="n">
        <v>0.04385828341791598</v>
      </c>
      <c r="C840" s="36" t="n">
        <v>0.4395873753013387</v>
      </c>
      <c r="D840" s="36" t="n">
        <v>0.7740240859924371</v>
      </c>
      <c r="E840" s="36" t="n">
        <v>0.6507798355741427</v>
      </c>
      <c r="F840" s="36" t="n">
        <v>0.7018817204145913</v>
      </c>
      <c r="G840" s="36" t="n">
        <v>0.4028393399933684</v>
      </c>
      <c r="H840" s="37">
        <f>SUM(B840:G840)</f>
        <v/>
      </c>
      <c r="I840" s="25">
        <f>B840/$H840</f>
        <v/>
      </c>
      <c r="J840" s="25">
        <f>C840/$H840</f>
        <v/>
      </c>
      <c r="K840" s="25">
        <f>D840/$H840</f>
        <v/>
      </c>
      <c r="L840" s="25">
        <f>E840/$H840</f>
        <v/>
      </c>
      <c r="M840" s="25">
        <f>F840/$H840</f>
        <v/>
      </c>
      <c r="N840" s="25">
        <f>G840/$H840</f>
        <v/>
      </c>
      <c r="O840" s="25">
        <f>SUM(MMULT(I840:N840,'07 Annualised Inputs'!$D$7:$D$12))</f>
        <v/>
      </c>
      <c r="P840" s="25">
        <f>SQRT(SUMPRODUCT(MMULT(I840:N840,'07 Annualised Inputs'!$B$17:$G$22),I840:N840))</f>
        <v/>
      </c>
      <c r="Q840" s="37">
        <f>(O840-'02 Config'!$B$10)/P840</f>
        <v/>
      </c>
    </row>
    <row r="841">
      <c r="A841" s="12" t="n">
        <v>836</v>
      </c>
      <c r="B841" s="36" t="n">
        <v>0.2349455452530699</v>
      </c>
      <c r="C841" s="36" t="n">
        <v>0.5317788432846094</v>
      </c>
      <c r="D841" s="36" t="n">
        <v>0.2043656937491969</v>
      </c>
      <c r="E841" s="36" t="n">
        <v>0.7262286969850658</v>
      </c>
      <c r="F841" s="36" t="n">
        <v>0.196966455959477</v>
      </c>
      <c r="G841" s="36" t="n">
        <v>0.2912632667143414</v>
      </c>
      <c r="H841" s="37">
        <f>SUM(B841:G841)</f>
        <v/>
      </c>
      <c r="I841" s="25">
        <f>B841/$H841</f>
        <v/>
      </c>
      <c r="J841" s="25">
        <f>C841/$H841</f>
        <v/>
      </c>
      <c r="K841" s="25">
        <f>D841/$H841</f>
        <v/>
      </c>
      <c r="L841" s="25">
        <f>E841/$H841</f>
        <v/>
      </c>
      <c r="M841" s="25">
        <f>F841/$H841</f>
        <v/>
      </c>
      <c r="N841" s="25">
        <f>G841/$H841</f>
        <v/>
      </c>
      <c r="O841" s="25">
        <f>SUM(MMULT(I841:N841,'07 Annualised Inputs'!$D$7:$D$12))</f>
        <v/>
      </c>
      <c r="P841" s="25">
        <f>SQRT(SUMPRODUCT(MMULT(I841:N841,'07 Annualised Inputs'!$B$17:$G$22),I841:N841))</f>
        <v/>
      </c>
      <c r="Q841" s="37">
        <f>(O841-'02 Config'!$B$10)/P841</f>
        <v/>
      </c>
    </row>
    <row r="842">
      <c r="A842" s="12" t="n">
        <v>837</v>
      </c>
      <c r="B842" s="36" t="n">
        <v>0.5065447783230054</v>
      </c>
      <c r="C842" s="36" t="n">
        <v>0.4867099341434949</v>
      </c>
      <c r="D842" s="36" t="n">
        <v>0.6008493764070294</v>
      </c>
      <c r="E842" s="36" t="n">
        <v>0.437444600499917</v>
      </c>
      <c r="F842" s="36" t="n">
        <v>0.9194733085100913</v>
      </c>
      <c r="G842" s="36" t="n">
        <v>0.8399340941971882</v>
      </c>
      <c r="H842" s="37">
        <f>SUM(B842:G842)</f>
        <v/>
      </c>
      <c r="I842" s="25">
        <f>B842/$H842</f>
        <v/>
      </c>
      <c r="J842" s="25">
        <f>C842/$H842</f>
        <v/>
      </c>
      <c r="K842" s="25">
        <f>D842/$H842</f>
        <v/>
      </c>
      <c r="L842" s="25">
        <f>E842/$H842</f>
        <v/>
      </c>
      <c r="M842" s="25">
        <f>F842/$H842</f>
        <v/>
      </c>
      <c r="N842" s="25">
        <f>G842/$H842</f>
        <v/>
      </c>
      <c r="O842" s="25">
        <f>SUM(MMULT(I842:N842,'07 Annualised Inputs'!$D$7:$D$12))</f>
        <v/>
      </c>
      <c r="P842" s="25">
        <f>SQRT(SUMPRODUCT(MMULT(I842:N842,'07 Annualised Inputs'!$B$17:$G$22),I842:N842))</f>
        <v/>
      </c>
      <c r="Q842" s="37">
        <f>(O842-'02 Config'!$B$10)/P842</f>
        <v/>
      </c>
    </row>
    <row r="843">
      <c r="A843" s="12" t="n">
        <v>838</v>
      </c>
      <c r="B843" s="36" t="n">
        <v>0.8791134512366384</v>
      </c>
      <c r="C843" s="36" t="n">
        <v>0.6295165714034375</v>
      </c>
      <c r="D843" s="36" t="n">
        <v>0.6350079158608064</v>
      </c>
      <c r="E843" s="36" t="n">
        <v>0.6091986837159487</v>
      </c>
      <c r="F843" s="36" t="n">
        <v>0.4348841544214562</v>
      </c>
      <c r="G843" s="36" t="n">
        <v>0.3221060010672626</v>
      </c>
      <c r="H843" s="37">
        <f>SUM(B843:G843)</f>
        <v/>
      </c>
      <c r="I843" s="25">
        <f>B843/$H843</f>
        <v/>
      </c>
      <c r="J843" s="25">
        <f>C843/$H843</f>
        <v/>
      </c>
      <c r="K843" s="25">
        <f>D843/$H843</f>
        <v/>
      </c>
      <c r="L843" s="25">
        <f>E843/$H843</f>
        <v/>
      </c>
      <c r="M843" s="25">
        <f>F843/$H843</f>
        <v/>
      </c>
      <c r="N843" s="25">
        <f>G843/$H843</f>
        <v/>
      </c>
      <c r="O843" s="25">
        <f>SUM(MMULT(I843:N843,'07 Annualised Inputs'!$D$7:$D$12))</f>
        <v/>
      </c>
      <c r="P843" s="25">
        <f>SQRT(SUMPRODUCT(MMULT(I843:N843,'07 Annualised Inputs'!$B$17:$G$22),I843:N843))</f>
        <v/>
      </c>
      <c r="Q843" s="37">
        <f>(O843-'02 Config'!$B$10)/P843</f>
        <v/>
      </c>
    </row>
    <row r="844">
      <c r="A844" s="12" t="n">
        <v>839</v>
      </c>
      <c r="B844" s="36" t="n">
        <v>0.5920028874488703</v>
      </c>
      <c r="C844" s="36" t="n">
        <v>0.02553183713845031</v>
      </c>
      <c r="D844" s="36" t="n">
        <v>0.007456431423803034</v>
      </c>
      <c r="E844" s="36" t="n">
        <v>0.8516418262967486</v>
      </c>
      <c r="F844" s="36" t="n">
        <v>0.04642404477762219</v>
      </c>
      <c r="G844" s="36" t="n">
        <v>0.5247951503334181</v>
      </c>
      <c r="H844" s="37">
        <f>SUM(B844:G844)</f>
        <v/>
      </c>
      <c r="I844" s="25">
        <f>B844/$H844</f>
        <v/>
      </c>
      <c r="J844" s="25">
        <f>C844/$H844</f>
        <v/>
      </c>
      <c r="K844" s="25">
        <f>D844/$H844</f>
        <v/>
      </c>
      <c r="L844" s="25">
        <f>E844/$H844</f>
        <v/>
      </c>
      <c r="M844" s="25">
        <f>F844/$H844</f>
        <v/>
      </c>
      <c r="N844" s="25">
        <f>G844/$H844</f>
        <v/>
      </c>
      <c r="O844" s="25">
        <f>SUM(MMULT(I844:N844,'07 Annualised Inputs'!$D$7:$D$12))</f>
        <v/>
      </c>
      <c r="P844" s="25">
        <f>SQRT(SUMPRODUCT(MMULT(I844:N844,'07 Annualised Inputs'!$B$17:$G$22),I844:N844))</f>
        <v/>
      </c>
      <c r="Q844" s="37">
        <f>(O844-'02 Config'!$B$10)/P844</f>
        <v/>
      </c>
    </row>
    <row r="845">
      <c r="A845" s="12" t="n">
        <v>840</v>
      </c>
      <c r="B845" s="36" t="n">
        <v>0.6149877629496451</v>
      </c>
      <c r="C845" s="36" t="n">
        <v>0.1981712296224356</v>
      </c>
      <c r="D845" s="36" t="n">
        <v>0.8957308382651483</v>
      </c>
      <c r="E845" s="36" t="n">
        <v>0.190095771748375</v>
      </c>
      <c r="F845" s="36" t="n">
        <v>0.8845149873666747</v>
      </c>
      <c r="G845" s="36" t="n">
        <v>0.7629902693330352</v>
      </c>
      <c r="H845" s="37">
        <f>SUM(B845:G845)</f>
        <v/>
      </c>
      <c r="I845" s="25">
        <f>B845/$H845</f>
        <v/>
      </c>
      <c r="J845" s="25">
        <f>C845/$H845</f>
        <v/>
      </c>
      <c r="K845" s="25">
        <f>D845/$H845</f>
        <v/>
      </c>
      <c r="L845" s="25">
        <f>E845/$H845</f>
        <v/>
      </c>
      <c r="M845" s="25">
        <f>F845/$H845</f>
        <v/>
      </c>
      <c r="N845" s="25">
        <f>G845/$H845</f>
        <v/>
      </c>
      <c r="O845" s="25">
        <f>SUM(MMULT(I845:N845,'07 Annualised Inputs'!$D$7:$D$12))</f>
        <v/>
      </c>
      <c r="P845" s="25">
        <f>SQRT(SUMPRODUCT(MMULT(I845:N845,'07 Annualised Inputs'!$B$17:$G$22),I845:N845))</f>
        <v/>
      </c>
      <c r="Q845" s="37">
        <f>(O845-'02 Config'!$B$10)/P845</f>
        <v/>
      </c>
    </row>
    <row r="846">
      <c r="A846" s="12" t="n">
        <v>841</v>
      </c>
      <c r="B846" s="36" t="n">
        <v>0.2407429535241939</v>
      </c>
      <c r="C846" s="36" t="n">
        <v>0.1507441662760935</v>
      </c>
      <c r="D846" s="36" t="n">
        <v>0.3162327101862351</v>
      </c>
      <c r="E846" s="36" t="n">
        <v>0.3979505662702747</v>
      </c>
      <c r="F846" s="36" t="n">
        <v>0.2457846764989234</v>
      </c>
      <c r="G846" s="36" t="n">
        <v>0.9988915487544232</v>
      </c>
      <c r="H846" s="37">
        <f>SUM(B846:G846)</f>
        <v/>
      </c>
      <c r="I846" s="25">
        <f>B846/$H846</f>
        <v/>
      </c>
      <c r="J846" s="25">
        <f>C846/$H846</f>
        <v/>
      </c>
      <c r="K846" s="25">
        <f>D846/$H846</f>
        <v/>
      </c>
      <c r="L846" s="25">
        <f>E846/$H846</f>
        <v/>
      </c>
      <c r="M846" s="25">
        <f>F846/$H846</f>
        <v/>
      </c>
      <c r="N846" s="25">
        <f>G846/$H846</f>
        <v/>
      </c>
      <c r="O846" s="25">
        <f>SUM(MMULT(I846:N846,'07 Annualised Inputs'!$D$7:$D$12))</f>
        <v/>
      </c>
      <c r="P846" s="25">
        <f>SQRT(SUMPRODUCT(MMULT(I846:N846,'07 Annualised Inputs'!$B$17:$G$22),I846:N846))</f>
        <v/>
      </c>
      <c r="Q846" s="37">
        <f>(O846-'02 Config'!$B$10)/P846</f>
        <v/>
      </c>
    </row>
    <row r="847">
      <c r="A847" s="12" t="n">
        <v>842</v>
      </c>
      <c r="B847" s="36" t="n">
        <v>0.229652336239581</v>
      </c>
      <c r="C847" s="36" t="n">
        <v>0.830634826982857</v>
      </c>
      <c r="D847" s="36" t="n">
        <v>0.1591177470904728</v>
      </c>
      <c r="E847" s="36" t="n">
        <v>0.9802446252759475</v>
      </c>
      <c r="F847" s="36" t="n">
        <v>0.2255234582830848</v>
      </c>
      <c r="G847" s="36" t="n">
        <v>0.4216885547835922</v>
      </c>
      <c r="H847" s="37">
        <f>SUM(B847:G847)</f>
        <v/>
      </c>
      <c r="I847" s="25">
        <f>B847/$H847</f>
        <v/>
      </c>
      <c r="J847" s="25">
        <f>C847/$H847</f>
        <v/>
      </c>
      <c r="K847" s="25">
        <f>D847/$H847</f>
        <v/>
      </c>
      <c r="L847" s="25">
        <f>E847/$H847</f>
        <v/>
      </c>
      <c r="M847" s="25">
        <f>F847/$H847</f>
        <v/>
      </c>
      <c r="N847" s="25">
        <f>G847/$H847</f>
        <v/>
      </c>
      <c r="O847" s="25">
        <f>SUM(MMULT(I847:N847,'07 Annualised Inputs'!$D$7:$D$12))</f>
        <v/>
      </c>
      <c r="P847" s="25">
        <f>SQRT(SUMPRODUCT(MMULT(I847:N847,'07 Annualised Inputs'!$B$17:$G$22),I847:N847))</f>
        <v/>
      </c>
      <c r="Q847" s="37">
        <f>(O847-'02 Config'!$B$10)/P847</f>
        <v/>
      </c>
    </row>
    <row r="848">
      <c r="A848" s="12" t="n">
        <v>843</v>
      </c>
      <c r="B848" s="36" t="n">
        <v>0.5585640667679065</v>
      </c>
      <c r="C848" s="36" t="n">
        <v>0.1202857151560933</v>
      </c>
      <c r="D848" s="36" t="n">
        <v>0.8168200674791013</v>
      </c>
      <c r="E848" s="36" t="n">
        <v>0.2746855326808298</v>
      </c>
      <c r="F848" s="36" t="n">
        <v>0.5492699016016638</v>
      </c>
      <c r="G848" s="36" t="n">
        <v>0.5496338106932469</v>
      </c>
      <c r="H848" s="37">
        <f>SUM(B848:G848)</f>
        <v/>
      </c>
      <c r="I848" s="25">
        <f>B848/$H848</f>
        <v/>
      </c>
      <c r="J848" s="25">
        <f>C848/$H848</f>
        <v/>
      </c>
      <c r="K848" s="25">
        <f>D848/$H848</f>
        <v/>
      </c>
      <c r="L848" s="25">
        <f>E848/$H848</f>
        <v/>
      </c>
      <c r="M848" s="25">
        <f>F848/$H848</f>
        <v/>
      </c>
      <c r="N848" s="25">
        <f>G848/$H848</f>
        <v/>
      </c>
      <c r="O848" s="25">
        <f>SUM(MMULT(I848:N848,'07 Annualised Inputs'!$D$7:$D$12))</f>
        <v/>
      </c>
      <c r="P848" s="25">
        <f>SQRT(SUMPRODUCT(MMULT(I848:N848,'07 Annualised Inputs'!$B$17:$G$22),I848:N848))</f>
        <v/>
      </c>
      <c r="Q848" s="37">
        <f>(O848-'02 Config'!$B$10)/P848</f>
        <v/>
      </c>
    </row>
    <row r="849">
      <c r="A849" s="12" t="n">
        <v>844</v>
      </c>
      <c r="B849" s="36" t="n">
        <v>0.602640652325785</v>
      </c>
      <c r="C849" s="36" t="n">
        <v>0.05548598652431469</v>
      </c>
      <c r="D849" s="36" t="n">
        <v>0.1686187618315679</v>
      </c>
      <c r="E849" s="36" t="n">
        <v>0.1611922429233642</v>
      </c>
      <c r="F849" s="36" t="n">
        <v>0.3020512594158519</v>
      </c>
      <c r="G849" s="36" t="n">
        <v>0.1449141568583399</v>
      </c>
      <c r="H849" s="37">
        <f>SUM(B849:G849)</f>
        <v/>
      </c>
      <c r="I849" s="25">
        <f>B849/$H849</f>
        <v/>
      </c>
      <c r="J849" s="25">
        <f>C849/$H849</f>
        <v/>
      </c>
      <c r="K849" s="25">
        <f>D849/$H849</f>
        <v/>
      </c>
      <c r="L849" s="25">
        <f>E849/$H849</f>
        <v/>
      </c>
      <c r="M849" s="25">
        <f>F849/$H849</f>
        <v/>
      </c>
      <c r="N849" s="25">
        <f>G849/$H849</f>
        <v/>
      </c>
      <c r="O849" s="25">
        <f>SUM(MMULT(I849:N849,'07 Annualised Inputs'!$D$7:$D$12))</f>
        <v/>
      </c>
      <c r="P849" s="25">
        <f>SQRT(SUMPRODUCT(MMULT(I849:N849,'07 Annualised Inputs'!$B$17:$G$22),I849:N849))</f>
        <v/>
      </c>
      <c r="Q849" s="37">
        <f>(O849-'02 Config'!$B$10)/P849</f>
        <v/>
      </c>
    </row>
    <row r="850">
      <c r="A850" s="12" t="n">
        <v>845</v>
      </c>
      <c r="B850" s="36" t="n">
        <v>0.9219213207742897</v>
      </c>
      <c r="C850" s="36" t="n">
        <v>0.5129544505113007</v>
      </c>
      <c r="D850" s="36" t="n">
        <v>0.6235751477026844</v>
      </c>
      <c r="E850" s="36" t="n">
        <v>0.3574881753981208</v>
      </c>
      <c r="F850" s="36" t="n">
        <v>0.2762461410339115</v>
      </c>
      <c r="G850" s="36" t="n">
        <v>0.503177170232213</v>
      </c>
      <c r="H850" s="37">
        <f>SUM(B850:G850)</f>
        <v/>
      </c>
      <c r="I850" s="25">
        <f>B850/$H850</f>
        <v/>
      </c>
      <c r="J850" s="25">
        <f>C850/$H850</f>
        <v/>
      </c>
      <c r="K850" s="25">
        <f>D850/$H850</f>
        <v/>
      </c>
      <c r="L850" s="25">
        <f>E850/$H850</f>
        <v/>
      </c>
      <c r="M850" s="25">
        <f>F850/$H850</f>
        <v/>
      </c>
      <c r="N850" s="25">
        <f>G850/$H850</f>
        <v/>
      </c>
      <c r="O850" s="25">
        <f>SUM(MMULT(I850:N850,'07 Annualised Inputs'!$D$7:$D$12))</f>
        <v/>
      </c>
      <c r="P850" s="25">
        <f>SQRT(SUMPRODUCT(MMULT(I850:N850,'07 Annualised Inputs'!$B$17:$G$22),I850:N850))</f>
        <v/>
      </c>
      <c r="Q850" s="37">
        <f>(O850-'02 Config'!$B$10)/P850</f>
        <v/>
      </c>
    </row>
    <row r="851">
      <c r="A851" s="12" t="n">
        <v>846</v>
      </c>
      <c r="B851" s="36" t="n">
        <v>0.2943229748348336</v>
      </c>
      <c r="C851" s="36" t="n">
        <v>0.3436459257297643</v>
      </c>
      <c r="D851" s="36" t="n">
        <v>0.4527508742708571</v>
      </c>
      <c r="E851" s="36" t="n">
        <v>0.5057336871843555</v>
      </c>
      <c r="F851" s="36" t="n">
        <v>0.9843140117818387</v>
      </c>
      <c r="G851" s="36" t="n">
        <v>0.2233225881619405</v>
      </c>
      <c r="H851" s="37">
        <f>SUM(B851:G851)</f>
        <v/>
      </c>
      <c r="I851" s="25">
        <f>B851/$H851</f>
        <v/>
      </c>
      <c r="J851" s="25">
        <f>C851/$H851</f>
        <v/>
      </c>
      <c r="K851" s="25">
        <f>D851/$H851</f>
        <v/>
      </c>
      <c r="L851" s="25">
        <f>E851/$H851</f>
        <v/>
      </c>
      <c r="M851" s="25">
        <f>F851/$H851</f>
        <v/>
      </c>
      <c r="N851" s="25">
        <f>G851/$H851</f>
        <v/>
      </c>
      <c r="O851" s="25">
        <f>SUM(MMULT(I851:N851,'07 Annualised Inputs'!$D$7:$D$12))</f>
        <v/>
      </c>
      <c r="P851" s="25">
        <f>SQRT(SUMPRODUCT(MMULT(I851:N851,'07 Annualised Inputs'!$B$17:$G$22),I851:N851))</f>
        <v/>
      </c>
      <c r="Q851" s="37">
        <f>(O851-'02 Config'!$B$10)/P851</f>
        <v/>
      </c>
    </row>
    <row r="852">
      <c r="A852" s="12" t="n">
        <v>847</v>
      </c>
      <c r="B852" s="36" t="n">
        <v>0.4879761648826472</v>
      </c>
      <c r="C852" s="36" t="n">
        <v>0.1495117394893389</v>
      </c>
      <c r="D852" s="36" t="n">
        <v>0.3499992327079726</v>
      </c>
      <c r="E852" s="36" t="n">
        <v>0.7173107187064043</v>
      </c>
      <c r="F852" s="36" t="n">
        <v>0.1744621437605746</v>
      </c>
      <c r="G852" s="36" t="n">
        <v>0.5813513075500432</v>
      </c>
      <c r="H852" s="37">
        <f>SUM(B852:G852)</f>
        <v/>
      </c>
      <c r="I852" s="25">
        <f>B852/$H852</f>
        <v/>
      </c>
      <c r="J852" s="25">
        <f>C852/$H852</f>
        <v/>
      </c>
      <c r="K852" s="25">
        <f>D852/$H852</f>
        <v/>
      </c>
      <c r="L852" s="25">
        <f>E852/$H852</f>
        <v/>
      </c>
      <c r="M852" s="25">
        <f>F852/$H852</f>
        <v/>
      </c>
      <c r="N852" s="25">
        <f>G852/$H852</f>
        <v/>
      </c>
      <c r="O852" s="25">
        <f>SUM(MMULT(I852:N852,'07 Annualised Inputs'!$D$7:$D$12))</f>
        <v/>
      </c>
      <c r="P852" s="25">
        <f>SQRT(SUMPRODUCT(MMULT(I852:N852,'07 Annualised Inputs'!$B$17:$G$22),I852:N852))</f>
        <v/>
      </c>
      <c r="Q852" s="37">
        <f>(O852-'02 Config'!$B$10)/P852</f>
        <v/>
      </c>
    </row>
    <row r="853">
      <c r="A853" s="12" t="n">
        <v>848</v>
      </c>
      <c r="B853" s="36" t="n">
        <v>0.4167010235680072</v>
      </c>
      <c r="C853" s="36" t="n">
        <v>0.05157954440447299</v>
      </c>
      <c r="D853" s="36" t="n">
        <v>0.9330752414784446</v>
      </c>
      <c r="E853" s="36" t="n">
        <v>0.4136031402928864</v>
      </c>
      <c r="F853" s="36" t="n">
        <v>0.7839265357511662</v>
      </c>
      <c r="G853" s="36" t="n">
        <v>0.4163134887318003</v>
      </c>
      <c r="H853" s="37">
        <f>SUM(B853:G853)</f>
        <v/>
      </c>
      <c r="I853" s="25">
        <f>B853/$H853</f>
        <v/>
      </c>
      <c r="J853" s="25">
        <f>C853/$H853</f>
        <v/>
      </c>
      <c r="K853" s="25">
        <f>D853/$H853</f>
        <v/>
      </c>
      <c r="L853" s="25">
        <f>E853/$H853</f>
        <v/>
      </c>
      <c r="M853" s="25">
        <f>F853/$H853</f>
        <v/>
      </c>
      <c r="N853" s="25">
        <f>G853/$H853</f>
        <v/>
      </c>
      <c r="O853" s="25">
        <f>SUM(MMULT(I853:N853,'07 Annualised Inputs'!$D$7:$D$12))</f>
        <v/>
      </c>
      <c r="P853" s="25">
        <f>SQRT(SUMPRODUCT(MMULT(I853:N853,'07 Annualised Inputs'!$B$17:$G$22),I853:N853))</f>
        <v/>
      </c>
      <c r="Q853" s="37">
        <f>(O853-'02 Config'!$B$10)/P853</f>
        <v/>
      </c>
    </row>
    <row r="854">
      <c r="A854" s="12" t="n">
        <v>849</v>
      </c>
      <c r="B854" s="36" t="n">
        <v>0.9373603215787846</v>
      </c>
      <c r="C854" s="36" t="n">
        <v>0.2904703344288975</v>
      </c>
      <c r="D854" s="36" t="n">
        <v>0.4122306496876968</v>
      </c>
      <c r="E854" s="36" t="n">
        <v>0.7588642402592863</v>
      </c>
      <c r="F854" s="36" t="n">
        <v>0.3436673152808569</v>
      </c>
      <c r="G854" s="36" t="n">
        <v>0.3643570713351794</v>
      </c>
      <c r="H854" s="37">
        <f>SUM(B854:G854)</f>
        <v/>
      </c>
      <c r="I854" s="25">
        <f>B854/$H854</f>
        <v/>
      </c>
      <c r="J854" s="25">
        <f>C854/$H854</f>
        <v/>
      </c>
      <c r="K854" s="25">
        <f>D854/$H854</f>
        <v/>
      </c>
      <c r="L854" s="25">
        <f>E854/$H854</f>
        <v/>
      </c>
      <c r="M854" s="25">
        <f>F854/$H854</f>
        <v/>
      </c>
      <c r="N854" s="25">
        <f>G854/$H854</f>
        <v/>
      </c>
      <c r="O854" s="25">
        <f>SUM(MMULT(I854:N854,'07 Annualised Inputs'!$D$7:$D$12))</f>
        <v/>
      </c>
      <c r="P854" s="25">
        <f>SQRT(SUMPRODUCT(MMULT(I854:N854,'07 Annualised Inputs'!$B$17:$G$22),I854:N854))</f>
        <v/>
      </c>
      <c r="Q854" s="37">
        <f>(O854-'02 Config'!$B$10)/P854</f>
        <v/>
      </c>
    </row>
    <row r="855">
      <c r="A855" s="12" t="n">
        <v>850</v>
      </c>
      <c r="B855" s="36" t="n">
        <v>0.9948231734142234</v>
      </c>
      <c r="C855" s="36" t="n">
        <v>0.555614525690352</v>
      </c>
      <c r="D855" s="36" t="n">
        <v>0.6893804536701481</v>
      </c>
      <c r="E855" s="36" t="n">
        <v>0.6434622341536098</v>
      </c>
      <c r="F855" s="36" t="n">
        <v>0.8279241471565723</v>
      </c>
      <c r="G855" s="36" t="n">
        <v>0.861825099441743</v>
      </c>
      <c r="H855" s="37">
        <f>SUM(B855:G855)</f>
        <v/>
      </c>
      <c r="I855" s="25">
        <f>B855/$H855</f>
        <v/>
      </c>
      <c r="J855" s="25">
        <f>C855/$H855</f>
        <v/>
      </c>
      <c r="K855" s="25">
        <f>D855/$H855</f>
        <v/>
      </c>
      <c r="L855" s="25">
        <f>E855/$H855</f>
        <v/>
      </c>
      <c r="M855" s="25">
        <f>F855/$H855</f>
        <v/>
      </c>
      <c r="N855" s="25">
        <f>G855/$H855</f>
        <v/>
      </c>
      <c r="O855" s="25">
        <f>SUM(MMULT(I855:N855,'07 Annualised Inputs'!$D$7:$D$12))</f>
        <v/>
      </c>
      <c r="P855" s="25">
        <f>SQRT(SUMPRODUCT(MMULT(I855:N855,'07 Annualised Inputs'!$B$17:$G$22),I855:N855))</f>
        <v/>
      </c>
      <c r="Q855" s="37">
        <f>(O855-'02 Config'!$B$10)/P855</f>
        <v/>
      </c>
    </row>
    <row r="856">
      <c r="A856" s="12" t="n">
        <v>851</v>
      </c>
      <c r="B856" s="36" t="n">
        <v>0.5632561324703096</v>
      </c>
      <c r="C856" s="36" t="n">
        <v>0.2945560749663994</v>
      </c>
      <c r="D856" s="36" t="n">
        <v>0.02280024757496946</v>
      </c>
      <c r="E856" s="36" t="n">
        <v>0.6144032510643201</v>
      </c>
      <c r="F856" s="36" t="n">
        <v>0.8254688332656196</v>
      </c>
      <c r="G856" s="36" t="n">
        <v>0.4505398055116595</v>
      </c>
      <c r="H856" s="37">
        <f>SUM(B856:G856)</f>
        <v/>
      </c>
      <c r="I856" s="25">
        <f>B856/$H856</f>
        <v/>
      </c>
      <c r="J856" s="25">
        <f>C856/$H856</f>
        <v/>
      </c>
      <c r="K856" s="25">
        <f>D856/$H856</f>
        <v/>
      </c>
      <c r="L856" s="25">
        <f>E856/$H856</f>
        <v/>
      </c>
      <c r="M856" s="25">
        <f>F856/$H856</f>
        <v/>
      </c>
      <c r="N856" s="25">
        <f>G856/$H856</f>
        <v/>
      </c>
      <c r="O856" s="25">
        <f>SUM(MMULT(I856:N856,'07 Annualised Inputs'!$D$7:$D$12))</f>
        <v/>
      </c>
      <c r="P856" s="25">
        <f>SQRT(SUMPRODUCT(MMULT(I856:N856,'07 Annualised Inputs'!$B$17:$G$22),I856:N856))</f>
        <v/>
      </c>
      <c r="Q856" s="37">
        <f>(O856-'02 Config'!$B$10)/P856</f>
        <v/>
      </c>
    </row>
    <row r="857">
      <c r="A857" s="12" t="n">
        <v>852</v>
      </c>
      <c r="B857" s="36" t="n">
        <v>0.1647061404908643</v>
      </c>
      <c r="C857" s="36" t="n">
        <v>0.2880820729356409</v>
      </c>
      <c r="D857" s="36" t="n">
        <v>0.5099889295118646</v>
      </c>
      <c r="E857" s="36" t="n">
        <v>0.8366812189776666</v>
      </c>
      <c r="F857" s="36" t="n">
        <v>0.1717531460684206</v>
      </c>
      <c r="G857" s="36" t="n">
        <v>0.6121498757095142</v>
      </c>
      <c r="H857" s="37">
        <f>SUM(B857:G857)</f>
        <v/>
      </c>
      <c r="I857" s="25">
        <f>B857/$H857</f>
        <v/>
      </c>
      <c r="J857" s="25">
        <f>C857/$H857</f>
        <v/>
      </c>
      <c r="K857" s="25">
        <f>D857/$H857</f>
        <v/>
      </c>
      <c r="L857" s="25">
        <f>E857/$H857</f>
        <v/>
      </c>
      <c r="M857" s="25">
        <f>F857/$H857</f>
        <v/>
      </c>
      <c r="N857" s="25">
        <f>G857/$H857</f>
        <v/>
      </c>
      <c r="O857" s="25">
        <f>SUM(MMULT(I857:N857,'07 Annualised Inputs'!$D$7:$D$12))</f>
        <v/>
      </c>
      <c r="P857" s="25">
        <f>SQRT(SUMPRODUCT(MMULT(I857:N857,'07 Annualised Inputs'!$B$17:$G$22),I857:N857))</f>
        <v/>
      </c>
      <c r="Q857" s="37">
        <f>(O857-'02 Config'!$B$10)/P857</f>
        <v/>
      </c>
    </row>
    <row r="858">
      <c r="A858" s="12" t="n">
        <v>853</v>
      </c>
      <c r="B858" s="36" t="n">
        <v>0.7533686139505454</v>
      </c>
      <c r="C858" s="36" t="n">
        <v>0.9360475203348232</v>
      </c>
      <c r="D858" s="36" t="n">
        <v>0.1167036916788594</v>
      </c>
      <c r="E858" s="36" t="n">
        <v>0.9263916341645574</v>
      </c>
      <c r="F858" s="36" t="n">
        <v>0.6014675351744795</v>
      </c>
      <c r="G858" s="36" t="n">
        <v>0.766701587432286</v>
      </c>
      <c r="H858" s="37">
        <f>SUM(B858:G858)</f>
        <v/>
      </c>
      <c r="I858" s="25">
        <f>B858/$H858</f>
        <v/>
      </c>
      <c r="J858" s="25">
        <f>C858/$H858</f>
        <v/>
      </c>
      <c r="K858" s="25">
        <f>D858/$H858</f>
        <v/>
      </c>
      <c r="L858" s="25">
        <f>E858/$H858</f>
        <v/>
      </c>
      <c r="M858" s="25">
        <f>F858/$H858</f>
        <v/>
      </c>
      <c r="N858" s="25">
        <f>G858/$H858</f>
        <v/>
      </c>
      <c r="O858" s="25">
        <f>SUM(MMULT(I858:N858,'07 Annualised Inputs'!$D$7:$D$12))</f>
        <v/>
      </c>
      <c r="P858" s="25">
        <f>SQRT(SUMPRODUCT(MMULT(I858:N858,'07 Annualised Inputs'!$B$17:$G$22),I858:N858))</f>
        <v/>
      </c>
      <c r="Q858" s="37">
        <f>(O858-'02 Config'!$B$10)/P858</f>
        <v/>
      </c>
    </row>
    <row r="859">
      <c r="A859" s="12" t="n">
        <v>854</v>
      </c>
      <c r="B859" s="36" t="n">
        <v>0.05377470956855546</v>
      </c>
      <c r="C859" s="36" t="n">
        <v>0.5061481556405951</v>
      </c>
      <c r="D859" s="36" t="n">
        <v>0.6226296740807937</v>
      </c>
      <c r="E859" s="36" t="n">
        <v>0.3068338398728402</v>
      </c>
      <c r="F859" s="36" t="n">
        <v>0.4316502081012527</v>
      </c>
      <c r="G859" s="36" t="n">
        <v>0.554298135279598</v>
      </c>
      <c r="H859" s="37">
        <f>SUM(B859:G859)</f>
        <v/>
      </c>
      <c r="I859" s="25">
        <f>B859/$H859</f>
        <v/>
      </c>
      <c r="J859" s="25">
        <f>C859/$H859</f>
        <v/>
      </c>
      <c r="K859" s="25">
        <f>D859/$H859</f>
        <v/>
      </c>
      <c r="L859" s="25">
        <f>E859/$H859</f>
        <v/>
      </c>
      <c r="M859" s="25">
        <f>F859/$H859</f>
        <v/>
      </c>
      <c r="N859" s="25">
        <f>G859/$H859</f>
        <v/>
      </c>
      <c r="O859" s="25">
        <f>SUM(MMULT(I859:N859,'07 Annualised Inputs'!$D$7:$D$12))</f>
        <v/>
      </c>
      <c r="P859" s="25">
        <f>SQRT(SUMPRODUCT(MMULT(I859:N859,'07 Annualised Inputs'!$B$17:$G$22),I859:N859))</f>
        <v/>
      </c>
      <c r="Q859" s="37">
        <f>(O859-'02 Config'!$B$10)/P859</f>
        <v/>
      </c>
    </row>
    <row r="860">
      <c r="A860" s="12" t="n">
        <v>855</v>
      </c>
      <c r="B860" s="36" t="n">
        <v>0.5525479397729799</v>
      </c>
      <c r="C860" s="36" t="n">
        <v>0.04186152540683807</v>
      </c>
      <c r="D860" s="36" t="n">
        <v>0.4394817665788924</v>
      </c>
      <c r="E860" s="36" t="n">
        <v>0.2138181547922309</v>
      </c>
      <c r="F860" s="36" t="n">
        <v>0.9166950780853498</v>
      </c>
      <c r="G860" s="36" t="n">
        <v>0.9765799901233341</v>
      </c>
      <c r="H860" s="37">
        <f>SUM(B860:G860)</f>
        <v/>
      </c>
      <c r="I860" s="25">
        <f>B860/$H860</f>
        <v/>
      </c>
      <c r="J860" s="25">
        <f>C860/$H860</f>
        <v/>
      </c>
      <c r="K860" s="25">
        <f>D860/$H860</f>
        <v/>
      </c>
      <c r="L860" s="25">
        <f>E860/$H860</f>
        <v/>
      </c>
      <c r="M860" s="25">
        <f>F860/$H860</f>
        <v/>
      </c>
      <c r="N860" s="25">
        <f>G860/$H860</f>
        <v/>
      </c>
      <c r="O860" s="25">
        <f>SUM(MMULT(I860:N860,'07 Annualised Inputs'!$D$7:$D$12))</f>
        <v/>
      </c>
      <c r="P860" s="25">
        <f>SQRT(SUMPRODUCT(MMULT(I860:N860,'07 Annualised Inputs'!$B$17:$G$22),I860:N860))</f>
        <v/>
      </c>
      <c r="Q860" s="37">
        <f>(O860-'02 Config'!$B$10)/P860</f>
        <v/>
      </c>
    </row>
    <row r="861">
      <c r="A861" s="12" t="n">
        <v>856</v>
      </c>
      <c r="B861" s="36" t="n">
        <v>0.2996468963520691</v>
      </c>
      <c r="C861" s="36" t="n">
        <v>0.1751853972510587</v>
      </c>
      <c r="D861" s="36" t="n">
        <v>0.2195041509483431</v>
      </c>
      <c r="E861" s="36" t="n">
        <v>0.4777522553529537</v>
      </c>
      <c r="F861" s="36" t="n">
        <v>0.8745055991131784</v>
      </c>
      <c r="G861" s="36" t="n">
        <v>0.5000362149376396</v>
      </c>
      <c r="H861" s="37">
        <f>SUM(B861:G861)</f>
        <v/>
      </c>
      <c r="I861" s="25">
        <f>B861/$H861</f>
        <v/>
      </c>
      <c r="J861" s="25">
        <f>C861/$H861</f>
        <v/>
      </c>
      <c r="K861" s="25">
        <f>D861/$H861</f>
        <v/>
      </c>
      <c r="L861" s="25">
        <f>E861/$H861</f>
        <v/>
      </c>
      <c r="M861" s="25">
        <f>F861/$H861</f>
        <v/>
      </c>
      <c r="N861" s="25">
        <f>G861/$H861</f>
        <v/>
      </c>
      <c r="O861" s="25">
        <f>SUM(MMULT(I861:N861,'07 Annualised Inputs'!$D$7:$D$12))</f>
        <v/>
      </c>
      <c r="P861" s="25">
        <f>SQRT(SUMPRODUCT(MMULT(I861:N861,'07 Annualised Inputs'!$B$17:$G$22),I861:N861))</f>
        <v/>
      </c>
      <c r="Q861" s="37">
        <f>(O861-'02 Config'!$B$10)/P861</f>
        <v/>
      </c>
    </row>
    <row r="862">
      <c r="A862" s="12" t="n">
        <v>857</v>
      </c>
      <c r="B862" s="36" t="n">
        <v>0.05539206171529765</v>
      </c>
      <c r="C862" s="36" t="n">
        <v>0.03988560271314401</v>
      </c>
      <c r="D862" s="36" t="n">
        <v>0.2273909456228486</v>
      </c>
      <c r="E862" s="36" t="n">
        <v>0.8427712776094288</v>
      </c>
      <c r="F862" s="36" t="n">
        <v>0.621480557535144</v>
      </c>
      <c r="G862" s="36" t="n">
        <v>0.5629578537862915</v>
      </c>
      <c r="H862" s="37">
        <f>SUM(B862:G862)</f>
        <v/>
      </c>
      <c r="I862" s="25">
        <f>B862/$H862</f>
        <v/>
      </c>
      <c r="J862" s="25">
        <f>C862/$H862</f>
        <v/>
      </c>
      <c r="K862" s="25">
        <f>D862/$H862</f>
        <v/>
      </c>
      <c r="L862" s="25">
        <f>E862/$H862</f>
        <v/>
      </c>
      <c r="M862" s="25">
        <f>F862/$H862</f>
        <v/>
      </c>
      <c r="N862" s="25">
        <f>G862/$H862</f>
        <v/>
      </c>
      <c r="O862" s="25">
        <f>SUM(MMULT(I862:N862,'07 Annualised Inputs'!$D$7:$D$12))</f>
        <v/>
      </c>
      <c r="P862" s="25">
        <f>SQRT(SUMPRODUCT(MMULT(I862:N862,'07 Annualised Inputs'!$B$17:$G$22),I862:N862))</f>
        <v/>
      </c>
      <c r="Q862" s="37">
        <f>(O862-'02 Config'!$B$10)/P862</f>
        <v/>
      </c>
    </row>
    <row r="863">
      <c r="A863" s="12" t="n">
        <v>858</v>
      </c>
      <c r="B863" s="36" t="n">
        <v>0.3189695925826421</v>
      </c>
      <c r="C863" s="36" t="n">
        <v>0.9294254050461873</v>
      </c>
      <c r="D863" s="36" t="n">
        <v>0.3311782449621324</v>
      </c>
      <c r="E863" s="36" t="n">
        <v>0.8349444126529467</v>
      </c>
      <c r="F863" s="36" t="n">
        <v>0.8959035179758841</v>
      </c>
      <c r="G863" s="36" t="n">
        <v>0.4833350132161367</v>
      </c>
      <c r="H863" s="37">
        <f>SUM(B863:G863)</f>
        <v/>
      </c>
      <c r="I863" s="25">
        <f>B863/$H863</f>
        <v/>
      </c>
      <c r="J863" s="25">
        <f>C863/$H863</f>
        <v/>
      </c>
      <c r="K863" s="25">
        <f>D863/$H863</f>
        <v/>
      </c>
      <c r="L863" s="25">
        <f>E863/$H863</f>
        <v/>
      </c>
      <c r="M863" s="25">
        <f>F863/$H863</f>
        <v/>
      </c>
      <c r="N863" s="25">
        <f>G863/$H863</f>
        <v/>
      </c>
      <c r="O863" s="25">
        <f>SUM(MMULT(I863:N863,'07 Annualised Inputs'!$D$7:$D$12))</f>
        <v/>
      </c>
      <c r="P863" s="25">
        <f>SQRT(SUMPRODUCT(MMULT(I863:N863,'07 Annualised Inputs'!$B$17:$G$22),I863:N863))</f>
        <v/>
      </c>
      <c r="Q863" s="37">
        <f>(O863-'02 Config'!$B$10)/P863</f>
        <v/>
      </c>
    </row>
    <row r="864">
      <c r="A864" s="12" t="n">
        <v>859</v>
      </c>
      <c r="B864" s="36" t="n">
        <v>0.8942892694807426</v>
      </c>
      <c r="C864" s="36" t="n">
        <v>0.2768032873910471</v>
      </c>
      <c r="D864" s="36" t="n">
        <v>0.6584334261832758</v>
      </c>
      <c r="E864" s="36" t="n">
        <v>0.08796374852438626</v>
      </c>
      <c r="F864" s="36" t="n">
        <v>0.4739342140923939</v>
      </c>
      <c r="G864" s="36" t="n">
        <v>0.2173318021583479</v>
      </c>
      <c r="H864" s="37">
        <f>SUM(B864:G864)</f>
        <v/>
      </c>
      <c r="I864" s="25">
        <f>B864/$H864</f>
        <v/>
      </c>
      <c r="J864" s="25">
        <f>C864/$H864</f>
        <v/>
      </c>
      <c r="K864" s="25">
        <f>D864/$H864</f>
        <v/>
      </c>
      <c r="L864" s="25">
        <f>E864/$H864</f>
        <v/>
      </c>
      <c r="M864" s="25">
        <f>F864/$H864</f>
        <v/>
      </c>
      <c r="N864" s="25">
        <f>G864/$H864</f>
        <v/>
      </c>
      <c r="O864" s="25">
        <f>SUM(MMULT(I864:N864,'07 Annualised Inputs'!$D$7:$D$12))</f>
        <v/>
      </c>
      <c r="P864" s="25">
        <f>SQRT(SUMPRODUCT(MMULT(I864:N864,'07 Annualised Inputs'!$B$17:$G$22),I864:N864))</f>
        <v/>
      </c>
      <c r="Q864" s="37">
        <f>(O864-'02 Config'!$B$10)/P864</f>
        <v/>
      </c>
    </row>
    <row r="865">
      <c r="A865" s="12" t="n">
        <v>860</v>
      </c>
      <c r="B865" s="36" t="n">
        <v>0.06276327793060288</v>
      </c>
      <c r="C865" s="36" t="n">
        <v>0.003725508077620732</v>
      </c>
      <c r="D865" s="36" t="n">
        <v>0.3247521164408084</v>
      </c>
      <c r="E865" s="36" t="n">
        <v>0.5895305945367628</v>
      </c>
      <c r="F865" s="36" t="n">
        <v>0.4552303476511573</v>
      </c>
      <c r="G865" s="36" t="n">
        <v>0.3017692985194961</v>
      </c>
      <c r="H865" s="37">
        <f>SUM(B865:G865)</f>
        <v/>
      </c>
      <c r="I865" s="25">
        <f>B865/$H865</f>
        <v/>
      </c>
      <c r="J865" s="25">
        <f>C865/$H865</f>
        <v/>
      </c>
      <c r="K865" s="25">
        <f>D865/$H865</f>
        <v/>
      </c>
      <c r="L865" s="25">
        <f>E865/$H865</f>
        <v/>
      </c>
      <c r="M865" s="25">
        <f>F865/$H865</f>
        <v/>
      </c>
      <c r="N865" s="25">
        <f>G865/$H865</f>
        <v/>
      </c>
      <c r="O865" s="25">
        <f>SUM(MMULT(I865:N865,'07 Annualised Inputs'!$D$7:$D$12))</f>
        <v/>
      </c>
      <c r="P865" s="25">
        <f>SQRT(SUMPRODUCT(MMULT(I865:N865,'07 Annualised Inputs'!$B$17:$G$22),I865:N865))</f>
        <v/>
      </c>
      <c r="Q865" s="37">
        <f>(O865-'02 Config'!$B$10)/P865</f>
        <v/>
      </c>
    </row>
    <row r="866">
      <c r="A866" s="12" t="n">
        <v>861</v>
      </c>
      <c r="B866" s="36" t="n">
        <v>0.9912000307762511</v>
      </c>
      <c r="C866" s="36" t="n">
        <v>0.9395250399796778</v>
      </c>
      <c r="D866" s="36" t="n">
        <v>0.1256533068374969</v>
      </c>
      <c r="E866" s="36" t="n">
        <v>0.4151074266684948</v>
      </c>
      <c r="F866" s="36" t="n">
        <v>0.6488469339936108</v>
      </c>
      <c r="G866" s="36" t="n">
        <v>0.7334907975299367</v>
      </c>
      <c r="H866" s="37">
        <f>SUM(B866:G866)</f>
        <v/>
      </c>
      <c r="I866" s="25">
        <f>B866/$H866</f>
        <v/>
      </c>
      <c r="J866" s="25">
        <f>C866/$H866</f>
        <v/>
      </c>
      <c r="K866" s="25">
        <f>D866/$H866</f>
        <v/>
      </c>
      <c r="L866" s="25">
        <f>E866/$H866</f>
        <v/>
      </c>
      <c r="M866" s="25">
        <f>F866/$H866</f>
        <v/>
      </c>
      <c r="N866" s="25">
        <f>G866/$H866</f>
        <v/>
      </c>
      <c r="O866" s="25">
        <f>SUM(MMULT(I866:N866,'07 Annualised Inputs'!$D$7:$D$12))</f>
        <v/>
      </c>
      <c r="P866" s="25">
        <f>SQRT(SUMPRODUCT(MMULT(I866:N866,'07 Annualised Inputs'!$B$17:$G$22),I866:N866))</f>
        <v/>
      </c>
      <c r="Q866" s="37">
        <f>(O866-'02 Config'!$B$10)/P866</f>
        <v/>
      </c>
    </row>
    <row r="867">
      <c r="A867" s="12" t="n">
        <v>862</v>
      </c>
      <c r="B867" s="36" t="n">
        <v>0.3663721549094904</v>
      </c>
      <c r="C867" s="36" t="n">
        <v>0.7462818127353477</v>
      </c>
      <c r="D867" s="36" t="n">
        <v>0.1241500129106783</v>
      </c>
      <c r="E867" s="36" t="n">
        <v>0.3318126252577047</v>
      </c>
      <c r="F867" s="36" t="n">
        <v>0.716433175755905</v>
      </c>
      <c r="G867" s="36" t="n">
        <v>0.6256827902603751</v>
      </c>
      <c r="H867" s="37">
        <f>SUM(B867:G867)</f>
        <v/>
      </c>
      <c r="I867" s="25">
        <f>B867/$H867</f>
        <v/>
      </c>
      <c r="J867" s="25">
        <f>C867/$H867</f>
        <v/>
      </c>
      <c r="K867" s="25">
        <f>D867/$H867</f>
        <v/>
      </c>
      <c r="L867" s="25">
        <f>E867/$H867</f>
        <v/>
      </c>
      <c r="M867" s="25">
        <f>F867/$H867</f>
        <v/>
      </c>
      <c r="N867" s="25">
        <f>G867/$H867</f>
        <v/>
      </c>
      <c r="O867" s="25">
        <f>SUM(MMULT(I867:N867,'07 Annualised Inputs'!$D$7:$D$12))</f>
        <v/>
      </c>
      <c r="P867" s="25">
        <f>SQRT(SUMPRODUCT(MMULT(I867:N867,'07 Annualised Inputs'!$B$17:$G$22),I867:N867))</f>
        <v/>
      </c>
      <c r="Q867" s="37">
        <f>(O867-'02 Config'!$B$10)/P867</f>
        <v/>
      </c>
    </row>
    <row r="868">
      <c r="A868" s="12" t="n">
        <v>863</v>
      </c>
      <c r="B868" s="36" t="n">
        <v>0.8372102148616549</v>
      </c>
      <c r="C868" s="36" t="n">
        <v>0.04685702266715508</v>
      </c>
      <c r="D868" s="36" t="n">
        <v>0.1743917178230485</v>
      </c>
      <c r="E868" s="36" t="n">
        <v>0.04849458227196646</v>
      </c>
      <c r="F868" s="36" t="n">
        <v>0.1921142242492113</v>
      </c>
      <c r="G868" s="36" t="n">
        <v>0.004282810632935008</v>
      </c>
      <c r="H868" s="37">
        <f>SUM(B868:G868)</f>
        <v/>
      </c>
      <c r="I868" s="25">
        <f>B868/$H868</f>
        <v/>
      </c>
      <c r="J868" s="25">
        <f>C868/$H868</f>
        <v/>
      </c>
      <c r="K868" s="25">
        <f>D868/$H868</f>
        <v/>
      </c>
      <c r="L868" s="25">
        <f>E868/$H868</f>
        <v/>
      </c>
      <c r="M868" s="25">
        <f>F868/$H868</f>
        <v/>
      </c>
      <c r="N868" s="25">
        <f>G868/$H868</f>
        <v/>
      </c>
      <c r="O868" s="25">
        <f>SUM(MMULT(I868:N868,'07 Annualised Inputs'!$D$7:$D$12))</f>
        <v/>
      </c>
      <c r="P868" s="25">
        <f>SQRT(SUMPRODUCT(MMULT(I868:N868,'07 Annualised Inputs'!$B$17:$G$22),I868:N868))</f>
        <v/>
      </c>
      <c r="Q868" s="37">
        <f>(O868-'02 Config'!$B$10)/P868</f>
        <v/>
      </c>
    </row>
    <row r="869">
      <c r="A869" s="12" t="n">
        <v>864</v>
      </c>
      <c r="B869" s="36" t="n">
        <v>0.5042103016788663</v>
      </c>
      <c r="C869" s="36" t="n">
        <v>0.5283143955682554</v>
      </c>
      <c r="D869" s="36" t="n">
        <v>0.6578917814059948</v>
      </c>
      <c r="E869" s="36" t="n">
        <v>0.3849124472010435</v>
      </c>
      <c r="F869" s="36" t="n">
        <v>0.003207690685184006</v>
      </c>
      <c r="G869" s="36" t="n">
        <v>0.6738911544076371</v>
      </c>
      <c r="H869" s="37">
        <f>SUM(B869:G869)</f>
        <v/>
      </c>
      <c r="I869" s="25">
        <f>B869/$H869</f>
        <v/>
      </c>
      <c r="J869" s="25">
        <f>C869/$H869</f>
        <v/>
      </c>
      <c r="K869" s="25">
        <f>D869/$H869</f>
        <v/>
      </c>
      <c r="L869" s="25">
        <f>E869/$H869</f>
        <v/>
      </c>
      <c r="M869" s="25">
        <f>F869/$H869</f>
        <v/>
      </c>
      <c r="N869" s="25">
        <f>G869/$H869</f>
        <v/>
      </c>
      <c r="O869" s="25">
        <f>SUM(MMULT(I869:N869,'07 Annualised Inputs'!$D$7:$D$12))</f>
        <v/>
      </c>
      <c r="P869" s="25">
        <f>SQRT(SUMPRODUCT(MMULT(I869:N869,'07 Annualised Inputs'!$B$17:$G$22),I869:N869))</f>
        <v/>
      </c>
      <c r="Q869" s="37">
        <f>(O869-'02 Config'!$B$10)/P869</f>
        <v/>
      </c>
    </row>
    <row r="870">
      <c r="A870" s="12" t="n">
        <v>865</v>
      </c>
      <c r="B870" s="36" t="n">
        <v>0.05429108774791258</v>
      </c>
      <c r="C870" s="36" t="n">
        <v>0.8661704308177439</v>
      </c>
      <c r="D870" s="36" t="n">
        <v>0.02265398770793736</v>
      </c>
      <c r="E870" s="36" t="n">
        <v>0.5304751232566325</v>
      </c>
      <c r="F870" s="36" t="n">
        <v>0.8949178823855207</v>
      </c>
      <c r="G870" s="36" t="n">
        <v>0.5724895757887801</v>
      </c>
      <c r="H870" s="37">
        <f>SUM(B870:G870)</f>
        <v/>
      </c>
      <c r="I870" s="25">
        <f>B870/$H870</f>
        <v/>
      </c>
      <c r="J870" s="25">
        <f>C870/$H870</f>
        <v/>
      </c>
      <c r="K870" s="25">
        <f>D870/$H870</f>
        <v/>
      </c>
      <c r="L870" s="25">
        <f>E870/$H870</f>
        <v/>
      </c>
      <c r="M870" s="25">
        <f>F870/$H870</f>
        <v/>
      </c>
      <c r="N870" s="25">
        <f>G870/$H870</f>
        <v/>
      </c>
      <c r="O870" s="25">
        <f>SUM(MMULT(I870:N870,'07 Annualised Inputs'!$D$7:$D$12))</f>
        <v/>
      </c>
      <c r="P870" s="25">
        <f>SQRT(SUMPRODUCT(MMULT(I870:N870,'07 Annualised Inputs'!$B$17:$G$22),I870:N870))</f>
        <v/>
      </c>
      <c r="Q870" s="37">
        <f>(O870-'02 Config'!$B$10)/P870</f>
        <v/>
      </c>
    </row>
    <row r="871">
      <c r="A871" s="12" t="n">
        <v>866</v>
      </c>
      <c r="B871" s="36" t="n">
        <v>0.60841674654393</v>
      </c>
      <c r="C871" s="36" t="n">
        <v>0.6816108483374057</v>
      </c>
      <c r="D871" s="36" t="n">
        <v>0.122408847730467</v>
      </c>
      <c r="E871" s="36" t="n">
        <v>0.6749271008105595</v>
      </c>
      <c r="F871" s="36" t="n">
        <v>0.8803548820128152</v>
      </c>
      <c r="G871" s="36" t="n">
        <v>0.9742208328353165</v>
      </c>
      <c r="H871" s="37">
        <f>SUM(B871:G871)</f>
        <v/>
      </c>
      <c r="I871" s="25">
        <f>B871/$H871</f>
        <v/>
      </c>
      <c r="J871" s="25">
        <f>C871/$H871</f>
        <v/>
      </c>
      <c r="K871" s="25">
        <f>D871/$H871</f>
        <v/>
      </c>
      <c r="L871" s="25">
        <f>E871/$H871</f>
        <v/>
      </c>
      <c r="M871" s="25">
        <f>F871/$H871</f>
        <v/>
      </c>
      <c r="N871" s="25">
        <f>G871/$H871</f>
        <v/>
      </c>
      <c r="O871" s="25">
        <f>SUM(MMULT(I871:N871,'07 Annualised Inputs'!$D$7:$D$12))</f>
        <v/>
      </c>
      <c r="P871" s="25">
        <f>SQRT(SUMPRODUCT(MMULT(I871:N871,'07 Annualised Inputs'!$B$17:$G$22),I871:N871))</f>
        <v/>
      </c>
      <c r="Q871" s="37">
        <f>(O871-'02 Config'!$B$10)/P871</f>
        <v/>
      </c>
    </row>
    <row r="872">
      <c r="A872" s="12" t="n">
        <v>867</v>
      </c>
      <c r="B872" s="36" t="n">
        <v>0.443051999358347</v>
      </c>
      <c r="C872" s="36" t="n">
        <v>0.3445048516775469</v>
      </c>
      <c r="D872" s="36" t="n">
        <v>0.753309615596317</v>
      </c>
      <c r="E872" s="36" t="n">
        <v>0.5428742880953146</v>
      </c>
      <c r="F872" s="36" t="n">
        <v>0.2573046544550305</v>
      </c>
      <c r="G872" s="36" t="n">
        <v>0.172157884969703</v>
      </c>
      <c r="H872" s="37">
        <f>SUM(B872:G872)</f>
        <v/>
      </c>
      <c r="I872" s="25">
        <f>B872/$H872</f>
        <v/>
      </c>
      <c r="J872" s="25">
        <f>C872/$H872</f>
        <v/>
      </c>
      <c r="K872" s="25">
        <f>D872/$H872</f>
        <v/>
      </c>
      <c r="L872" s="25">
        <f>E872/$H872</f>
        <v/>
      </c>
      <c r="M872" s="25">
        <f>F872/$H872</f>
        <v/>
      </c>
      <c r="N872" s="25">
        <f>G872/$H872</f>
        <v/>
      </c>
      <c r="O872" s="25">
        <f>SUM(MMULT(I872:N872,'07 Annualised Inputs'!$D$7:$D$12))</f>
        <v/>
      </c>
      <c r="P872" s="25">
        <f>SQRT(SUMPRODUCT(MMULT(I872:N872,'07 Annualised Inputs'!$B$17:$G$22),I872:N872))</f>
        <v/>
      </c>
      <c r="Q872" s="37">
        <f>(O872-'02 Config'!$B$10)/P872</f>
        <v/>
      </c>
    </row>
    <row r="873">
      <c r="A873" s="12" t="n">
        <v>868</v>
      </c>
      <c r="B873" s="36" t="n">
        <v>0.1702303005927437</v>
      </c>
      <c r="C873" s="36" t="n">
        <v>0.4591770366061521</v>
      </c>
      <c r="D873" s="36" t="n">
        <v>0.1701244056156501</v>
      </c>
      <c r="E873" s="36" t="n">
        <v>0.01971894401148577</v>
      </c>
      <c r="F873" s="36" t="n">
        <v>0.05208877496969</v>
      </c>
      <c r="G873" s="36" t="n">
        <v>0.9298845439529657</v>
      </c>
      <c r="H873" s="37">
        <f>SUM(B873:G873)</f>
        <v/>
      </c>
      <c r="I873" s="25">
        <f>B873/$H873</f>
        <v/>
      </c>
      <c r="J873" s="25">
        <f>C873/$H873</f>
        <v/>
      </c>
      <c r="K873" s="25">
        <f>D873/$H873</f>
        <v/>
      </c>
      <c r="L873" s="25">
        <f>E873/$H873</f>
        <v/>
      </c>
      <c r="M873" s="25">
        <f>F873/$H873</f>
        <v/>
      </c>
      <c r="N873" s="25">
        <f>G873/$H873</f>
        <v/>
      </c>
      <c r="O873" s="25">
        <f>SUM(MMULT(I873:N873,'07 Annualised Inputs'!$D$7:$D$12))</f>
        <v/>
      </c>
      <c r="P873" s="25">
        <f>SQRT(SUMPRODUCT(MMULT(I873:N873,'07 Annualised Inputs'!$B$17:$G$22),I873:N873))</f>
        <v/>
      </c>
      <c r="Q873" s="37">
        <f>(O873-'02 Config'!$B$10)/P873</f>
        <v/>
      </c>
    </row>
    <row r="874">
      <c r="A874" s="12" t="n">
        <v>869</v>
      </c>
      <c r="B874" s="36" t="n">
        <v>0.07296134116013575</v>
      </c>
      <c r="C874" s="36" t="n">
        <v>0.07318069058095955</v>
      </c>
      <c r="D874" s="36" t="n">
        <v>0.4511884455335324</v>
      </c>
      <c r="E874" s="36" t="n">
        <v>0.2451002823350326</v>
      </c>
      <c r="F874" s="36" t="n">
        <v>0.9626938521724977</v>
      </c>
      <c r="G874" s="36" t="n">
        <v>0.9109858394978042</v>
      </c>
      <c r="H874" s="37">
        <f>SUM(B874:G874)</f>
        <v/>
      </c>
      <c r="I874" s="25">
        <f>B874/$H874</f>
        <v/>
      </c>
      <c r="J874" s="25">
        <f>C874/$H874</f>
        <v/>
      </c>
      <c r="K874" s="25">
        <f>D874/$H874</f>
        <v/>
      </c>
      <c r="L874" s="25">
        <f>E874/$H874</f>
        <v/>
      </c>
      <c r="M874" s="25">
        <f>F874/$H874</f>
        <v/>
      </c>
      <c r="N874" s="25">
        <f>G874/$H874</f>
        <v/>
      </c>
      <c r="O874" s="25">
        <f>SUM(MMULT(I874:N874,'07 Annualised Inputs'!$D$7:$D$12))</f>
        <v/>
      </c>
      <c r="P874" s="25">
        <f>SQRT(SUMPRODUCT(MMULT(I874:N874,'07 Annualised Inputs'!$B$17:$G$22),I874:N874))</f>
        <v/>
      </c>
      <c r="Q874" s="37">
        <f>(O874-'02 Config'!$B$10)/P874</f>
        <v/>
      </c>
    </row>
    <row r="875">
      <c r="A875" s="12" t="n">
        <v>870</v>
      </c>
      <c r="B875" s="36" t="n">
        <v>0.4047432486712671</v>
      </c>
      <c r="C875" s="36" t="n">
        <v>0.4487315194162592</v>
      </c>
      <c r="D875" s="36" t="n">
        <v>0.3751136530755702</v>
      </c>
      <c r="E875" s="36" t="n">
        <v>0.03786611664312822</v>
      </c>
      <c r="F875" s="36" t="n">
        <v>0.2928468392547087</v>
      </c>
      <c r="G875" s="36" t="n">
        <v>0.1226734696119841</v>
      </c>
      <c r="H875" s="37">
        <f>SUM(B875:G875)</f>
        <v/>
      </c>
      <c r="I875" s="25">
        <f>B875/$H875</f>
        <v/>
      </c>
      <c r="J875" s="25">
        <f>C875/$H875</f>
        <v/>
      </c>
      <c r="K875" s="25">
        <f>D875/$H875</f>
        <v/>
      </c>
      <c r="L875" s="25">
        <f>E875/$H875</f>
        <v/>
      </c>
      <c r="M875" s="25">
        <f>F875/$H875</f>
        <v/>
      </c>
      <c r="N875" s="25">
        <f>G875/$H875</f>
        <v/>
      </c>
      <c r="O875" s="25">
        <f>SUM(MMULT(I875:N875,'07 Annualised Inputs'!$D$7:$D$12))</f>
        <v/>
      </c>
      <c r="P875" s="25">
        <f>SQRT(SUMPRODUCT(MMULT(I875:N875,'07 Annualised Inputs'!$B$17:$G$22),I875:N875))</f>
        <v/>
      </c>
      <c r="Q875" s="37">
        <f>(O875-'02 Config'!$B$10)/P875</f>
        <v/>
      </c>
    </row>
    <row r="876">
      <c r="A876" s="12" t="n">
        <v>871</v>
      </c>
      <c r="B876" s="36" t="n">
        <v>0.1023703300151227</v>
      </c>
      <c r="C876" s="36" t="n">
        <v>0.5608615729363878</v>
      </c>
      <c r="D876" s="36" t="n">
        <v>0.09876485771356225</v>
      </c>
      <c r="E876" s="36" t="n">
        <v>0.1029313237952636</v>
      </c>
      <c r="F876" s="36" t="n">
        <v>0.4805137148193486</v>
      </c>
      <c r="G876" s="36" t="n">
        <v>0.4422823651226387</v>
      </c>
      <c r="H876" s="37">
        <f>SUM(B876:G876)</f>
        <v/>
      </c>
      <c r="I876" s="25">
        <f>B876/$H876</f>
        <v/>
      </c>
      <c r="J876" s="25">
        <f>C876/$H876</f>
        <v/>
      </c>
      <c r="K876" s="25">
        <f>D876/$H876</f>
        <v/>
      </c>
      <c r="L876" s="25">
        <f>E876/$H876</f>
        <v/>
      </c>
      <c r="M876" s="25">
        <f>F876/$H876</f>
        <v/>
      </c>
      <c r="N876" s="25">
        <f>G876/$H876</f>
        <v/>
      </c>
      <c r="O876" s="25">
        <f>SUM(MMULT(I876:N876,'07 Annualised Inputs'!$D$7:$D$12))</f>
        <v/>
      </c>
      <c r="P876" s="25">
        <f>SQRT(SUMPRODUCT(MMULT(I876:N876,'07 Annualised Inputs'!$B$17:$G$22),I876:N876))</f>
        <v/>
      </c>
      <c r="Q876" s="37">
        <f>(O876-'02 Config'!$B$10)/P876</f>
        <v/>
      </c>
    </row>
    <row r="877">
      <c r="A877" s="12" t="n">
        <v>872</v>
      </c>
      <c r="B877" s="36" t="n">
        <v>0.1376347851323694</v>
      </c>
      <c r="C877" s="36" t="n">
        <v>0.004449024808863</v>
      </c>
      <c r="D877" s="36" t="n">
        <v>0.1929744417678438</v>
      </c>
      <c r="E877" s="36" t="n">
        <v>0.2358922541820407</v>
      </c>
      <c r="F877" s="36" t="n">
        <v>0.8002484436088676</v>
      </c>
      <c r="G877" s="36" t="n">
        <v>0.915438350527215</v>
      </c>
      <c r="H877" s="37">
        <f>SUM(B877:G877)</f>
        <v/>
      </c>
      <c r="I877" s="25">
        <f>B877/$H877</f>
        <v/>
      </c>
      <c r="J877" s="25">
        <f>C877/$H877</f>
        <v/>
      </c>
      <c r="K877" s="25">
        <f>D877/$H877</f>
        <v/>
      </c>
      <c r="L877" s="25">
        <f>E877/$H877</f>
        <v/>
      </c>
      <c r="M877" s="25">
        <f>F877/$H877</f>
        <v/>
      </c>
      <c r="N877" s="25">
        <f>G877/$H877</f>
        <v/>
      </c>
      <c r="O877" s="25">
        <f>SUM(MMULT(I877:N877,'07 Annualised Inputs'!$D$7:$D$12))</f>
        <v/>
      </c>
      <c r="P877" s="25">
        <f>SQRT(SUMPRODUCT(MMULT(I877:N877,'07 Annualised Inputs'!$B$17:$G$22),I877:N877))</f>
        <v/>
      </c>
      <c r="Q877" s="37">
        <f>(O877-'02 Config'!$B$10)/P877</f>
        <v/>
      </c>
    </row>
    <row r="878">
      <c r="A878" s="12" t="n">
        <v>873</v>
      </c>
      <c r="B878" s="36" t="n">
        <v>0.4059443974879697</v>
      </c>
      <c r="C878" s="36" t="n">
        <v>0.4050267265009778</v>
      </c>
      <c r="D878" s="36" t="n">
        <v>0.7124812837598667</v>
      </c>
      <c r="E878" s="36" t="n">
        <v>0.626922015704689</v>
      </c>
      <c r="F878" s="36" t="n">
        <v>0.1841401866934091</v>
      </c>
      <c r="G878" s="36" t="n">
        <v>0.1076891222958614</v>
      </c>
      <c r="H878" s="37">
        <f>SUM(B878:G878)</f>
        <v/>
      </c>
      <c r="I878" s="25">
        <f>B878/$H878</f>
        <v/>
      </c>
      <c r="J878" s="25">
        <f>C878/$H878</f>
        <v/>
      </c>
      <c r="K878" s="25">
        <f>D878/$H878</f>
        <v/>
      </c>
      <c r="L878" s="25">
        <f>E878/$H878</f>
        <v/>
      </c>
      <c r="M878" s="25">
        <f>F878/$H878</f>
        <v/>
      </c>
      <c r="N878" s="25">
        <f>G878/$H878</f>
        <v/>
      </c>
      <c r="O878" s="25">
        <f>SUM(MMULT(I878:N878,'07 Annualised Inputs'!$D$7:$D$12))</f>
        <v/>
      </c>
      <c r="P878" s="25">
        <f>SQRT(SUMPRODUCT(MMULT(I878:N878,'07 Annualised Inputs'!$B$17:$G$22),I878:N878))</f>
        <v/>
      </c>
      <c r="Q878" s="37">
        <f>(O878-'02 Config'!$B$10)/P878</f>
        <v/>
      </c>
    </row>
    <row r="879">
      <c r="A879" s="12" t="n">
        <v>874</v>
      </c>
      <c r="B879" s="36" t="n">
        <v>0.4376118906550508</v>
      </c>
      <c r="C879" s="36" t="n">
        <v>0.564828363162763</v>
      </c>
      <c r="D879" s="36" t="n">
        <v>0.1387076031588093</v>
      </c>
      <c r="E879" s="36" t="n">
        <v>0.2932734934084446</v>
      </c>
      <c r="F879" s="36" t="n">
        <v>0.3059429964305749</v>
      </c>
      <c r="G879" s="36" t="n">
        <v>0.261298201024164</v>
      </c>
      <c r="H879" s="37">
        <f>SUM(B879:G879)</f>
        <v/>
      </c>
      <c r="I879" s="25">
        <f>B879/$H879</f>
        <v/>
      </c>
      <c r="J879" s="25">
        <f>C879/$H879</f>
        <v/>
      </c>
      <c r="K879" s="25">
        <f>D879/$H879</f>
        <v/>
      </c>
      <c r="L879" s="25">
        <f>E879/$H879</f>
        <v/>
      </c>
      <c r="M879" s="25">
        <f>F879/$H879</f>
        <v/>
      </c>
      <c r="N879" s="25">
        <f>G879/$H879</f>
        <v/>
      </c>
      <c r="O879" s="25">
        <f>SUM(MMULT(I879:N879,'07 Annualised Inputs'!$D$7:$D$12))</f>
        <v/>
      </c>
      <c r="P879" s="25">
        <f>SQRT(SUMPRODUCT(MMULT(I879:N879,'07 Annualised Inputs'!$B$17:$G$22),I879:N879))</f>
        <v/>
      </c>
      <c r="Q879" s="37">
        <f>(O879-'02 Config'!$B$10)/P879</f>
        <v/>
      </c>
    </row>
    <row r="880">
      <c r="A880" s="12" t="n">
        <v>875</v>
      </c>
      <c r="B880" s="36" t="n">
        <v>0.460761266291791</v>
      </c>
      <c r="C880" s="36" t="n">
        <v>0.6530635843197385</v>
      </c>
      <c r="D880" s="36" t="n">
        <v>0.5093898836159924</v>
      </c>
      <c r="E880" s="36" t="n">
        <v>0.2014565622473442</v>
      </c>
      <c r="F880" s="36" t="n">
        <v>0.1029390470473998</v>
      </c>
      <c r="G880" s="36" t="n">
        <v>0.8218704628987004</v>
      </c>
      <c r="H880" s="37">
        <f>SUM(B880:G880)</f>
        <v/>
      </c>
      <c r="I880" s="25">
        <f>B880/$H880</f>
        <v/>
      </c>
      <c r="J880" s="25">
        <f>C880/$H880</f>
        <v/>
      </c>
      <c r="K880" s="25">
        <f>D880/$H880</f>
        <v/>
      </c>
      <c r="L880" s="25">
        <f>E880/$H880</f>
        <v/>
      </c>
      <c r="M880" s="25">
        <f>F880/$H880</f>
        <v/>
      </c>
      <c r="N880" s="25">
        <f>G880/$H880</f>
        <v/>
      </c>
      <c r="O880" s="25">
        <f>SUM(MMULT(I880:N880,'07 Annualised Inputs'!$D$7:$D$12))</f>
        <v/>
      </c>
      <c r="P880" s="25">
        <f>SQRT(SUMPRODUCT(MMULT(I880:N880,'07 Annualised Inputs'!$B$17:$G$22),I880:N880))</f>
        <v/>
      </c>
      <c r="Q880" s="37">
        <f>(O880-'02 Config'!$B$10)/P880</f>
        <v/>
      </c>
    </row>
    <row r="881">
      <c r="A881" s="12" t="n">
        <v>876</v>
      </c>
      <c r="B881" s="36" t="n">
        <v>0.4793046827177857</v>
      </c>
      <c r="C881" s="36" t="n">
        <v>0.0621391841338772</v>
      </c>
      <c r="D881" s="36" t="n">
        <v>0.258121499649558</v>
      </c>
      <c r="E881" s="36" t="n">
        <v>0.8040337783841548</v>
      </c>
      <c r="F881" s="36" t="n">
        <v>0.7517263247735499</v>
      </c>
      <c r="G881" s="36" t="n">
        <v>0.8758166328973778</v>
      </c>
      <c r="H881" s="37">
        <f>SUM(B881:G881)</f>
        <v/>
      </c>
      <c r="I881" s="25">
        <f>B881/$H881</f>
        <v/>
      </c>
      <c r="J881" s="25">
        <f>C881/$H881</f>
        <v/>
      </c>
      <c r="K881" s="25">
        <f>D881/$H881</f>
        <v/>
      </c>
      <c r="L881" s="25">
        <f>E881/$H881</f>
        <v/>
      </c>
      <c r="M881" s="25">
        <f>F881/$H881</f>
        <v/>
      </c>
      <c r="N881" s="25">
        <f>G881/$H881</f>
        <v/>
      </c>
      <c r="O881" s="25">
        <f>SUM(MMULT(I881:N881,'07 Annualised Inputs'!$D$7:$D$12))</f>
        <v/>
      </c>
      <c r="P881" s="25">
        <f>SQRT(SUMPRODUCT(MMULT(I881:N881,'07 Annualised Inputs'!$B$17:$G$22),I881:N881))</f>
        <v/>
      </c>
      <c r="Q881" s="37">
        <f>(O881-'02 Config'!$B$10)/P881</f>
        <v/>
      </c>
    </row>
    <row r="882">
      <c r="A882" s="12" t="n">
        <v>877</v>
      </c>
      <c r="B882" s="36" t="n">
        <v>0.6020878260016921</v>
      </c>
      <c r="C882" s="36" t="n">
        <v>0.422905934358055</v>
      </c>
      <c r="D882" s="36" t="n">
        <v>0.4266349975544507</v>
      </c>
      <c r="E882" s="36" t="n">
        <v>0.1940000444929437</v>
      </c>
      <c r="F882" s="36" t="n">
        <v>0.6507989615178819</v>
      </c>
      <c r="G882" s="36" t="n">
        <v>0.585068756092854</v>
      </c>
      <c r="H882" s="37">
        <f>SUM(B882:G882)</f>
        <v/>
      </c>
      <c r="I882" s="25">
        <f>B882/$H882</f>
        <v/>
      </c>
      <c r="J882" s="25">
        <f>C882/$H882</f>
        <v/>
      </c>
      <c r="K882" s="25">
        <f>D882/$H882</f>
        <v/>
      </c>
      <c r="L882" s="25">
        <f>E882/$H882</f>
        <v/>
      </c>
      <c r="M882" s="25">
        <f>F882/$H882</f>
        <v/>
      </c>
      <c r="N882" s="25">
        <f>G882/$H882</f>
        <v/>
      </c>
      <c r="O882" s="25">
        <f>SUM(MMULT(I882:N882,'07 Annualised Inputs'!$D$7:$D$12))</f>
        <v/>
      </c>
      <c r="P882" s="25">
        <f>SQRT(SUMPRODUCT(MMULT(I882:N882,'07 Annualised Inputs'!$B$17:$G$22),I882:N882))</f>
        <v/>
      </c>
      <c r="Q882" s="37">
        <f>(O882-'02 Config'!$B$10)/P882</f>
        <v/>
      </c>
    </row>
    <row r="883">
      <c r="A883" s="12" t="n">
        <v>878</v>
      </c>
      <c r="B883" s="36" t="n">
        <v>0.1548644114288359</v>
      </c>
      <c r="C883" s="36" t="n">
        <v>0.8856629200453748</v>
      </c>
      <c r="D883" s="36" t="n">
        <v>0.368468203310597</v>
      </c>
      <c r="E883" s="36" t="n">
        <v>0.04973876552106848</v>
      </c>
      <c r="F883" s="36" t="n">
        <v>0.3278809207797838</v>
      </c>
      <c r="G883" s="36" t="n">
        <v>0.8698567147115758</v>
      </c>
      <c r="H883" s="37">
        <f>SUM(B883:G883)</f>
        <v/>
      </c>
      <c r="I883" s="25">
        <f>B883/$H883</f>
        <v/>
      </c>
      <c r="J883" s="25">
        <f>C883/$H883</f>
        <v/>
      </c>
      <c r="K883" s="25">
        <f>D883/$H883</f>
        <v/>
      </c>
      <c r="L883" s="25">
        <f>E883/$H883</f>
        <v/>
      </c>
      <c r="M883" s="25">
        <f>F883/$H883</f>
        <v/>
      </c>
      <c r="N883" s="25">
        <f>G883/$H883</f>
        <v/>
      </c>
      <c r="O883" s="25">
        <f>SUM(MMULT(I883:N883,'07 Annualised Inputs'!$D$7:$D$12))</f>
        <v/>
      </c>
      <c r="P883" s="25">
        <f>SQRT(SUMPRODUCT(MMULT(I883:N883,'07 Annualised Inputs'!$B$17:$G$22),I883:N883))</f>
        <v/>
      </c>
      <c r="Q883" s="37">
        <f>(O883-'02 Config'!$B$10)/P883</f>
        <v/>
      </c>
    </row>
    <row r="884">
      <c r="A884" s="12" t="n">
        <v>879</v>
      </c>
      <c r="B884" s="36" t="n">
        <v>0.9169565858617845</v>
      </c>
      <c r="C884" s="36" t="n">
        <v>0.4903984172596335</v>
      </c>
      <c r="D884" s="36" t="n">
        <v>0.9563399400734179</v>
      </c>
      <c r="E884" s="36" t="n">
        <v>0.875241809211976</v>
      </c>
      <c r="F884" s="36" t="n">
        <v>0.8252307170992254</v>
      </c>
      <c r="G884" s="36" t="n">
        <v>0.859710064682206</v>
      </c>
      <c r="H884" s="37">
        <f>SUM(B884:G884)</f>
        <v/>
      </c>
      <c r="I884" s="25">
        <f>B884/$H884</f>
        <v/>
      </c>
      <c r="J884" s="25">
        <f>C884/$H884</f>
        <v/>
      </c>
      <c r="K884" s="25">
        <f>D884/$H884</f>
        <v/>
      </c>
      <c r="L884" s="25">
        <f>E884/$H884</f>
        <v/>
      </c>
      <c r="M884" s="25">
        <f>F884/$H884</f>
        <v/>
      </c>
      <c r="N884" s="25">
        <f>G884/$H884</f>
        <v/>
      </c>
      <c r="O884" s="25">
        <f>SUM(MMULT(I884:N884,'07 Annualised Inputs'!$D$7:$D$12))</f>
        <v/>
      </c>
      <c r="P884" s="25">
        <f>SQRT(SUMPRODUCT(MMULT(I884:N884,'07 Annualised Inputs'!$B$17:$G$22),I884:N884))</f>
        <v/>
      </c>
      <c r="Q884" s="37">
        <f>(O884-'02 Config'!$B$10)/P884</f>
        <v/>
      </c>
    </row>
    <row r="885">
      <c r="A885" s="12" t="n">
        <v>880</v>
      </c>
      <c r="B885" s="36" t="n">
        <v>0.3818754121688235</v>
      </c>
      <c r="C885" s="36" t="n">
        <v>0.7564689407555436</v>
      </c>
      <c r="D885" s="36" t="n">
        <v>0.5773390030761493</v>
      </c>
      <c r="E885" s="36" t="n">
        <v>0.7196840017403067</v>
      </c>
      <c r="F885" s="36" t="n">
        <v>0.1777861075807746</v>
      </c>
      <c r="G885" s="36" t="n">
        <v>0.731393911774942</v>
      </c>
      <c r="H885" s="37">
        <f>SUM(B885:G885)</f>
        <v/>
      </c>
      <c r="I885" s="25">
        <f>B885/$H885</f>
        <v/>
      </c>
      <c r="J885" s="25">
        <f>C885/$H885</f>
        <v/>
      </c>
      <c r="K885" s="25">
        <f>D885/$H885</f>
        <v/>
      </c>
      <c r="L885" s="25">
        <f>E885/$H885</f>
        <v/>
      </c>
      <c r="M885" s="25">
        <f>F885/$H885</f>
        <v/>
      </c>
      <c r="N885" s="25">
        <f>G885/$H885</f>
        <v/>
      </c>
      <c r="O885" s="25">
        <f>SUM(MMULT(I885:N885,'07 Annualised Inputs'!$D$7:$D$12))</f>
        <v/>
      </c>
      <c r="P885" s="25">
        <f>SQRT(SUMPRODUCT(MMULT(I885:N885,'07 Annualised Inputs'!$B$17:$G$22),I885:N885))</f>
        <v/>
      </c>
      <c r="Q885" s="37">
        <f>(O885-'02 Config'!$B$10)/P885</f>
        <v/>
      </c>
    </row>
    <row r="886">
      <c r="A886" s="12" t="n">
        <v>881</v>
      </c>
      <c r="B886" s="36" t="n">
        <v>0.9575924341941717</v>
      </c>
      <c r="C886" s="36" t="n">
        <v>0.3026633223814296</v>
      </c>
      <c r="D886" s="36" t="n">
        <v>0.9861613239556271</v>
      </c>
      <c r="E886" s="36" t="n">
        <v>0.3783760148053711</v>
      </c>
      <c r="F886" s="36" t="n">
        <v>0.1997234970210329</v>
      </c>
      <c r="G886" s="36" t="n">
        <v>0.1122862298002384</v>
      </c>
      <c r="H886" s="37">
        <f>SUM(B886:G886)</f>
        <v/>
      </c>
      <c r="I886" s="25">
        <f>B886/$H886</f>
        <v/>
      </c>
      <c r="J886" s="25">
        <f>C886/$H886</f>
        <v/>
      </c>
      <c r="K886" s="25">
        <f>D886/$H886</f>
        <v/>
      </c>
      <c r="L886" s="25">
        <f>E886/$H886</f>
        <v/>
      </c>
      <c r="M886" s="25">
        <f>F886/$H886</f>
        <v/>
      </c>
      <c r="N886" s="25">
        <f>G886/$H886</f>
        <v/>
      </c>
      <c r="O886" s="25">
        <f>SUM(MMULT(I886:N886,'07 Annualised Inputs'!$D$7:$D$12))</f>
        <v/>
      </c>
      <c r="P886" s="25">
        <f>SQRT(SUMPRODUCT(MMULT(I886:N886,'07 Annualised Inputs'!$B$17:$G$22),I886:N886))</f>
        <v/>
      </c>
      <c r="Q886" s="37">
        <f>(O886-'02 Config'!$B$10)/P886</f>
        <v/>
      </c>
    </row>
    <row r="887">
      <c r="A887" s="12" t="n">
        <v>882</v>
      </c>
      <c r="B887" s="36" t="n">
        <v>0.7849619132881778</v>
      </c>
      <c r="C887" s="36" t="n">
        <v>0.5548254003765684</v>
      </c>
      <c r="D887" s="36" t="n">
        <v>0.3071312936620288</v>
      </c>
      <c r="E887" s="36" t="n">
        <v>0.6084503697937579</v>
      </c>
      <c r="F887" s="36" t="n">
        <v>0.3321011878410047</v>
      </c>
      <c r="G887" s="36" t="n">
        <v>0.4483577573284587</v>
      </c>
      <c r="H887" s="37">
        <f>SUM(B887:G887)</f>
        <v/>
      </c>
      <c r="I887" s="25">
        <f>B887/$H887</f>
        <v/>
      </c>
      <c r="J887" s="25">
        <f>C887/$H887</f>
        <v/>
      </c>
      <c r="K887" s="25">
        <f>D887/$H887</f>
        <v/>
      </c>
      <c r="L887" s="25">
        <f>E887/$H887</f>
        <v/>
      </c>
      <c r="M887" s="25">
        <f>F887/$H887</f>
        <v/>
      </c>
      <c r="N887" s="25">
        <f>G887/$H887</f>
        <v/>
      </c>
      <c r="O887" s="25">
        <f>SUM(MMULT(I887:N887,'07 Annualised Inputs'!$D$7:$D$12))</f>
        <v/>
      </c>
      <c r="P887" s="25">
        <f>SQRT(SUMPRODUCT(MMULT(I887:N887,'07 Annualised Inputs'!$B$17:$G$22),I887:N887))</f>
        <v/>
      </c>
      <c r="Q887" s="37">
        <f>(O887-'02 Config'!$B$10)/P887</f>
        <v/>
      </c>
    </row>
    <row r="888">
      <c r="A888" s="12" t="n">
        <v>883</v>
      </c>
      <c r="B888" s="36" t="n">
        <v>0.8626641257530911</v>
      </c>
      <c r="C888" s="36" t="n">
        <v>0.6681664768591647</v>
      </c>
      <c r="D888" s="36" t="n">
        <v>0.7624018397047164</v>
      </c>
      <c r="E888" s="36" t="n">
        <v>0.5834935514695763</v>
      </c>
      <c r="F888" s="36" t="n">
        <v>0.991398048885621</v>
      </c>
      <c r="G888" s="36" t="n">
        <v>0.2414100662908927</v>
      </c>
      <c r="H888" s="37">
        <f>SUM(B888:G888)</f>
        <v/>
      </c>
      <c r="I888" s="25">
        <f>B888/$H888</f>
        <v/>
      </c>
      <c r="J888" s="25">
        <f>C888/$H888</f>
        <v/>
      </c>
      <c r="K888" s="25">
        <f>D888/$H888</f>
        <v/>
      </c>
      <c r="L888" s="25">
        <f>E888/$H888</f>
        <v/>
      </c>
      <c r="M888" s="25">
        <f>F888/$H888</f>
        <v/>
      </c>
      <c r="N888" s="25">
        <f>G888/$H888</f>
        <v/>
      </c>
      <c r="O888" s="25">
        <f>SUM(MMULT(I888:N888,'07 Annualised Inputs'!$D$7:$D$12))</f>
        <v/>
      </c>
      <c r="P888" s="25">
        <f>SQRT(SUMPRODUCT(MMULT(I888:N888,'07 Annualised Inputs'!$B$17:$G$22),I888:N888))</f>
        <v/>
      </c>
      <c r="Q888" s="37">
        <f>(O888-'02 Config'!$B$10)/P888</f>
        <v/>
      </c>
    </row>
    <row r="889">
      <c r="A889" s="12" t="n">
        <v>884</v>
      </c>
      <c r="B889" s="36" t="n">
        <v>0.2622911607188148</v>
      </c>
      <c r="C889" s="36" t="n">
        <v>0.09255893873833287</v>
      </c>
      <c r="D889" s="36" t="n">
        <v>0.5540195020707105</v>
      </c>
      <c r="E889" s="36" t="n">
        <v>0.6133592364083679</v>
      </c>
      <c r="F889" s="36" t="n">
        <v>0.7259615728988198</v>
      </c>
      <c r="G889" s="36" t="n">
        <v>0.335445925949261</v>
      </c>
      <c r="H889" s="37">
        <f>SUM(B889:G889)</f>
        <v/>
      </c>
      <c r="I889" s="25">
        <f>B889/$H889</f>
        <v/>
      </c>
      <c r="J889" s="25">
        <f>C889/$H889</f>
        <v/>
      </c>
      <c r="K889" s="25">
        <f>D889/$H889</f>
        <v/>
      </c>
      <c r="L889" s="25">
        <f>E889/$H889</f>
        <v/>
      </c>
      <c r="M889" s="25">
        <f>F889/$H889</f>
        <v/>
      </c>
      <c r="N889" s="25">
        <f>G889/$H889</f>
        <v/>
      </c>
      <c r="O889" s="25">
        <f>SUM(MMULT(I889:N889,'07 Annualised Inputs'!$D$7:$D$12))</f>
        <v/>
      </c>
      <c r="P889" s="25">
        <f>SQRT(SUMPRODUCT(MMULT(I889:N889,'07 Annualised Inputs'!$B$17:$G$22),I889:N889))</f>
        <v/>
      </c>
      <c r="Q889" s="37">
        <f>(O889-'02 Config'!$B$10)/P889</f>
        <v/>
      </c>
    </row>
    <row r="890">
      <c r="A890" s="12" t="n">
        <v>885</v>
      </c>
      <c r="B890" s="36" t="n">
        <v>0.0122568018650272</v>
      </c>
      <c r="C890" s="36" t="n">
        <v>0.63222953708832</v>
      </c>
      <c r="D890" s="36" t="n">
        <v>0.9986954925203827</v>
      </c>
      <c r="E890" s="36" t="n">
        <v>0.2945493537899925</v>
      </c>
      <c r="F890" s="36" t="n">
        <v>0.1839344524690197</v>
      </c>
      <c r="G890" s="36" t="n">
        <v>0.2817669578263532</v>
      </c>
      <c r="H890" s="37">
        <f>SUM(B890:G890)</f>
        <v/>
      </c>
      <c r="I890" s="25">
        <f>B890/$H890</f>
        <v/>
      </c>
      <c r="J890" s="25">
        <f>C890/$H890</f>
        <v/>
      </c>
      <c r="K890" s="25">
        <f>D890/$H890</f>
        <v/>
      </c>
      <c r="L890" s="25">
        <f>E890/$H890</f>
        <v/>
      </c>
      <c r="M890" s="25">
        <f>F890/$H890</f>
        <v/>
      </c>
      <c r="N890" s="25">
        <f>G890/$H890</f>
        <v/>
      </c>
      <c r="O890" s="25">
        <f>SUM(MMULT(I890:N890,'07 Annualised Inputs'!$D$7:$D$12))</f>
        <v/>
      </c>
      <c r="P890" s="25">
        <f>SQRT(SUMPRODUCT(MMULT(I890:N890,'07 Annualised Inputs'!$B$17:$G$22),I890:N890))</f>
        <v/>
      </c>
      <c r="Q890" s="37">
        <f>(O890-'02 Config'!$B$10)/P890</f>
        <v/>
      </c>
    </row>
    <row r="891">
      <c r="A891" s="12" t="n">
        <v>886</v>
      </c>
      <c r="B891" s="36" t="n">
        <v>0.4254154747770472</v>
      </c>
      <c r="C891" s="36" t="n">
        <v>0.2509129289525647</v>
      </c>
      <c r="D891" s="36" t="n">
        <v>0.3469600253675299</v>
      </c>
      <c r="E891" s="36" t="n">
        <v>0.6382067385793626</v>
      </c>
      <c r="F891" s="36" t="n">
        <v>0.3450279868426147</v>
      </c>
      <c r="G891" s="36" t="n">
        <v>0.3960589447836547</v>
      </c>
      <c r="H891" s="37">
        <f>SUM(B891:G891)</f>
        <v/>
      </c>
      <c r="I891" s="25">
        <f>B891/$H891</f>
        <v/>
      </c>
      <c r="J891" s="25">
        <f>C891/$H891</f>
        <v/>
      </c>
      <c r="K891" s="25">
        <f>D891/$H891</f>
        <v/>
      </c>
      <c r="L891" s="25">
        <f>E891/$H891</f>
        <v/>
      </c>
      <c r="M891" s="25">
        <f>F891/$H891</f>
        <v/>
      </c>
      <c r="N891" s="25">
        <f>G891/$H891</f>
        <v/>
      </c>
      <c r="O891" s="25">
        <f>SUM(MMULT(I891:N891,'07 Annualised Inputs'!$D$7:$D$12))</f>
        <v/>
      </c>
      <c r="P891" s="25">
        <f>SQRT(SUMPRODUCT(MMULT(I891:N891,'07 Annualised Inputs'!$B$17:$G$22),I891:N891))</f>
        <v/>
      </c>
      <c r="Q891" s="37">
        <f>(O891-'02 Config'!$B$10)/P891</f>
        <v/>
      </c>
    </row>
    <row r="892">
      <c r="A892" s="12" t="n">
        <v>887</v>
      </c>
      <c r="B892" s="36" t="n">
        <v>0.04003126279926394</v>
      </c>
      <c r="C892" s="36" t="n">
        <v>0.9179425016228697</v>
      </c>
      <c r="D892" s="36" t="n">
        <v>0.4068859599148537</v>
      </c>
      <c r="E892" s="36" t="n">
        <v>0.3281435160347943</v>
      </c>
      <c r="F892" s="36" t="n">
        <v>0.0864841962453845</v>
      </c>
      <c r="G892" s="36" t="n">
        <v>0.6341832153951836</v>
      </c>
      <c r="H892" s="37">
        <f>SUM(B892:G892)</f>
        <v/>
      </c>
      <c r="I892" s="25">
        <f>B892/$H892</f>
        <v/>
      </c>
      <c r="J892" s="25">
        <f>C892/$H892</f>
        <v/>
      </c>
      <c r="K892" s="25">
        <f>D892/$H892</f>
        <v/>
      </c>
      <c r="L892" s="25">
        <f>E892/$H892</f>
        <v/>
      </c>
      <c r="M892" s="25">
        <f>F892/$H892</f>
        <v/>
      </c>
      <c r="N892" s="25">
        <f>G892/$H892</f>
        <v/>
      </c>
      <c r="O892" s="25">
        <f>SUM(MMULT(I892:N892,'07 Annualised Inputs'!$D$7:$D$12))</f>
        <v/>
      </c>
      <c r="P892" s="25">
        <f>SQRT(SUMPRODUCT(MMULT(I892:N892,'07 Annualised Inputs'!$B$17:$G$22),I892:N892))</f>
        <v/>
      </c>
      <c r="Q892" s="37">
        <f>(O892-'02 Config'!$B$10)/P892</f>
        <v/>
      </c>
    </row>
    <row r="893">
      <c r="A893" s="12" t="n">
        <v>888</v>
      </c>
      <c r="B893" s="36" t="n">
        <v>0.8638249502637549</v>
      </c>
      <c r="C893" s="36" t="n">
        <v>0.04115320005240031</v>
      </c>
      <c r="D893" s="36" t="n">
        <v>0.1452724673660355</v>
      </c>
      <c r="E893" s="36" t="n">
        <v>0.1463898288862073</v>
      </c>
      <c r="F893" s="36" t="n">
        <v>0.6022748553477929</v>
      </c>
      <c r="G893" s="36" t="n">
        <v>0.9212305027183688</v>
      </c>
      <c r="H893" s="37">
        <f>SUM(B893:G893)</f>
        <v/>
      </c>
      <c r="I893" s="25">
        <f>B893/$H893</f>
        <v/>
      </c>
      <c r="J893" s="25">
        <f>C893/$H893</f>
        <v/>
      </c>
      <c r="K893" s="25">
        <f>D893/$H893</f>
        <v/>
      </c>
      <c r="L893" s="25">
        <f>E893/$H893</f>
        <v/>
      </c>
      <c r="M893" s="25">
        <f>F893/$H893</f>
        <v/>
      </c>
      <c r="N893" s="25">
        <f>G893/$H893</f>
        <v/>
      </c>
      <c r="O893" s="25">
        <f>SUM(MMULT(I893:N893,'07 Annualised Inputs'!$D$7:$D$12))</f>
        <v/>
      </c>
      <c r="P893" s="25">
        <f>SQRT(SUMPRODUCT(MMULT(I893:N893,'07 Annualised Inputs'!$B$17:$G$22),I893:N893))</f>
        <v/>
      </c>
      <c r="Q893" s="37">
        <f>(O893-'02 Config'!$B$10)/P893</f>
        <v/>
      </c>
    </row>
    <row r="894">
      <c r="A894" s="12" t="n">
        <v>889</v>
      </c>
      <c r="B894" s="36" t="n">
        <v>0.4377683670655096</v>
      </c>
      <c r="C894" s="36" t="n">
        <v>0.3438064481938506</v>
      </c>
      <c r="D894" s="36" t="n">
        <v>0.7658406855966913</v>
      </c>
      <c r="E894" s="36" t="n">
        <v>0.7425690617556514</v>
      </c>
      <c r="F894" s="36" t="n">
        <v>0.2467561392772096</v>
      </c>
      <c r="G894" s="36" t="n">
        <v>0.1608263623078861</v>
      </c>
      <c r="H894" s="37">
        <f>SUM(B894:G894)</f>
        <v/>
      </c>
      <c r="I894" s="25">
        <f>B894/$H894</f>
        <v/>
      </c>
      <c r="J894" s="25">
        <f>C894/$H894</f>
        <v/>
      </c>
      <c r="K894" s="25">
        <f>D894/$H894</f>
        <v/>
      </c>
      <c r="L894" s="25">
        <f>E894/$H894</f>
        <v/>
      </c>
      <c r="M894" s="25">
        <f>F894/$H894</f>
        <v/>
      </c>
      <c r="N894" s="25">
        <f>G894/$H894</f>
        <v/>
      </c>
      <c r="O894" s="25">
        <f>SUM(MMULT(I894:N894,'07 Annualised Inputs'!$D$7:$D$12))</f>
        <v/>
      </c>
      <c r="P894" s="25">
        <f>SQRT(SUMPRODUCT(MMULT(I894:N894,'07 Annualised Inputs'!$B$17:$G$22),I894:N894))</f>
        <v/>
      </c>
      <c r="Q894" s="37">
        <f>(O894-'02 Config'!$B$10)/P894</f>
        <v/>
      </c>
    </row>
    <row r="895">
      <c r="A895" s="12" t="n">
        <v>890</v>
      </c>
      <c r="B895" s="36" t="n">
        <v>0.3578100324153564</v>
      </c>
      <c r="C895" s="36" t="n">
        <v>0.7756033922266312</v>
      </c>
      <c r="D895" s="36" t="n">
        <v>0.6950633899149783</v>
      </c>
      <c r="E895" s="36" t="n">
        <v>0.6658537063562052</v>
      </c>
      <c r="F895" s="36" t="n">
        <v>0.8294285601632039</v>
      </c>
      <c r="G895" s="36" t="n">
        <v>0.2771303123413937</v>
      </c>
      <c r="H895" s="37">
        <f>SUM(B895:G895)</f>
        <v/>
      </c>
      <c r="I895" s="25">
        <f>B895/$H895</f>
        <v/>
      </c>
      <c r="J895" s="25">
        <f>C895/$H895</f>
        <v/>
      </c>
      <c r="K895" s="25">
        <f>D895/$H895</f>
        <v/>
      </c>
      <c r="L895" s="25">
        <f>E895/$H895</f>
        <v/>
      </c>
      <c r="M895" s="25">
        <f>F895/$H895</f>
        <v/>
      </c>
      <c r="N895" s="25">
        <f>G895/$H895</f>
        <v/>
      </c>
      <c r="O895" s="25">
        <f>SUM(MMULT(I895:N895,'07 Annualised Inputs'!$D$7:$D$12))</f>
        <v/>
      </c>
      <c r="P895" s="25">
        <f>SQRT(SUMPRODUCT(MMULT(I895:N895,'07 Annualised Inputs'!$B$17:$G$22),I895:N895))</f>
        <v/>
      </c>
      <c r="Q895" s="37">
        <f>(O895-'02 Config'!$B$10)/P895</f>
        <v/>
      </c>
    </row>
    <row r="896">
      <c r="A896" s="12" t="n">
        <v>891</v>
      </c>
      <c r="B896" s="36" t="n">
        <v>0.3396837254695101</v>
      </c>
      <c r="C896" s="36" t="n">
        <v>0.04233945060917599</v>
      </c>
      <c r="D896" s="36" t="n">
        <v>0.8687457758035334</v>
      </c>
      <c r="E896" s="36" t="n">
        <v>0.5824297349221781</v>
      </c>
      <c r="F896" s="36" t="n">
        <v>0.2981222918836933</v>
      </c>
      <c r="G896" s="36" t="n">
        <v>0.06941653144936555</v>
      </c>
      <c r="H896" s="37">
        <f>SUM(B896:G896)</f>
        <v/>
      </c>
      <c r="I896" s="25">
        <f>B896/$H896</f>
        <v/>
      </c>
      <c r="J896" s="25">
        <f>C896/$H896</f>
        <v/>
      </c>
      <c r="K896" s="25">
        <f>D896/$H896</f>
        <v/>
      </c>
      <c r="L896" s="25">
        <f>E896/$H896</f>
        <v/>
      </c>
      <c r="M896" s="25">
        <f>F896/$H896</f>
        <v/>
      </c>
      <c r="N896" s="25">
        <f>G896/$H896</f>
        <v/>
      </c>
      <c r="O896" s="25">
        <f>SUM(MMULT(I896:N896,'07 Annualised Inputs'!$D$7:$D$12))</f>
        <v/>
      </c>
      <c r="P896" s="25">
        <f>SQRT(SUMPRODUCT(MMULT(I896:N896,'07 Annualised Inputs'!$B$17:$G$22),I896:N896))</f>
        <v/>
      </c>
      <c r="Q896" s="37">
        <f>(O896-'02 Config'!$B$10)/P896</f>
        <v/>
      </c>
    </row>
    <row r="897">
      <c r="A897" s="12" t="n">
        <v>892</v>
      </c>
      <c r="B897" s="36" t="n">
        <v>0.7234095031624597</v>
      </c>
      <c r="C897" s="36" t="n">
        <v>0.7487375195490611</v>
      </c>
      <c r="D897" s="36" t="n">
        <v>0.6661786521150226</v>
      </c>
      <c r="E897" s="36" t="n">
        <v>0.2037809709467295</v>
      </c>
      <c r="F897" s="36" t="n">
        <v>0.9132160585086049</v>
      </c>
      <c r="G897" s="36" t="n">
        <v>0.7531580190208763</v>
      </c>
      <c r="H897" s="37">
        <f>SUM(B897:G897)</f>
        <v/>
      </c>
      <c r="I897" s="25">
        <f>B897/$H897</f>
        <v/>
      </c>
      <c r="J897" s="25">
        <f>C897/$H897</f>
        <v/>
      </c>
      <c r="K897" s="25">
        <f>D897/$H897</f>
        <v/>
      </c>
      <c r="L897" s="25">
        <f>E897/$H897</f>
        <v/>
      </c>
      <c r="M897" s="25">
        <f>F897/$H897</f>
        <v/>
      </c>
      <c r="N897" s="25">
        <f>G897/$H897</f>
        <v/>
      </c>
      <c r="O897" s="25">
        <f>SUM(MMULT(I897:N897,'07 Annualised Inputs'!$D$7:$D$12))</f>
        <v/>
      </c>
      <c r="P897" s="25">
        <f>SQRT(SUMPRODUCT(MMULT(I897:N897,'07 Annualised Inputs'!$B$17:$G$22),I897:N897))</f>
        <v/>
      </c>
      <c r="Q897" s="37">
        <f>(O897-'02 Config'!$B$10)/P897</f>
        <v/>
      </c>
    </row>
    <row r="898">
      <c r="A898" s="12" t="n">
        <v>893</v>
      </c>
      <c r="B898" s="36" t="n">
        <v>0.6577563235839703</v>
      </c>
      <c r="C898" s="36" t="n">
        <v>0.6509439234217875</v>
      </c>
      <c r="D898" s="36" t="n">
        <v>0.9043577000916412</v>
      </c>
      <c r="E898" s="36" t="n">
        <v>0.9283071330971238</v>
      </c>
      <c r="F898" s="36" t="n">
        <v>0.5956374180102399</v>
      </c>
      <c r="G898" s="36" t="n">
        <v>0.4166694109625484</v>
      </c>
      <c r="H898" s="37">
        <f>SUM(B898:G898)</f>
        <v/>
      </c>
      <c r="I898" s="25">
        <f>B898/$H898</f>
        <v/>
      </c>
      <c r="J898" s="25">
        <f>C898/$H898</f>
        <v/>
      </c>
      <c r="K898" s="25">
        <f>D898/$H898</f>
        <v/>
      </c>
      <c r="L898" s="25">
        <f>E898/$H898</f>
        <v/>
      </c>
      <c r="M898" s="25">
        <f>F898/$H898</f>
        <v/>
      </c>
      <c r="N898" s="25">
        <f>G898/$H898</f>
        <v/>
      </c>
      <c r="O898" s="25">
        <f>SUM(MMULT(I898:N898,'07 Annualised Inputs'!$D$7:$D$12))</f>
        <v/>
      </c>
      <c r="P898" s="25">
        <f>SQRT(SUMPRODUCT(MMULT(I898:N898,'07 Annualised Inputs'!$B$17:$G$22),I898:N898))</f>
        <v/>
      </c>
      <c r="Q898" s="37">
        <f>(O898-'02 Config'!$B$10)/P898</f>
        <v/>
      </c>
    </row>
    <row r="899">
      <c r="A899" s="12" t="n">
        <v>894</v>
      </c>
      <c r="B899" s="36" t="n">
        <v>0.3637339795594162</v>
      </c>
      <c r="C899" s="36" t="n">
        <v>0.8190788410807225</v>
      </c>
      <c r="D899" s="36" t="n">
        <v>0.6446053398343335</v>
      </c>
      <c r="E899" s="36" t="n">
        <v>0.07726603025365364</v>
      </c>
      <c r="F899" s="36" t="n">
        <v>0.1421860130150272</v>
      </c>
      <c r="G899" s="36" t="n">
        <v>0.9001858951048464</v>
      </c>
      <c r="H899" s="37">
        <f>SUM(B899:G899)</f>
        <v/>
      </c>
      <c r="I899" s="25">
        <f>B899/$H899</f>
        <v/>
      </c>
      <c r="J899" s="25">
        <f>C899/$H899</f>
        <v/>
      </c>
      <c r="K899" s="25">
        <f>D899/$H899</f>
        <v/>
      </c>
      <c r="L899" s="25">
        <f>E899/$H899</f>
        <v/>
      </c>
      <c r="M899" s="25">
        <f>F899/$H899</f>
        <v/>
      </c>
      <c r="N899" s="25">
        <f>G899/$H899</f>
        <v/>
      </c>
      <c r="O899" s="25">
        <f>SUM(MMULT(I899:N899,'07 Annualised Inputs'!$D$7:$D$12))</f>
        <v/>
      </c>
      <c r="P899" s="25">
        <f>SQRT(SUMPRODUCT(MMULT(I899:N899,'07 Annualised Inputs'!$B$17:$G$22),I899:N899))</f>
        <v/>
      </c>
      <c r="Q899" s="37">
        <f>(O899-'02 Config'!$B$10)/P899</f>
        <v/>
      </c>
    </row>
    <row r="900">
      <c r="A900" s="12" t="n">
        <v>895</v>
      </c>
      <c r="B900" s="36" t="n">
        <v>0.8844981481045009</v>
      </c>
      <c r="C900" s="36" t="n">
        <v>0.9518324486974689</v>
      </c>
      <c r="D900" s="36" t="n">
        <v>0.4278509673283237</v>
      </c>
      <c r="E900" s="36" t="n">
        <v>0.7840609076407071</v>
      </c>
      <c r="F900" s="36" t="n">
        <v>0.8282250273143216</v>
      </c>
      <c r="G900" s="36" t="n">
        <v>0.3156969058381931</v>
      </c>
      <c r="H900" s="37">
        <f>SUM(B900:G900)</f>
        <v/>
      </c>
      <c r="I900" s="25">
        <f>B900/$H900</f>
        <v/>
      </c>
      <c r="J900" s="25">
        <f>C900/$H900</f>
        <v/>
      </c>
      <c r="K900" s="25">
        <f>D900/$H900</f>
        <v/>
      </c>
      <c r="L900" s="25">
        <f>E900/$H900</f>
        <v/>
      </c>
      <c r="M900" s="25">
        <f>F900/$H900</f>
        <v/>
      </c>
      <c r="N900" s="25">
        <f>G900/$H900</f>
        <v/>
      </c>
      <c r="O900" s="25">
        <f>SUM(MMULT(I900:N900,'07 Annualised Inputs'!$D$7:$D$12))</f>
        <v/>
      </c>
      <c r="P900" s="25">
        <f>SQRT(SUMPRODUCT(MMULT(I900:N900,'07 Annualised Inputs'!$B$17:$G$22),I900:N900))</f>
        <v/>
      </c>
      <c r="Q900" s="37">
        <f>(O900-'02 Config'!$B$10)/P900</f>
        <v/>
      </c>
    </row>
    <row r="901">
      <c r="A901" s="12" t="n">
        <v>896</v>
      </c>
      <c r="B901" s="36" t="n">
        <v>0.1453377112271422</v>
      </c>
      <c r="C901" s="36" t="n">
        <v>0.9970263616391729</v>
      </c>
      <c r="D901" s="36" t="n">
        <v>0.0302192037513499</v>
      </c>
      <c r="E901" s="36" t="n">
        <v>0.597335918711443</v>
      </c>
      <c r="F901" s="36" t="n">
        <v>0.6502122741817089</v>
      </c>
      <c r="G901" s="36" t="n">
        <v>0.6817893419696484</v>
      </c>
      <c r="H901" s="37">
        <f>SUM(B901:G901)</f>
        <v/>
      </c>
      <c r="I901" s="25">
        <f>B901/$H901</f>
        <v/>
      </c>
      <c r="J901" s="25">
        <f>C901/$H901</f>
        <v/>
      </c>
      <c r="K901" s="25">
        <f>D901/$H901</f>
        <v/>
      </c>
      <c r="L901" s="25">
        <f>E901/$H901</f>
        <v/>
      </c>
      <c r="M901" s="25">
        <f>F901/$H901</f>
        <v/>
      </c>
      <c r="N901" s="25">
        <f>G901/$H901</f>
        <v/>
      </c>
      <c r="O901" s="25">
        <f>SUM(MMULT(I901:N901,'07 Annualised Inputs'!$D$7:$D$12))</f>
        <v/>
      </c>
      <c r="P901" s="25">
        <f>SQRT(SUMPRODUCT(MMULT(I901:N901,'07 Annualised Inputs'!$B$17:$G$22),I901:N901))</f>
        <v/>
      </c>
      <c r="Q901" s="37">
        <f>(O901-'02 Config'!$B$10)/P901</f>
        <v/>
      </c>
    </row>
    <row r="902">
      <c r="A902" s="12" t="n">
        <v>897</v>
      </c>
      <c r="B902" s="36" t="n">
        <v>0.2556277439690897</v>
      </c>
      <c r="C902" s="36" t="n">
        <v>0.7215792442988508</v>
      </c>
      <c r="D902" s="36" t="n">
        <v>0.2163995632812655</v>
      </c>
      <c r="E902" s="36" t="n">
        <v>0.8290382557516824</v>
      </c>
      <c r="F902" s="36" t="n">
        <v>0.2191166740846345</v>
      </c>
      <c r="G902" s="36" t="n">
        <v>0.6967060290760775</v>
      </c>
      <c r="H902" s="37">
        <f>SUM(B902:G902)</f>
        <v/>
      </c>
      <c r="I902" s="25">
        <f>B902/$H902</f>
        <v/>
      </c>
      <c r="J902" s="25">
        <f>C902/$H902</f>
        <v/>
      </c>
      <c r="K902" s="25">
        <f>D902/$H902</f>
        <v/>
      </c>
      <c r="L902" s="25">
        <f>E902/$H902</f>
        <v/>
      </c>
      <c r="M902" s="25">
        <f>F902/$H902</f>
        <v/>
      </c>
      <c r="N902" s="25">
        <f>G902/$H902</f>
        <v/>
      </c>
      <c r="O902" s="25">
        <f>SUM(MMULT(I902:N902,'07 Annualised Inputs'!$D$7:$D$12))</f>
        <v/>
      </c>
      <c r="P902" s="25">
        <f>SQRT(SUMPRODUCT(MMULT(I902:N902,'07 Annualised Inputs'!$B$17:$G$22),I902:N902))</f>
        <v/>
      </c>
      <c r="Q902" s="37">
        <f>(O902-'02 Config'!$B$10)/P902</f>
        <v/>
      </c>
    </row>
    <row r="903">
      <c r="A903" s="12" t="n">
        <v>898</v>
      </c>
      <c r="B903" s="36" t="n">
        <v>0.7834134858339759</v>
      </c>
      <c r="C903" s="36" t="n">
        <v>0.1889457504621888</v>
      </c>
      <c r="D903" s="36" t="n">
        <v>0.2379864876326028</v>
      </c>
      <c r="E903" s="36" t="n">
        <v>0.7791037387343669</v>
      </c>
      <c r="F903" s="36" t="n">
        <v>0.08599897163495285</v>
      </c>
      <c r="G903" s="36" t="n">
        <v>0.1907609524666641</v>
      </c>
      <c r="H903" s="37">
        <f>SUM(B903:G903)</f>
        <v/>
      </c>
      <c r="I903" s="25">
        <f>B903/$H903</f>
        <v/>
      </c>
      <c r="J903" s="25">
        <f>C903/$H903</f>
        <v/>
      </c>
      <c r="K903" s="25">
        <f>D903/$H903</f>
        <v/>
      </c>
      <c r="L903" s="25">
        <f>E903/$H903</f>
        <v/>
      </c>
      <c r="M903" s="25">
        <f>F903/$H903</f>
        <v/>
      </c>
      <c r="N903" s="25">
        <f>G903/$H903</f>
        <v/>
      </c>
      <c r="O903" s="25">
        <f>SUM(MMULT(I903:N903,'07 Annualised Inputs'!$D$7:$D$12))</f>
        <v/>
      </c>
      <c r="P903" s="25">
        <f>SQRT(SUMPRODUCT(MMULT(I903:N903,'07 Annualised Inputs'!$B$17:$G$22),I903:N903))</f>
        <v/>
      </c>
      <c r="Q903" s="37">
        <f>(O903-'02 Config'!$B$10)/P903</f>
        <v/>
      </c>
    </row>
    <row r="904">
      <c r="A904" s="12" t="n">
        <v>899</v>
      </c>
      <c r="B904" s="36" t="n">
        <v>0.4555309061899152</v>
      </c>
      <c r="C904" s="36" t="n">
        <v>0.9301819287447706</v>
      </c>
      <c r="D904" s="36" t="n">
        <v>0.5618778348930105</v>
      </c>
      <c r="E904" s="36" t="n">
        <v>0.3876778482082255</v>
      </c>
      <c r="F904" s="36" t="n">
        <v>0.9783702222224766</v>
      </c>
      <c r="G904" s="36" t="n">
        <v>0.4637113062212885</v>
      </c>
      <c r="H904" s="37">
        <f>SUM(B904:G904)</f>
        <v/>
      </c>
      <c r="I904" s="25">
        <f>B904/$H904</f>
        <v/>
      </c>
      <c r="J904" s="25">
        <f>C904/$H904</f>
        <v/>
      </c>
      <c r="K904" s="25">
        <f>D904/$H904</f>
        <v/>
      </c>
      <c r="L904" s="25">
        <f>E904/$H904</f>
        <v/>
      </c>
      <c r="M904" s="25">
        <f>F904/$H904</f>
        <v/>
      </c>
      <c r="N904" s="25">
        <f>G904/$H904</f>
        <v/>
      </c>
      <c r="O904" s="25">
        <f>SUM(MMULT(I904:N904,'07 Annualised Inputs'!$D$7:$D$12))</f>
        <v/>
      </c>
      <c r="P904" s="25">
        <f>SQRT(SUMPRODUCT(MMULT(I904:N904,'07 Annualised Inputs'!$B$17:$G$22),I904:N904))</f>
        <v/>
      </c>
      <c r="Q904" s="37">
        <f>(O904-'02 Config'!$B$10)/P904</f>
        <v/>
      </c>
    </row>
    <row r="905">
      <c r="A905" s="12" t="n">
        <v>900</v>
      </c>
      <c r="B905" s="36" t="n">
        <v>0.433734973687482</v>
      </c>
      <c r="C905" s="36" t="n">
        <v>0.4116443168877235</v>
      </c>
      <c r="D905" s="36" t="n">
        <v>0.3121800726067963</v>
      </c>
      <c r="E905" s="36" t="n">
        <v>0.3256948097375844</v>
      </c>
      <c r="F905" s="36" t="n">
        <v>0.6878370599294981</v>
      </c>
      <c r="G905" s="36" t="n">
        <v>0.04083559734188114</v>
      </c>
      <c r="H905" s="37">
        <f>SUM(B905:G905)</f>
        <v/>
      </c>
      <c r="I905" s="25">
        <f>B905/$H905</f>
        <v/>
      </c>
      <c r="J905" s="25">
        <f>C905/$H905</f>
        <v/>
      </c>
      <c r="K905" s="25">
        <f>D905/$H905</f>
        <v/>
      </c>
      <c r="L905" s="25">
        <f>E905/$H905</f>
        <v/>
      </c>
      <c r="M905" s="25">
        <f>F905/$H905</f>
        <v/>
      </c>
      <c r="N905" s="25">
        <f>G905/$H905</f>
        <v/>
      </c>
      <c r="O905" s="25">
        <f>SUM(MMULT(I905:N905,'07 Annualised Inputs'!$D$7:$D$12))</f>
        <v/>
      </c>
      <c r="P905" s="25">
        <f>SQRT(SUMPRODUCT(MMULT(I905:N905,'07 Annualised Inputs'!$B$17:$G$22),I905:N905))</f>
        <v/>
      </c>
      <c r="Q905" s="37">
        <f>(O905-'02 Config'!$B$10)/P905</f>
        <v/>
      </c>
    </row>
    <row r="906">
      <c r="A906" s="12" t="n">
        <v>901</v>
      </c>
      <c r="B906" s="36" t="n">
        <v>0.6818167256463189</v>
      </c>
      <c r="C906" s="36" t="n">
        <v>0.2012044981258728</v>
      </c>
      <c r="D906" s="36" t="n">
        <v>0.3842080032044929</v>
      </c>
      <c r="E906" s="36" t="n">
        <v>0.146538972560332</v>
      </c>
      <c r="F906" s="36" t="n">
        <v>0.5527510440724698</v>
      </c>
      <c r="G906" s="36" t="n">
        <v>0.7293504449521396</v>
      </c>
      <c r="H906" s="37">
        <f>SUM(B906:G906)</f>
        <v/>
      </c>
      <c r="I906" s="25">
        <f>B906/$H906</f>
        <v/>
      </c>
      <c r="J906" s="25">
        <f>C906/$H906</f>
        <v/>
      </c>
      <c r="K906" s="25">
        <f>D906/$H906</f>
        <v/>
      </c>
      <c r="L906" s="25">
        <f>E906/$H906</f>
        <v/>
      </c>
      <c r="M906" s="25">
        <f>F906/$H906</f>
        <v/>
      </c>
      <c r="N906" s="25">
        <f>G906/$H906</f>
        <v/>
      </c>
      <c r="O906" s="25">
        <f>SUM(MMULT(I906:N906,'07 Annualised Inputs'!$D$7:$D$12))</f>
        <v/>
      </c>
      <c r="P906" s="25">
        <f>SQRT(SUMPRODUCT(MMULT(I906:N906,'07 Annualised Inputs'!$B$17:$G$22),I906:N906))</f>
        <v/>
      </c>
      <c r="Q906" s="37">
        <f>(O906-'02 Config'!$B$10)/P906</f>
        <v/>
      </c>
    </row>
    <row r="907">
      <c r="A907" s="12" t="n">
        <v>902</v>
      </c>
      <c r="B907" s="36" t="n">
        <v>0.3546555760563647</v>
      </c>
      <c r="C907" s="36" t="n">
        <v>0.163416577540263</v>
      </c>
      <c r="D907" s="36" t="n">
        <v>0.2265055819311755</v>
      </c>
      <c r="E907" s="36" t="n">
        <v>0.8181129185255726</v>
      </c>
      <c r="F907" s="36" t="n">
        <v>0.2676487350598524</v>
      </c>
      <c r="G907" s="36" t="n">
        <v>0.7747025930112271</v>
      </c>
      <c r="H907" s="37">
        <f>SUM(B907:G907)</f>
        <v/>
      </c>
      <c r="I907" s="25">
        <f>B907/$H907</f>
        <v/>
      </c>
      <c r="J907" s="25">
        <f>C907/$H907</f>
        <v/>
      </c>
      <c r="K907" s="25">
        <f>D907/$H907</f>
        <v/>
      </c>
      <c r="L907" s="25">
        <f>E907/$H907</f>
        <v/>
      </c>
      <c r="M907" s="25">
        <f>F907/$H907</f>
        <v/>
      </c>
      <c r="N907" s="25">
        <f>G907/$H907</f>
        <v/>
      </c>
      <c r="O907" s="25">
        <f>SUM(MMULT(I907:N907,'07 Annualised Inputs'!$D$7:$D$12))</f>
        <v/>
      </c>
      <c r="P907" s="25">
        <f>SQRT(SUMPRODUCT(MMULT(I907:N907,'07 Annualised Inputs'!$B$17:$G$22),I907:N907))</f>
        <v/>
      </c>
      <c r="Q907" s="37">
        <f>(O907-'02 Config'!$B$10)/P907</f>
        <v/>
      </c>
    </row>
    <row r="908">
      <c r="A908" s="12" t="n">
        <v>903</v>
      </c>
      <c r="B908" s="36" t="n">
        <v>0.3311994068062111</v>
      </c>
      <c r="C908" s="36" t="n">
        <v>0.1887325543429625</v>
      </c>
      <c r="D908" s="36" t="n">
        <v>0.727308559627431</v>
      </c>
      <c r="E908" s="36" t="n">
        <v>0.4685450294752067</v>
      </c>
      <c r="F908" s="36" t="n">
        <v>0.03127725127480641</v>
      </c>
      <c r="G908" s="36" t="n">
        <v>0.9599424193443986</v>
      </c>
      <c r="H908" s="37">
        <f>SUM(B908:G908)</f>
        <v/>
      </c>
      <c r="I908" s="25">
        <f>B908/$H908</f>
        <v/>
      </c>
      <c r="J908" s="25">
        <f>C908/$H908</f>
        <v/>
      </c>
      <c r="K908" s="25">
        <f>D908/$H908</f>
        <v/>
      </c>
      <c r="L908" s="25">
        <f>E908/$H908</f>
        <v/>
      </c>
      <c r="M908" s="25">
        <f>F908/$H908</f>
        <v/>
      </c>
      <c r="N908" s="25">
        <f>G908/$H908</f>
        <v/>
      </c>
      <c r="O908" s="25">
        <f>SUM(MMULT(I908:N908,'07 Annualised Inputs'!$D$7:$D$12))</f>
        <v/>
      </c>
      <c r="P908" s="25">
        <f>SQRT(SUMPRODUCT(MMULT(I908:N908,'07 Annualised Inputs'!$B$17:$G$22),I908:N908))</f>
        <v/>
      </c>
      <c r="Q908" s="37">
        <f>(O908-'02 Config'!$B$10)/P908</f>
        <v/>
      </c>
    </row>
    <row r="909">
      <c r="A909" s="12" t="n">
        <v>904</v>
      </c>
      <c r="B909" s="36" t="n">
        <v>0.1477534450721074</v>
      </c>
      <c r="C909" s="36" t="n">
        <v>0.3534069764530914</v>
      </c>
      <c r="D909" s="36" t="n">
        <v>0.3847946349957073</v>
      </c>
      <c r="E909" s="36" t="n">
        <v>0.4894298992584133</v>
      </c>
      <c r="F909" s="36" t="n">
        <v>0.7854440223341707</v>
      </c>
      <c r="G909" s="36" t="n">
        <v>0.006090279675126764</v>
      </c>
      <c r="H909" s="37">
        <f>SUM(B909:G909)</f>
        <v/>
      </c>
      <c r="I909" s="25">
        <f>B909/$H909</f>
        <v/>
      </c>
      <c r="J909" s="25">
        <f>C909/$H909</f>
        <v/>
      </c>
      <c r="K909" s="25">
        <f>D909/$H909</f>
        <v/>
      </c>
      <c r="L909" s="25">
        <f>E909/$H909</f>
        <v/>
      </c>
      <c r="M909" s="25">
        <f>F909/$H909</f>
        <v/>
      </c>
      <c r="N909" s="25">
        <f>G909/$H909</f>
        <v/>
      </c>
      <c r="O909" s="25">
        <f>SUM(MMULT(I909:N909,'07 Annualised Inputs'!$D$7:$D$12))</f>
        <v/>
      </c>
      <c r="P909" s="25">
        <f>SQRT(SUMPRODUCT(MMULT(I909:N909,'07 Annualised Inputs'!$B$17:$G$22),I909:N909))</f>
        <v/>
      </c>
      <c r="Q909" s="37">
        <f>(O909-'02 Config'!$B$10)/P909</f>
        <v/>
      </c>
    </row>
    <row r="910">
      <c r="A910" s="12" t="n">
        <v>905</v>
      </c>
      <c r="B910" s="36" t="n">
        <v>0.9324720513360747</v>
      </c>
      <c r="C910" s="36" t="n">
        <v>0.6459894602030112</v>
      </c>
      <c r="D910" s="36" t="n">
        <v>0.9506488791489356</v>
      </c>
      <c r="E910" s="36" t="n">
        <v>0.8173895374164858</v>
      </c>
      <c r="F910" s="36" t="n">
        <v>0.9278382180832169</v>
      </c>
      <c r="G910" s="36" t="n">
        <v>0.6010005509356781</v>
      </c>
      <c r="H910" s="37">
        <f>SUM(B910:G910)</f>
        <v/>
      </c>
      <c r="I910" s="25">
        <f>B910/$H910</f>
        <v/>
      </c>
      <c r="J910" s="25">
        <f>C910/$H910</f>
        <v/>
      </c>
      <c r="K910" s="25">
        <f>D910/$H910</f>
        <v/>
      </c>
      <c r="L910" s="25">
        <f>E910/$H910</f>
        <v/>
      </c>
      <c r="M910" s="25">
        <f>F910/$H910</f>
        <v/>
      </c>
      <c r="N910" s="25">
        <f>G910/$H910</f>
        <v/>
      </c>
      <c r="O910" s="25">
        <f>SUM(MMULT(I910:N910,'07 Annualised Inputs'!$D$7:$D$12))</f>
        <v/>
      </c>
      <c r="P910" s="25">
        <f>SQRT(SUMPRODUCT(MMULT(I910:N910,'07 Annualised Inputs'!$B$17:$G$22),I910:N910))</f>
        <v/>
      </c>
      <c r="Q910" s="37">
        <f>(O910-'02 Config'!$B$10)/P910</f>
        <v/>
      </c>
    </row>
    <row r="911">
      <c r="A911" s="12" t="n">
        <v>906</v>
      </c>
      <c r="B911" s="36" t="n">
        <v>0.3573089828771748</v>
      </c>
      <c r="C911" s="36" t="n">
        <v>0.4429140631136037</v>
      </c>
      <c r="D911" s="36" t="n">
        <v>0.6580323103841129</v>
      </c>
      <c r="E911" s="36" t="n">
        <v>0.4269318597663363</v>
      </c>
      <c r="F911" s="36" t="n">
        <v>0.7316727834677892</v>
      </c>
      <c r="G911" s="36" t="n">
        <v>0.09184801608002957</v>
      </c>
      <c r="H911" s="37">
        <f>SUM(B911:G911)</f>
        <v/>
      </c>
      <c r="I911" s="25">
        <f>B911/$H911</f>
        <v/>
      </c>
      <c r="J911" s="25">
        <f>C911/$H911</f>
        <v/>
      </c>
      <c r="K911" s="25">
        <f>D911/$H911</f>
        <v/>
      </c>
      <c r="L911" s="25">
        <f>E911/$H911</f>
        <v/>
      </c>
      <c r="M911" s="25">
        <f>F911/$H911</f>
        <v/>
      </c>
      <c r="N911" s="25">
        <f>G911/$H911</f>
        <v/>
      </c>
      <c r="O911" s="25">
        <f>SUM(MMULT(I911:N911,'07 Annualised Inputs'!$D$7:$D$12))</f>
        <v/>
      </c>
      <c r="P911" s="25">
        <f>SQRT(SUMPRODUCT(MMULT(I911:N911,'07 Annualised Inputs'!$B$17:$G$22),I911:N911))</f>
        <v/>
      </c>
      <c r="Q911" s="37">
        <f>(O911-'02 Config'!$B$10)/P911</f>
        <v/>
      </c>
    </row>
    <row r="912">
      <c r="A912" s="12" t="n">
        <v>907</v>
      </c>
      <c r="B912" s="36" t="n">
        <v>0.8299866489848887</v>
      </c>
      <c r="C912" s="36" t="n">
        <v>0.2041886396420042</v>
      </c>
      <c r="D912" s="36" t="n">
        <v>0.9439476095247226</v>
      </c>
      <c r="E912" s="36" t="n">
        <v>0.1555457999372679</v>
      </c>
      <c r="F912" s="36" t="n">
        <v>0.1291641961023978</v>
      </c>
      <c r="G912" s="36" t="n">
        <v>0.8118761105873928</v>
      </c>
      <c r="H912" s="37">
        <f>SUM(B912:G912)</f>
        <v/>
      </c>
      <c r="I912" s="25">
        <f>B912/$H912</f>
        <v/>
      </c>
      <c r="J912" s="25">
        <f>C912/$H912</f>
        <v/>
      </c>
      <c r="K912" s="25">
        <f>D912/$H912</f>
        <v/>
      </c>
      <c r="L912" s="25">
        <f>E912/$H912</f>
        <v/>
      </c>
      <c r="M912" s="25">
        <f>F912/$H912</f>
        <v/>
      </c>
      <c r="N912" s="25">
        <f>G912/$H912</f>
        <v/>
      </c>
      <c r="O912" s="25">
        <f>SUM(MMULT(I912:N912,'07 Annualised Inputs'!$D$7:$D$12))</f>
        <v/>
      </c>
      <c r="P912" s="25">
        <f>SQRT(SUMPRODUCT(MMULT(I912:N912,'07 Annualised Inputs'!$B$17:$G$22),I912:N912))</f>
        <v/>
      </c>
      <c r="Q912" s="37">
        <f>(O912-'02 Config'!$B$10)/P912</f>
        <v/>
      </c>
    </row>
    <row r="913">
      <c r="A913" s="12" t="n">
        <v>908</v>
      </c>
      <c r="B913" s="36" t="n">
        <v>0.8187018277030144</v>
      </c>
      <c r="C913" s="36" t="n">
        <v>0.7387594198812473</v>
      </c>
      <c r="D913" s="36" t="n">
        <v>0.9605304639047046</v>
      </c>
      <c r="E913" s="36" t="n">
        <v>0.270539628685416</v>
      </c>
      <c r="F913" s="36" t="n">
        <v>0.8266487389902876</v>
      </c>
      <c r="G913" s="36" t="n">
        <v>0.3520405300434208</v>
      </c>
      <c r="H913" s="37">
        <f>SUM(B913:G913)</f>
        <v/>
      </c>
      <c r="I913" s="25">
        <f>B913/$H913</f>
        <v/>
      </c>
      <c r="J913" s="25">
        <f>C913/$H913</f>
        <v/>
      </c>
      <c r="K913" s="25">
        <f>D913/$H913</f>
        <v/>
      </c>
      <c r="L913" s="25">
        <f>E913/$H913</f>
        <v/>
      </c>
      <c r="M913" s="25">
        <f>F913/$H913</f>
        <v/>
      </c>
      <c r="N913" s="25">
        <f>G913/$H913</f>
        <v/>
      </c>
      <c r="O913" s="25">
        <f>SUM(MMULT(I913:N913,'07 Annualised Inputs'!$D$7:$D$12))</f>
        <v/>
      </c>
      <c r="P913" s="25">
        <f>SQRT(SUMPRODUCT(MMULT(I913:N913,'07 Annualised Inputs'!$B$17:$G$22),I913:N913))</f>
        <v/>
      </c>
      <c r="Q913" s="37">
        <f>(O913-'02 Config'!$B$10)/P913</f>
        <v/>
      </c>
    </row>
    <row r="914">
      <c r="A914" s="12" t="n">
        <v>909</v>
      </c>
      <c r="B914" s="36" t="n">
        <v>0.5373986255693407</v>
      </c>
      <c r="C914" s="36" t="n">
        <v>0.4456000297013287</v>
      </c>
      <c r="D914" s="36" t="n">
        <v>0.005850022673607236</v>
      </c>
      <c r="E914" s="36" t="n">
        <v>0.5744621935391577</v>
      </c>
      <c r="F914" s="36" t="n">
        <v>0.747505887763953</v>
      </c>
      <c r="G914" s="36" t="n">
        <v>0.1745523835752713</v>
      </c>
      <c r="H914" s="37">
        <f>SUM(B914:G914)</f>
        <v/>
      </c>
      <c r="I914" s="25">
        <f>B914/$H914</f>
        <v/>
      </c>
      <c r="J914" s="25">
        <f>C914/$H914</f>
        <v/>
      </c>
      <c r="K914" s="25">
        <f>D914/$H914</f>
        <v/>
      </c>
      <c r="L914" s="25">
        <f>E914/$H914</f>
        <v/>
      </c>
      <c r="M914" s="25">
        <f>F914/$H914</f>
        <v/>
      </c>
      <c r="N914" s="25">
        <f>G914/$H914</f>
        <v/>
      </c>
      <c r="O914" s="25">
        <f>SUM(MMULT(I914:N914,'07 Annualised Inputs'!$D$7:$D$12))</f>
        <v/>
      </c>
      <c r="P914" s="25">
        <f>SQRT(SUMPRODUCT(MMULT(I914:N914,'07 Annualised Inputs'!$B$17:$G$22),I914:N914))</f>
        <v/>
      </c>
      <c r="Q914" s="37">
        <f>(O914-'02 Config'!$B$10)/P914</f>
        <v/>
      </c>
    </row>
    <row r="915">
      <c r="A915" s="12" t="n">
        <v>910</v>
      </c>
      <c r="B915" s="36" t="n">
        <v>0.9316558618930374</v>
      </c>
      <c r="C915" s="36" t="n">
        <v>0.5303995394185038</v>
      </c>
      <c r="D915" s="36" t="n">
        <v>0.1782460031510935</v>
      </c>
      <c r="E915" s="36" t="n">
        <v>0.6459475709168853</v>
      </c>
      <c r="F915" s="36" t="n">
        <v>0.191922708515344</v>
      </c>
      <c r="G915" s="36" t="n">
        <v>0.06353334829533641</v>
      </c>
      <c r="H915" s="37">
        <f>SUM(B915:G915)</f>
        <v/>
      </c>
      <c r="I915" s="25">
        <f>B915/$H915</f>
        <v/>
      </c>
      <c r="J915" s="25">
        <f>C915/$H915</f>
        <v/>
      </c>
      <c r="K915" s="25">
        <f>D915/$H915</f>
        <v/>
      </c>
      <c r="L915" s="25">
        <f>E915/$H915</f>
        <v/>
      </c>
      <c r="M915" s="25">
        <f>F915/$H915</f>
        <v/>
      </c>
      <c r="N915" s="25">
        <f>G915/$H915</f>
        <v/>
      </c>
      <c r="O915" s="25">
        <f>SUM(MMULT(I915:N915,'07 Annualised Inputs'!$D$7:$D$12))</f>
        <v/>
      </c>
      <c r="P915" s="25">
        <f>SQRT(SUMPRODUCT(MMULT(I915:N915,'07 Annualised Inputs'!$B$17:$G$22),I915:N915))</f>
        <v/>
      </c>
      <c r="Q915" s="37">
        <f>(O915-'02 Config'!$B$10)/P915</f>
        <v/>
      </c>
    </row>
    <row r="916">
      <c r="A916" s="12" t="n">
        <v>911</v>
      </c>
      <c r="B916" s="36" t="n">
        <v>0.6853152424192422</v>
      </c>
      <c r="C916" s="36" t="n">
        <v>0.1106948833054945</v>
      </c>
      <c r="D916" s="36" t="n">
        <v>0.1062174483764353</v>
      </c>
      <c r="E916" s="36" t="n">
        <v>0.7399435631818133</v>
      </c>
      <c r="F916" s="36" t="n">
        <v>0.05520223320807116</v>
      </c>
      <c r="G916" s="36" t="n">
        <v>0.8097691790479546</v>
      </c>
      <c r="H916" s="37">
        <f>SUM(B916:G916)</f>
        <v/>
      </c>
      <c r="I916" s="25">
        <f>B916/$H916</f>
        <v/>
      </c>
      <c r="J916" s="25">
        <f>C916/$H916</f>
        <v/>
      </c>
      <c r="K916" s="25">
        <f>D916/$H916</f>
        <v/>
      </c>
      <c r="L916" s="25">
        <f>E916/$H916</f>
        <v/>
      </c>
      <c r="M916" s="25">
        <f>F916/$H916</f>
        <v/>
      </c>
      <c r="N916" s="25">
        <f>G916/$H916</f>
        <v/>
      </c>
      <c r="O916" s="25">
        <f>SUM(MMULT(I916:N916,'07 Annualised Inputs'!$D$7:$D$12))</f>
        <v/>
      </c>
      <c r="P916" s="25">
        <f>SQRT(SUMPRODUCT(MMULT(I916:N916,'07 Annualised Inputs'!$B$17:$G$22),I916:N916))</f>
        <v/>
      </c>
      <c r="Q916" s="37">
        <f>(O916-'02 Config'!$B$10)/P916</f>
        <v/>
      </c>
    </row>
    <row r="917">
      <c r="A917" s="12" t="n">
        <v>912</v>
      </c>
      <c r="B917" s="36" t="n">
        <v>0.7961487586478276</v>
      </c>
      <c r="C917" s="36" t="n">
        <v>0.141393428077766</v>
      </c>
      <c r="D917" s="36" t="n">
        <v>0.5183806472769689</v>
      </c>
      <c r="E917" s="36" t="n">
        <v>0.09662549096894235</v>
      </c>
      <c r="F917" s="36" t="n">
        <v>0.6325712197859872</v>
      </c>
      <c r="G917" s="36" t="n">
        <v>0.06293001297054657</v>
      </c>
      <c r="H917" s="37">
        <f>SUM(B917:G917)</f>
        <v/>
      </c>
      <c r="I917" s="25">
        <f>B917/$H917</f>
        <v/>
      </c>
      <c r="J917" s="25">
        <f>C917/$H917</f>
        <v/>
      </c>
      <c r="K917" s="25">
        <f>D917/$H917</f>
        <v/>
      </c>
      <c r="L917" s="25">
        <f>E917/$H917</f>
        <v/>
      </c>
      <c r="M917" s="25">
        <f>F917/$H917</f>
        <v/>
      </c>
      <c r="N917" s="25">
        <f>G917/$H917</f>
        <v/>
      </c>
      <c r="O917" s="25">
        <f>SUM(MMULT(I917:N917,'07 Annualised Inputs'!$D$7:$D$12))</f>
        <v/>
      </c>
      <c r="P917" s="25">
        <f>SQRT(SUMPRODUCT(MMULT(I917:N917,'07 Annualised Inputs'!$B$17:$G$22),I917:N917))</f>
        <v/>
      </c>
      <c r="Q917" s="37">
        <f>(O917-'02 Config'!$B$10)/P917</f>
        <v/>
      </c>
    </row>
    <row r="918">
      <c r="A918" s="12" t="n">
        <v>913</v>
      </c>
      <c r="B918" s="36" t="n">
        <v>0.9444808563227473</v>
      </c>
      <c r="C918" s="36" t="n">
        <v>0.2077307353695816</v>
      </c>
      <c r="D918" s="36" t="n">
        <v>0.6828946559486451</v>
      </c>
      <c r="E918" s="36" t="n">
        <v>0.1282914243771101</v>
      </c>
      <c r="F918" s="36" t="n">
        <v>0.2095964483267765</v>
      </c>
      <c r="G918" s="36" t="n">
        <v>0.4509496488833706</v>
      </c>
      <c r="H918" s="37">
        <f>SUM(B918:G918)</f>
        <v/>
      </c>
      <c r="I918" s="25">
        <f>B918/$H918</f>
        <v/>
      </c>
      <c r="J918" s="25">
        <f>C918/$H918</f>
        <v/>
      </c>
      <c r="K918" s="25">
        <f>D918/$H918</f>
        <v/>
      </c>
      <c r="L918" s="25">
        <f>E918/$H918</f>
        <v/>
      </c>
      <c r="M918" s="25">
        <f>F918/$H918</f>
        <v/>
      </c>
      <c r="N918" s="25">
        <f>G918/$H918</f>
        <v/>
      </c>
      <c r="O918" s="25">
        <f>SUM(MMULT(I918:N918,'07 Annualised Inputs'!$D$7:$D$12))</f>
        <v/>
      </c>
      <c r="P918" s="25">
        <f>SQRT(SUMPRODUCT(MMULT(I918:N918,'07 Annualised Inputs'!$B$17:$G$22),I918:N918))</f>
        <v/>
      </c>
      <c r="Q918" s="37">
        <f>(O918-'02 Config'!$B$10)/P918</f>
        <v/>
      </c>
    </row>
    <row r="919">
      <c r="A919" s="12" t="n">
        <v>914</v>
      </c>
      <c r="B919" s="36" t="n">
        <v>0.5730961413415162</v>
      </c>
      <c r="C919" s="36" t="n">
        <v>0.9988632403916829</v>
      </c>
      <c r="D919" s="36" t="n">
        <v>0.02592622809094414</v>
      </c>
      <c r="E919" s="36" t="n">
        <v>0.0003144196440869607</v>
      </c>
      <c r="F919" s="36" t="n">
        <v>0.350367094714948</v>
      </c>
      <c r="G919" s="36" t="n">
        <v>0.3661563678024199</v>
      </c>
      <c r="H919" s="37">
        <f>SUM(B919:G919)</f>
        <v/>
      </c>
      <c r="I919" s="25">
        <f>B919/$H919</f>
        <v/>
      </c>
      <c r="J919" s="25">
        <f>C919/$H919</f>
        <v/>
      </c>
      <c r="K919" s="25">
        <f>D919/$H919</f>
        <v/>
      </c>
      <c r="L919" s="25">
        <f>E919/$H919</f>
        <v/>
      </c>
      <c r="M919" s="25">
        <f>F919/$H919</f>
        <v/>
      </c>
      <c r="N919" s="25">
        <f>G919/$H919</f>
        <v/>
      </c>
      <c r="O919" s="25">
        <f>SUM(MMULT(I919:N919,'07 Annualised Inputs'!$D$7:$D$12))</f>
        <v/>
      </c>
      <c r="P919" s="25">
        <f>SQRT(SUMPRODUCT(MMULT(I919:N919,'07 Annualised Inputs'!$B$17:$G$22),I919:N919))</f>
        <v/>
      </c>
      <c r="Q919" s="37">
        <f>(O919-'02 Config'!$B$10)/P919</f>
        <v/>
      </c>
    </row>
    <row r="920">
      <c r="A920" s="12" t="n">
        <v>915</v>
      </c>
      <c r="B920" s="36" t="n">
        <v>0.8838372360986316</v>
      </c>
      <c r="C920" s="36" t="n">
        <v>0.912582547697302</v>
      </c>
      <c r="D920" s="36" t="n">
        <v>0.8805249763593188</v>
      </c>
      <c r="E920" s="36" t="n">
        <v>0.1431787504860478</v>
      </c>
      <c r="F920" s="36" t="n">
        <v>0.4121048351810734</v>
      </c>
      <c r="G920" s="36" t="n">
        <v>0.7458851622950232</v>
      </c>
      <c r="H920" s="37">
        <f>SUM(B920:G920)</f>
        <v/>
      </c>
      <c r="I920" s="25">
        <f>B920/$H920</f>
        <v/>
      </c>
      <c r="J920" s="25">
        <f>C920/$H920</f>
        <v/>
      </c>
      <c r="K920" s="25">
        <f>D920/$H920</f>
        <v/>
      </c>
      <c r="L920" s="25">
        <f>E920/$H920</f>
        <v/>
      </c>
      <c r="M920" s="25">
        <f>F920/$H920</f>
        <v/>
      </c>
      <c r="N920" s="25">
        <f>G920/$H920</f>
        <v/>
      </c>
      <c r="O920" s="25">
        <f>SUM(MMULT(I920:N920,'07 Annualised Inputs'!$D$7:$D$12))</f>
        <v/>
      </c>
      <c r="P920" s="25">
        <f>SQRT(SUMPRODUCT(MMULT(I920:N920,'07 Annualised Inputs'!$B$17:$G$22),I920:N920))</f>
        <v/>
      </c>
      <c r="Q920" s="37">
        <f>(O920-'02 Config'!$B$10)/P920</f>
        <v/>
      </c>
    </row>
    <row r="921">
      <c r="A921" s="12" t="n">
        <v>916</v>
      </c>
      <c r="B921" s="36" t="n">
        <v>0.3126110677842414</v>
      </c>
      <c r="C921" s="36" t="n">
        <v>0.6632380285105512</v>
      </c>
      <c r="D921" s="36" t="n">
        <v>0.237142863191092</v>
      </c>
      <c r="E921" s="36" t="n">
        <v>0.3234192579608081</v>
      </c>
      <c r="F921" s="36" t="n">
        <v>0.8604296493484839</v>
      </c>
      <c r="G921" s="36" t="n">
        <v>0.2505090360889951</v>
      </c>
      <c r="H921" s="37">
        <f>SUM(B921:G921)</f>
        <v/>
      </c>
      <c r="I921" s="25">
        <f>B921/$H921</f>
        <v/>
      </c>
      <c r="J921" s="25">
        <f>C921/$H921</f>
        <v/>
      </c>
      <c r="K921" s="25">
        <f>D921/$H921</f>
        <v/>
      </c>
      <c r="L921" s="25">
        <f>E921/$H921</f>
        <v/>
      </c>
      <c r="M921" s="25">
        <f>F921/$H921</f>
        <v/>
      </c>
      <c r="N921" s="25">
        <f>G921/$H921</f>
        <v/>
      </c>
      <c r="O921" s="25">
        <f>SUM(MMULT(I921:N921,'07 Annualised Inputs'!$D$7:$D$12))</f>
        <v/>
      </c>
      <c r="P921" s="25">
        <f>SQRT(SUMPRODUCT(MMULT(I921:N921,'07 Annualised Inputs'!$B$17:$G$22),I921:N921))</f>
        <v/>
      </c>
      <c r="Q921" s="37">
        <f>(O921-'02 Config'!$B$10)/P921</f>
        <v/>
      </c>
    </row>
    <row r="922">
      <c r="A922" s="12" t="n">
        <v>917</v>
      </c>
      <c r="B922" s="36" t="n">
        <v>0.9643240868848629</v>
      </c>
      <c r="C922" s="36" t="n">
        <v>0.3062595609368469</v>
      </c>
      <c r="D922" s="36" t="n">
        <v>0.02352810982327735</v>
      </c>
      <c r="E922" s="36" t="n">
        <v>0.2549009038025705</v>
      </c>
      <c r="F922" s="36" t="n">
        <v>0.1712049422434258</v>
      </c>
      <c r="G922" s="36" t="n">
        <v>0.5068269662175497</v>
      </c>
      <c r="H922" s="37">
        <f>SUM(B922:G922)</f>
        <v/>
      </c>
      <c r="I922" s="25">
        <f>B922/$H922</f>
        <v/>
      </c>
      <c r="J922" s="25">
        <f>C922/$H922</f>
        <v/>
      </c>
      <c r="K922" s="25">
        <f>D922/$H922</f>
        <v/>
      </c>
      <c r="L922" s="25">
        <f>E922/$H922</f>
        <v/>
      </c>
      <c r="M922" s="25">
        <f>F922/$H922</f>
        <v/>
      </c>
      <c r="N922" s="25">
        <f>G922/$H922</f>
        <v/>
      </c>
      <c r="O922" s="25">
        <f>SUM(MMULT(I922:N922,'07 Annualised Inputs'!$D$7:$D$12))</f>
        <v/>
      </c>
      <c r="P922" s="25">
        <f>SQRT(SUMPRODUCT(MMULT(I922:N922,'07 Annualised Inputs'!$B$17:$G$22),I922:N922))</f>
        <v/>
      </c>
      <c r="Q922" s="37">
        <f>(O922-'02 Config'!$B$10)/P922</f>
        <v/>
      </c>
    </row>
    <row r="923">
      <c r="A923" s="12" t="n">
        <v>918</v>
      </c>
      <c r="B923" s="36" t="n">
        <v>0.11271606632786</v>
      </c>
      <c r="C923" s="36" t="n">
        <v>0.6260488772454097</v>
      </c>
      <c r="D923" s="36" t="n">
        <v>0.8748990705564946</v>
      </c>
      <c r="E923" s="36" t="n">
        <v>0.3625188818037357</v>
      </c>
      <c r="F923" s="36" t="n">
        <v>0.1684927193054044</v>
      </c>
      <c r="G923" s="36" t="n">
        <v>0.400024995784413</v>
      </c>
      <c r="H923" s="37">
        <f>SUM(B923:G923)</f>
        <v/>
      </c>
      <c r="I923" s="25">
        <f>B923/$H923</f>
        <v/>
      </c>
      <c r="J923" s="25">
        <f>C923/$H923</f>
        <v/>
      </c>
      <c r="K923" s="25">
        <f>D923/$H923</f>
        <v/>
      </c>
      <c r="L923" s="25">
        <f>E923/$H923</f>
        <v/>
      </c>
      <c r="M923" s="25">
        <f>F923/$H923</f>
        <v/>
      </c>
      <c r="N923" s="25">
        <f>G923/$H923</f>
        <v/>
      </c>
      <c r="O923" s="25">
        <f>SUM(MMULT(I923:N923,'07 Annualised Inputs'!$D$7:$D$12))</f>
        <v/>
      </c>
      <c r="P923" s="25">
        <f>SQRT(SUMPRODUCT(MMULT(I923:N923,'07 Annualised Inputs'!$B$17:$G$22),I923:N923))</f>
        <v/>
      </c>
      <c r="Q923" s="37">
        <f>(O923-'02 Config'!$B$10)/P923</f>
        <v/>
      </c>
    </row>
    <row r="924">
      <c r="A924" s="12" t="n">
        <v>919</v>
      </c>
      <c r="B924" s="36" t="n">
        <v>0.785966821450627</v>
      </c>
      <c r="C924" s="36" t="n">
        <v>0.5914876740795956</v>
      </c>
      <c r="D924" s="36" t="n">
        <v>0.1011432133276031</v>
      </c>
      <c r="E924" s="36" t="n">
        <v>0.5371871543270333</v>
      </c>
      <c r="F924" s="36" t="n">
        <v>0.4680853814555932</v>
      </c>
      <c r="G924" s="36" t="n">
        <v>0.3271122560211615</v>
      </c>
      <c r="H924" s="37">
        <f>SUM(B924:G924)</f>
        <v/>
      </c>
      <c r="I924" s="25">
        <f>B924/$H924</f>
        <v/>
      </c>
      <c r="J924" s="25">
        <f>C924/$H924</f>
        <v/>
      </c>
      <c r="K924" s="25">
        <f>D924/$H924</f>
        <v/>
      </c>
      <c r="L924" s="25">
        <f>E924/$H924</f>
        <v/>
      </c>
      <c r="M924" s="25">
        <f>F924/$H924</f>
        <v/>
      </c>
      <c r="N924" s="25">
        <f>G924/$H924</f>
        <v/>
      </c>
      <c r="O924" s="25">
        <f>SUM(MMULT(I924:N924,'07 Annualised Inputs'!$D$7:$D$12))</f>
        <v/>
      </c>
      <c r="P924" s="25">
        <f>SQRT(SUMPRODUCT(MMULT(I924:N924,'07 Annualised Inputs'!$B$17:$G$22),I924:N924))</f>
        <v/>
      </c>
      <c r="Q924" s="37">
        <f>(O924-'02 Config'!$B$10)/P924</f>
        <v/>
      </c>
    </row>
    <row r="925">
      <c r="A925" s="12" t="n">
        <v>920</v>
      </c>
      <c r="B925" s="36" t="n">
        <v>0.1101605960533233</v>
      </c>
      <c r="C925" s="36" t="n">
        <v>0.9811119356202749</v>
      </c>
      <c r="D925" s="36" t="n">
        <v>0.1760433198932556</v>
      </c>
      <c r="E925" s="36" t="n">
        <v>0.1927428907907455</v>
      </c>
      <c r="F925" s="36" t="n">
        <v>0.1455826921022358</v>
      </c>
      <c r="G925" s="36" t="n">
        <v>0.5701930386989381</v>
      </c>
      <c r="H925" s="37">
        <f>SUM(B925:G925)</f>
        <v/>
      </c>
      <c r="I925" s="25">
        <f>B925/$H925</f>
        <v/>
      </c>
      <c r="J925" s="25">
        <f>C925/$H925</f>
        <v/>
      </c>
      <c r="K925" s="25">
        <f>D925/$H925</f>
        <v/>
      </c>
      <c r="L925" s="25">
        <f>E925/$H925</f>
        <v/>
      </c>
      <c r="M925" s="25">
        <f>F925/$H925</f>
        <v/>
      </c>
      <c r="N925" s="25">
        <f>G925/$H925</f>
        <v/>
      </c>
      <c r="O925" s="25">
        <f>SUM(MMULT(I925:N925,'07 Annualised Inputs'!$D$7:$D$12))</f>
        <v/>
      </c>
      <c r="P925" s="25">
        <f>SQRT(SUMPRODUCT(MMULT(I925:N925,'07 Annualised Inputs'!$B$17:$G$22),I925:N925))</f>
        <v/>
      </c>
      <c r="Q925" s="37">
        <f>(O925-'02 Config'!$B$10)/P925</f>
        <v/>
      </c>
    </row>
    <row r="926">
      <c r="A926" s="12" t="n">
        <v>921</v>
      </c>
      <c r="B926" s="36" t="n">
        <v>0.4436695744827004</v>
      </c>
      <c r="C926" s="36" t="n">
        <v>0.249557182026556</v>
      </c>
      <c r="D926" s="36" t="n">
        <v>0.4294233830215282</v>
      </c>
      <c r="E926" s="36" t="n">
        <v>0.6735218510617179</v>
      </c>
      <c r="F926" s="36" t="n">
        <v>0.2817005314986302</v>
      </c>
      <c r="G926" s="36" t="n">
        <v>0.9152457760303804</v>
      </c>
      <c r="H926" s="37">
        <f>SUM(B926:G926)</f>
        <v/>
      </c>
      <c r="I926" s="25">
        <f>B926/$H926</f>
        <v/>
      </c>
      <c r="J926" s="25">
        <f>C926/$H926</f>
        <v/>
      </c>
      <c r="K926" s="25">
        <f>D926/$H926</f>
        <v/>
      </c>
      <c r="L926" s="25">
        <f>E926/$H926</f>
        <v/>
      </c>
      <c r="M926" s="25">
        <f>F926/$H926</f>
        <v/>
      </c>
      <c r="N926" s="25">
        <f>G926/$H926</f>
        <v/>
      </c>
      <c r="O926" s="25">
        <f>SUM(MMULT(I926:N926,'07 Annualised Inputs'!$D$7:$D$12))</f>
        <v/>
      </c>
      <c r="P926" s="25">
        <f>SQRT(SUMPRODUCT(MMULT(I926:N926,'07 Annualised Inputs'!$B$17:$G$22),I926:N926))</f>
        <v/>
      </c>
      <c r="Q926" s="37">
        <f>(O926-'02 Config'!$B$10)/P926</f>
        <v/>
      </c>
    </row>
    <row r="927">
      <c r="A927" s="12" t="n">
        <v>922</v>
      </c>
      <c r="B927" s="36" t="n">
        <v>0.3063462371777058</v>
      </c>
      <c r="C927" s="36" t="n">
        <v>0.1981790308228533</v>
      </c>
      <c r="D927" s="36" t="n">
        <v>0.9545678468728145</v>
      </c>
      <c r="E927" s="36" t="n">
        <v>0.8105606101181794</v>
      </c>
      <c r="F927" s="36" t="n">
        <v>0.3431376248434655</v>
      </c>
      <c r="G927" s="36" t="n">
        <v>0.841431851143876</v>
      </c>
      <c r="H927" s="37">
        <f>SUM(B927:G927)</f>
        <v/>
      </c>
      <c r="I927" s="25">
        <f>B927/$H927</f>
        <v/>
      </c>
      <c r="J927" s="25">
        <f>C927/$H927</f>
        <v/>
      </c>
      <c r="K927" s="25">
        <f>D927/$H927</f>
        <v/>
      </c>
      <c r="L927" s="25">
        <f>E927/$H927</f>
        <v/>
      </c>
      <c r="M927" s="25">
        <f>F927/$H927</f>
        <v/>
      </c>
      <c r="N927" s="25">
        <f>G927/$H927</f>
        <v/>
      </c>
      <c r="O927" s="25">
        <f>SUM(MMULT(I927:N927,'07 Annualised Inputs'!$D$7:$D$12))</f>
        <v/>
      </c>
      <c r="P927" s="25">
        <f>SQRT(SUMPRODUCT(MMULT(I927:N927,'07 Annualised Inputs'!$B$17:$G$22),I927:N927))</f>
        <v/>
      </c>
      <c r="Q927" s="37">
        <f>(O927-'02 Config'!$B$10)/P927</f>
        <v/>
      </c>
    </row>
    <row r="928">
      <c r="A928" s="12" t="n">
        <v>923</v>
      </c>
      <c r="B928" s="36" t="n">
        <v>0.5188142491538</v>
      </c>
      <c r="C928" s="36" t="n">
        <v>0.3467524982610628</v>
      </c>
      <c r="D928" s="36" t="n">
        <v>0.8396115895392143</v>
      </c>
      <c r="E928" s="36" t="n">
        <v>0.7521650668644404</v>
      </c>
      <c r="F928" s="36" t="n">
        <v>0.2978748426431058</v>
      </c>
      <c r="G928" s="36" t="n">
        <v>0.6066785152579738</v>
      </c>
      <c r="H928" s="37">
        <f>SUM(B928:G928)</f>
        <v/>
      </c>
      <c r="I928" s="25">
        <f>B928/$H928</f>
        <v/>
      </c>
      <c r="J928" s="25">
        <f>C928/$H928</f>
        <v/>
      </c>
      <c r="K928" s="25">
        <f>D928/$H928</f>
        <v/>
      </c>
      <c r="L928" s="25">
        <f>E928/$H928</f>
        <v/>
      </c>
      <c r="M928" s="25">
        <f>F928/$H928</f>
        <v/>
      </c>
      <c r="N928" s="25">
        <f>G928/$H928</f>
        <v/>
      </c>
      <c r="O928" s="25">
        <f>SUM(MMULT(I928:N928,'07 Annualised Inputs'!$D$7:$D$12))</f>
        <v/>
      </c>
      <c r="P928" s="25">
        <f>SQRT(SUMPRODUCT(MMULT(I928:N928,'07 Annualised Inputs'!$B$17:$G$22),I928:N928))</f>
        <v/>
      </c>
      <c r="Q928" s="37">
        <f>(O928-'02 Config'!$B$10)/P928</f>
        <v/>
      </c>
    </row>
    <row r="929">
      <c r="A929" s="12" t="n">
        <v>924</v>
      </c>
      <c r="B929" s="36" t="n">
        <v>0.3693902235197972</v>
      </c>
      <c r="C929" s="36" t="n">
        <v>0.001051972560388137</v>
      </c>
      <c r="D929" s="36" t="n">
        <v>0.9618157414002794</v>
      </c>
      <c r="E929" s="36" t="n">
        <v>0.5496290760728367</v>
      </c>
      <c r="F929" s="36" t="n">
        <v>0.5984326016657832</v>
      </c>
      <c r="G929" s="36" t="n">
        <v>0.5998914256772949</v>
      </c>
      <c r="H929" s="37">
        <f>SUM(B929:G929)</f>
        <v/>
      </c>
      <c r="I929" s="25">
        <f>B929/$H929</f>
        <v/>
      </c>
      <c r="J929" s="25">
        <f>C929/$H929</f>
        <v/>
      </c>
      <c r="K929" s="25">
        <f>D929/$H929</f>
        <v/>
      </c>
      <c r="L929" s="25">
        <f>E929/$H929</f>
        <v/>
      </c>
      <c r="M929" s="25">
        <f>F929/$H929</f>
        <v/>
      </c>
      <c r="N929" s="25">
        <f>G929/$H929</f>
        <v/>
      </c>
      <c r="O929" s="25">
        <f>SUM(MMULT(I929:N929,'07 Annualised Inputs'!$D$7:$D$12))</f>
        <v/>
      </c>
      <c r="P929" s="25">
        <f>SQRT(SUMPRODUCT(MMULT(I929:N929,'07 Annualised Inputs'!$B$17:$G$22),I929:N929))</f>
        <v/>
      </c>
      <c r="Q929" s="37">
        <f>(O929-'02 Config'!$B$10)/P929</f>
        <v/>
      </c>
    </row>
    <row r="930">
      <c r="A930" s="12" t="n">
        <v>925</v>
      </c>
      <c r="B930" s="36" t="n">
        <v>0.5506414608194028</v>
      </c>
      <c r="C930" s="36" t="n">
        <v>0.2900478447735935</v>
      </c>
      <c r="D930" s="36" t="n">
        <v>0.9715761249080562</v>
      </c>
      <c r="E930" s="36" t="n">
        <v>0.6216684125152849</v>
      </c>
      <c r="F930" s="36" t="n">
        <v>0.6709213605539615</v>
      </c>
      <c r="G930" s="36" t="n">
        <v>0.4547927573170498</v>
      </c>
      <c r="H930" s="37">
        <f>SUM(B930:G930)</f>
        <v/>
      </c>
      <c r="I930" s="25">
        <f>B930/$H930</f>
        <v/>
      </c>
      <c r="J930" s="25">
        <f>C930/$H930</f>
        <v/>
      </c>
      <c r="K930" s="25">
        <f>D930/$H930</f>
        <v/>
      </c>
      <c r="L930" s="25">
        <f>E930/$H930</f>
        <v/>
      </c>
      <c r="M930" s="25">
        <f>F930/$H930</f>
        <v/>
      </c>
      <c r="N930" s="25">
        <f>G930/$H930</f>
        <v/>
      </c>
      <c r="O930" s="25">
        <f>SUM(MMULT(I930:N930,'07 Annualised Inputs'!$D$7:$D$12))</f>
        <v/>
      </c>
      <c r="P930" s="25">
        <f>SQRT(SUMPRODUCT(MMULT(I930:N930,'07 Annualised Inputs'!$B$17:$G$22),I930:N930))</f>
        <v/>
      </c>
      <c r="Q930" s="37">
        <f>(O930-'02 Config'!$B$10)/P930</f>
        <v/>
      </c>
    </row>
    <row r="931">
      <c r="A931" s="12" t="n">
        <v>926</v>
      </c>
      <c r="B931" s="36" t="n">
        <v>0.2878614004907826</v>
      </c>
      <c r="C931" s="36" t="n">
        <v>0.06434898217492935</v>
      </c>
      <c r="D931" s="36" t="n">
        <v>0.3502301965678862</v>
      </c>
      <c r="E931" s="36" t="n">
        <v>0.1760974292683921</v>
      </c>
      <c r="F931" s="36" t="n">
        <v>0.6620882682570118</v>
      </c>
      <c r="G931" s="36" t="n">
        <v>0.8790038848027194</v>
      </c>
      <c r="H931" s="37">
        <f>SUM(B931:G931)</f>
        <v/>
      </c>
      <c r="I931" s="25">
        <f>B931/$H931</f>
        <v/>
      </c>
      <c r="J931" s="25">
        <f>C931/$H931</f>
        <v/>
      </c>
      <c r="K931" s="25">
        <f>D931/$H931</f>
        <v/>
      </c>
      <c r="L931" s="25">
        <f>E931/$H931</f>
        <v/>
      </c>
      <c r="M931" s="25">
        <f>F931/$H931</f>
        <v/>
      </c>
      <c r="N931" s="25">
        <f>G931/$H931</f>
        <v/>
      </c>
      <c r="O931" s="25">
        <f>SUM(MMULT(I931:N931,'07 Annualised Inputs'!$D$7:$D$12))</f>
        <v/>
      </c>
      <c r="P931" s="25">
        <f>SQRT(SUMPRODUCT(MMULT(I931:N931,'07 Annualised Inputs'!$B$17:$G$22),I931:N931))</f>
        <v/>
      </c>
      <c r="Q931" s="37">
        <f>(O931-'02 Config'!$B$10)/P931</f>
        <v/>
      </c>
    </row>
    <row r="932">
      <c r="A932" s="12" t="n">
        <v>927</v>
      </c>
      <c r="B932" s="36" t="n">
        <v>0.3027548582456523</v>
      </c>
      <c r="C932" s="36" t="n">
        <v>0.3328826254140466</v>
      </c>
      <c r="D932" s="36" t="n">
        <v>0.6703645038290117</v>
      </c>
      <c r="E932" s="36" t="n">
        <v>0.1492714342412363</v>
      </c>
      <c r="F932" s="36" t="n">
        <v>0.9294374266776991</v>
      </c>
      <c r="G932" s="36" t="n">
        <v>0.3638467810254831</v>
      </c>
      <c r="H932" s="37">
        <f>SUM(B932:G932)</f>
        <v/>
      </c>
      <c r="I932" s="25">
        <f>B932/$H932</f>
        <v/>
      </c>
      <c r="J932" s="25">
        <f>C932/$H932</f>
        <v/>
      </c>
      <c r="K932" s="25">
        <f>D932/$H932</f>
        <v/>
      </c>
      <c r="L932" s="25">
        <f>E932/$H932</f>
        <v/>
      </c>
      <c r="M932" s="25">
        <f>F932/$H932</f>
        <v/>
      </c>
      <c r="N932" s="25">
        <f>G932/$H932</f>
        <v/>
      </c>
      <c r="O932" s="25">
        <f>SUM(MMULT(I932:N932,'07 Annualised Inputs'!$D$7:$D$12))</f>
        <v/>
      </c>
      <c r="P932" s="25">
        <f>SQRT(SUMPRODUCT(MMULT(I932:N932,'07 Annualised Inputs'!$B$17:$G$22),I932:N932))</f>
        <v/>
      </c>
      <c r="Q932" s="37">
        <f>(O932-'02 Config'!$B$10)/P932</f>
        <v/>
      </c>
    </row>
    <row r="933">
      <c r="A933" s="12" t="n">
        <v>928</v>
      </c>
      <c r="B933" s="36" t="n">
        <v>0.1011994459267747</v>
      </c>
      <c r="C933" s="36" t="n">
        <v>0.1746840049206415</v>
      </c>
      <c r="D933" s="36" t="n">
        <v>0.9327460760074581</v>
      </c>
      <c r="E933" s="36" t="n">
        <v>0.24711928836902</v>
      </c>
      <c r="F933" s="36" t="n">
        <v>0.6622688038312864</v>
      </c>
      <c r="G933" s="36" t="n">
        <v>0.1561652235382651</v>
      </c>
      <c r="H933" s="37">
        <f>SUM(B933:G933)</f>
        <v/>
      </c>
      <c r="I933" s="25">
        <f>B933/$H933</f>
        <v/>
      </c>
      <c r="J933" s="25">
        <f>C933/$H933</f>
        <v/>
      </c>
      <c r="K933" s="25">
        <f>D933/$H933</f>
        <v/>
      </c>
      <c r="L933" s="25">
        <f>E933/$H933</f>
        <v/>
      </c>
      <c r="M933" s="25">
        <f>F933/$H933</f>
        <v/>
      </c>
      <c r="N933" s="25">
        <f>G933/$H933</f>
        <v/>
      </c>
      <c r="O933" s="25">
        <f>SUM(MMULT(I933:N933,'07 Annualised Inputs'!$D$7:$D$12))</f>
        <v/>
      </c>
      <c r="P933" s="25">
        <f>SQRT(SUMPRODUCT(MMULT(I933:N933,'07 Annualised Inputs'!$B$17:$G$22),I933:N933))</f>
        <v/>
      </c>
      <c r="Q933" s="37">
        <f>(O933-'02 Config'!$B$10)/P933</f>
        <v/>
      </c>
    </row>
    <row r="934">
      <c r="A934" s="12" t="n">
        <v>929</v>
      </c>
      <c r="B934" s="36" t="n">
        <v>0.1941016923487777</v>
      </c>
      <c r="C934" s="36" t="n">
        <v>0.8792382188999776</v>
      </c>
      <c r="D934" s="36" t="n">
        <v>0.1480332201025618</v>
      </c>
      <c r="E934" s="36" t="n">
        <v>0.01875058673627916</v>
      </c>
      <c r="F934" s="36" t="n">
        <v>0.5012331895262763</v>
      </c>
      <c r="G934" s="36" t="n">
        <v>0.8627268132629347</v>
      </c>
      <c r="H934" s="37">
        <f>SUM(B934:G934)</f>
        <v/>
      </c>
      <c r="I934" s="25">
        <f>B934/$H934</f>
        <v/>
      </c>
      <c r="J934" s="25">
        <f>C934/$H934</f>
        <v/>
      </c>
      <c r="K934" s="25">
        <f>D934/$H934</f>
        <v/>
      </c>
      <c r="L934" s="25">
        <f>E934/$H934</f>
        <v/>
      </c>
      <c r="M934" s="25">
        <f>F934/$H934</f>
        <v/>
      </c>
      <c r="N934" s="25">
        <f>G934/$H934</f>
        <v/>
      </c>
      <c r="O934" s="25">
        <f>SUM(MMULT(I934:N934,'07 Annualised Inputs'!$D$7:$D$12))</f>
        <v/>
      </c>
      <c r="P934" s="25">
        <f>SQRT(SUMPRODUCT(MMULT(I934:N934,'07 Annualised Inputs'!$B$17:$G$22),I934:N934))</f>
        <v/>
      </c>
      <c r="Q934" s="37">
        <f>(O934-'02 Config'!$B$10)/P934</f>
        <v/>
      </c>
    </row>
    <row r="935">
      <c r="A935" s="12" t="n">
        <v>930</v>
      </c>
      <c r="B935" s="36" t="n">
        <v>0.3259910454156247</v>
      </c>
      <c r="C935" s="36" t="n">
        <v>0.1281622706457105</v>
      </c>
      <c r="D935" s="36" t="n">
        <v>0.9822308295656378</v>
      </c>
      <c r="E935" s="36" t="n">
        <v>0.6767386294894133</v>
      </c>
      <c r="F935" s="36" t="n">
        <v>0.8506906319481564</v>
      </c>
      <c r="G935" s="36" t="n">
        <v>0.7521382723289237</v>
      </c>
      <c r="H935" s="37">
        <f>SUM(B935:G935)</f>
        <v/>
      </c>
      <c r="I935" s="25">
        <f>B935/$H935</f>
        <v/>
      </c>
      <c r="J935" s="25">
        <f>C935/$H935</f>
        <v/>
      </c>
      <c r="K935" s="25">
        <f>D935/$H935</f>
        <v/>
      </c>
      <c r="L935" s="25">
        <f>E935/$H935</f>
        <v/>
      </c>
      <c r="M935" s="25">
        <f>F935/$H935</f>
        <v/>
      </c>
      <c r="N935" s="25">
        <f>G935/$H935</f>
        <v/>
      </c>
      <c r="O935" s="25">
        <f>SUM(MMULT(I935:N935,'07 Annualised Inputs'!$D$7:$D$12))</f>
        <v/>
      </c>
      <c r="P935" s="25">
        <f>SQRT(SUMPRODUCT(MMULT(I935:N935,'07 Annualised Inputs'!$B$17:$G$22),I935:N935))</f>
        <v/>
      </c>
      <c r="Q935" s="37">
        <f>(O935-'02 Config'!$B$10)/P935</f>
        <v/>
      </c>
    </row>
    <row r="936">
      <c r="A936" s="12" t="n">
        <v>931</v>
      </c>
      <c r="B936" s="36" t="n">
        <v>0.6982422739891901</v>
      </c>
      <c r="C936" s="36" t="n">
        <v>0.3845640671309203</v>
      </c>
      <c r="D936" s="36" t="n">
        <v>0.3243399932036394</v>
      </c>
      <c r="E936" s="36" t="n">
        <v>0.7169585958944741</v>
      </c>
      <c r="F936" s="36" t="n">
        <v>0.7167130081772302</v>
      </c>
      <c r="G936" s="36" t="n">
        <v>0.9505883840490933</v>
      </c>
      <c r="H936" s="37">
        <f>SUM(B936:G936)</f>
        <v/>
      </c>
      <c r="I936" s="25">
        <f>B936/$H936</f>
        <v/>
      </c>
      <c r="J936" s="25">
        <f>C936/$H936</f>
        <v/>
      </c>
      <c r="K936" s="25">
        <f>D936/$H936</f>
        <v/>
      </c>
      <c r="L936" s="25">
        <f>E936/$H936</f>
        <v/>
      </c>
      <c r="M936" s="25">
        <f>F936/$H936</f>
        <v/>
      </c>
      <c r="N936" s="25">
        <f>G936/$H936</f>
        <v/>
      </c>
      <c r="O936" s="25">
        <f>SUM(MMULT(I936:N936,'07 Annualised Inputs'!$D$7:$D$12))</f>
        <v/>
      </c>
      <c r="P936" s="25">
        <f>SQRT(SUMPRODUCT(MMULT(I936:N936,'07 Annualised Inputs'!$B$17:$G$22),I936:N936))</f>
        <v/>
      </c>
      <c r="Q936" s="37">
        <f>(O936-'02 Config'!$B$10)/P936</f>
        <v/>
      </c>
    </row>
    <row r="937">
      <c r="A937" s="12" t="n">
        <v>932</v>
      </c>
      <c r="B937" s="36" t="n">
        <v>0.5686598178483223</v>
      </c>
      <c r="C937" s="36" t="n">
        <v>0.2946211057876735</v>
      </c>
      <c r="D937" s="36" t="n">
        <v>0.4895287993304774</v>
      </c>
      <c r="E937" s="36" t="n">
        <v>0.6137138167259192</v>
      </c>
      <c r="F937" s="36" t="n">
        <v>0.4267297995769125</v>
      </c>
      <c r="G937" s="36" t="n">
        <v>0.7911331233595482</v>
      </c>
      <c r="H937" s="37">
        <f>SUM(B937:G937)</f>
        <v/>
      </c>
      <c r="I937" s="25">
        <f>B937/$H937</f>
        <v/>
      </c>
      <c r="J937" s="25">
        <f>C937/$H937</f>
        <v/>
      </c>
      <c r="K937" s="25">
        <f>D937/$H937</f>
        <v/>
      </c>
      <c r="L937" s="25">
        <f>E937/$H937</f>
        <v/>
      </c>
      <c r="M937" s="25">
        <f>F937/$H937</f>
        <v/>
      </c>
      <c r="N937" s="25">
        <f>G937/$H937</f>
        <v/>
      </c>
      <c r="O937" s="25">
        <f>SUM(MMULT(I937:N937,'07 Annualised Inputs'!$D$7:$D$12))</f>
        <v/>
      </c>
      <c r="P937" s="25">
        <f>SQRT(SUMPRODUCT(MMULT(I937:N937,'07 Annualised Inputs'!$B$17:$G$22),I937:N937))</f>
        <v/>
      </c>
      <c r="Q937" s="37">
        <f>(O937-'02 Config'!$B$10)/P937</f>
        <v/>
      </c>
    </row>
    <row r="938">
      <c r="A938" s="12" t="n">
        <v>933</v>
      </c>
      <c r="B938" s="36" t="n">
        <v>0.5846132122158377</v>
      </c>
      <c r="C938" s="36" t="n">
        <v>0.009435727627650548</v>
      </c>
      <c r="D938" s="36" t="n">
        <v>0.5698398882320085</v>
      </c>
      <c r="E938" s="36" t="n">
        <v>0.633603785941861</v>
      </c>
      <c r="F938" s="36" t="n">
        <v>0.9152612515440707</v>
      </c>
      <c r="G938" s="36" t="n">
        <v>0.4137216736641885</v>
      </c>
      <c r="H938" s="37">
        <f>SUM(B938:G938)</f>
        <v/>
      </c>
      <c r="I938" s="25">
        <f>B938/$H938</f>
        <v/>
      </c>
      <c r="J938" s="25">
        <f>C938/$H938</f>
        <v/>
      </c>
      <c r="K938" s="25">
        <f>D938/$H938</f>
        <v/>
      </c>
      <c r="L938" s="25">
        <f>E938/$H938</f>
        <v/>
      </c>
      <c r="M938" s="25">
        <f>F938/$H938</f>
        <v/>
      </c>
      <c r="N938" s="25">
        <f>G938/$H938</f>
        <v/>
      </c>
      <c r="O938" s="25">
        <f>SUM(MMULT(I938:N938,'07 Annualised Inputs'!$D$7:$D$12))</f>
        <v/>
      </c>
      <c r="P938" s="25">
        <f>SQRT(SUMPRODUCT(MMULT(I938:N938,'07 Annualised Inputs'!$B$17:$G$22),I938:N938))</f>
        <v/>
      </c>
      <c r="Q938" s="37">
        <f>(O938-'02 Config'!$B$10)/P938</f>
        <v/>
      </c>
    </row>
    <row r="939">
      <c r="A939" s="12" t="n">
        <v>934</v>
      </c>
      <c r="B939" s="36" t="n">
        <v>0.5744676592713583</v>
      </c>
      <c r="C939" s="36" t="n">
        <v>0.4749974507143739</v>
      </c>
      <c r="D939" s="36" t="n">
        <v>0.5316564284688854</v>
      </c>
      <c r="E939" s="36" t="n">
        <v>0.06730407066899646</v>
      </c>
      <c r="F939" s="36" t="n">
        <v>0.8972836675331015</v>
      </c>
      <c r="G939" s="36" t="n">
        <v>0.9104123398316256</v>
      </c>
      <c r="H939" s="37">
        <f>SUM(B939:G939)</f>
        <v/>
      </c>
      <c r="I939" s="25">
        <f>B939/$H939</f>
        <v/>
      </c>
      <c r="J939" s="25">
        <f>C939/$H939</f>
        <v/>
      </c>
      <c r="K939" s="25">
        <f>D939/$H939</f>
        <v/>
      </c>
      <c r="L939" s="25">
        <f>E939/$H939</f>
        <v/>
      </c>
      <c r="M939" s="25">
        <f>F939/$H939</f>
        <v/>
      </c>
      <c r="N939" s="25">
        <f>G939/$H939</f>
        <v/>
      </c>
      <c r="O939" s="25">
        <f>SUM(MMULT(I939:N939,'07 Annualised Inputs'!$D$7:$D$12))</f>
        <v/>
      </c>
      <c r="P939" s="25">
        <f>SQRT(SUMPRODUCT(MMULT(I939:N939,'07 Annualised Inputs'!$B$17:$G$22),I939:N939))</f>
        <v/>
      </c>
      <c r="Q939" s="37">
        <f>(O939-'02 Config'!$B$10)/P939</f>
        <v/>
      </c>
    </row>
    <row r="940">
      <c r="A940" s="12" t="n">
        <v>935</v>
      </c>
      <c r="B940" s="36" t="n">
        <v>0.5480596098426327</v>
      </c>
      <c r="C940" s="36" t="n">
        <v>0.5565555157209455</v>
      </c>
      <c r="D940" s="36" t="n">
        <v>0.05755603594395453</v>
      </c>
      <c r="E940" s="36" t="n">
        <v>0.5979505131197568</v>
      </c>
      <c r="F940" s="36" t="n">
        <v>0.4291517898791625</v>
      </c>
      <c r="G940" s="36" t="n">
        <v>0.7090436302344373</v>
      </c>
      <c r="H940" s="37">
        <f>SUM(B940:G940)</f>
        <v/>
      </c>
      <c r="I940" s="25">
        <f>B940/$H940</f>
        <v/>
      </c>
      <c r="J940" s="25">
        <f>C940/$H940</f>
        <v/>
      </c>
      <c r="K940" s="25">
        <f>D940/$H940</f>
        <v/>
      </c>
      <c r="L940" s="25">
        <f>E940/$H940</f>
        <v/>
      </c>
      <c r="M940" s="25">
        <f>F940/$H940</f>
        <v/>
      </c>
      <c r="N940" s="25">
        <f>G940/$H940</f>
        <v/>
      </c>
      <c r="O940" s="25">
        <f>SUM(MMULT(I940:N940,'07 Annualised Inputs'!$D$7:$D$12))</f>
        <v/>
      </c>
      <c r="P940" s="25">
        <f>SQRT(SUMPRODUCT(MMULT(I940:N940,'07 Annualised Inputs'!$B$17:$G$22),I940:N940))</f>
        <v/>
      </c>
      <c r="Q940" s="37">
        <f>(O940-'02 Config'!$B$10)/P940</f>
        <v/>
      </c>
    </row>
    <row r="941">
      <c r="A941" s="12" t="n">
        <v>936</v>
      </c>
      <c r="B941" s="36" t="n">
        <v>0.04712491659557239</v>
      </c>
      <c r="C941" s="36" t="n">
        <v>0.7108876827294898</v>
      </c>
      <c r="D941" s="36" t="n">
        <v>0.2868938238323139</v>
      </c>
      <c r="E941" s="36" t="n">
        <v>0.651705330453108</v>
      </c>
      <c r="F941" s="36" t="n">
        <v>0.627125975312123</v>
      </c>
      <c r="G941" s="36" t="n">
        <v>0.2268414846322325</v>
      </c>
      <c r="H941" s="37">
        <f>SUM(B941:G941)</f>
        <v/>
      </c>
      <c r="I941" s="25">
        <f>B941/$H941</f>
        <v/>
      </c>
      <c r="J941" s="25">
        <f>C941/$H941</f>
        <v/>
      </c>
      <c r="K941" s="25">
        <f>D941/$H941</f>
        <v/>
      </c>
      <c r="L941" s="25">
        <f>E941/$H941</f>
        <v/>
      </c>
      <c r="M941" s="25">
        <f>F941/$H941</f>
        <v/>
      </c>
      <c r="N941" s="25">
        <f>G941/$H941</f>
        <v/>
      </c>
      <c r="O941" s="25">
        <f>SUM(MMULT(I941:N941,'07 Annualised Inputs'!$D$7:$D$12))</f>
        <v/>
      </c>
      <c r="P941" s="25">
        <f>SQRT(SUMPRODUCT(MMULT(I941:N941,'07 Annualised Inputs'!$B$17:$G$22),I941:N941))</f>
        <v/>
      </c>
      <c r="Q941" s="37">
        <f>(O941-'02 Config'!$B$10)/P941</f>
        <v/>
      </c>
    </row>
    <row r="942">
      <c r="A942" s="12" t="n">
        <v>937</v>
      </c>
      <c r="B942" s="36" t="n">
        <v>0.4404523452162667</v>
      </c>
      <c r="C942" s="36" t="n">
        <v>0.8356332590533245</v>
      </c>
      <c r="D942" s="36" t="n">
        <v>0.6055916435947739</v>
      </c>
      <c r="E942" s="36" t="n">
        <v>0.06873830197841146</v>
      </c>
      <c r="F942" s="36" t="n">
        <v>0.4429088313208297</v>
      </c>
      <c r="G942" s="36" t="n">
        <v>0.311771458777917</v>
      </c>
      <c r="H942" s="37">
        <f>SUM(B942:G942)</f>
        <v/>
      </c>
      <c r="I942" s="25">
        <f>B942/$H942</f>
        <v/>
      </c>
      <c r="J942" s="25">
        <f>C942/$H942</f>
        <v/>
      </c>
      <c r="K942" s="25">
        <f>D942/$H942</f>
        <v/>
      </c>
      <c r="L942" s="25">
        <f>E942/$H942</f>
        <v/>
      </c>
      <c r="M942" s="25">
        <f>F942/$H942</f>
        <v/>
      </c>
      <c r="N942" s="25">
        <f>G942/$H942</f>
        <v/>
      </c>
      <c r="O942" s="25">
        <f>SUM(MMULT(I942:N942,'07 Annualised Inputs'!$D$7:$D$12))</f>
        <v/>
      </c>
      <c r="P942" s="25">
        <f>SQRT(SUMPRODUCT(MMULT(I942:N942,'07 Annualised Inputs'!$B$17:$G$22),I942:N942))</f>
        <v/>
      </c>
      <c r="Q942" s="37">
        <f>(O942-'02 Config'!$B$10)/P942</f>
        <v/>
      </c>
    </row>
    <row r="943">
      <c r="A943" s="12" t="n">
        <v>938</v>
      </c>
      <c r="B943" s="36" t="n">
        <v>0.6416456789116327</v>
      </c>
      <c r="C943" s="36" t="n">
        <v>0.6145639412952608</v>
      </c>
      <c r="D943" s="36" t="n">
        <v>0.01039810151014053</v>
      </c>
      <c r="E943" s="36" t="n">
        <v>0.607695509418463</v>
      </c>
      <c r="F943" s="36" t="n">
        <v>0.7348496539849367</v>
      </c>
      <c r="G943" s="36" t="n">
        <v>0.7687300324015754</v>
      </c>
      <c r="H943" s="37">
        <f>SUM(B943:G943)</f>
        <v/>
      </c>
      <c r="I943" s="25">
        <f>B943/$H943</f>
        <v/>
      </c>
      <c r="J943" s="25">
        <f>C943/$H943</f>
        <v/>
      </c>
      <c r="K943" s="25">
        <f>D943/$H943</f>
        <v/>
      </c>
      <c r="L943" s="25">
        <f>E943/$H943</f>
        <v/>
      </c>
      <c r="M943" s="25">
        <f>F943/$H943</f>
        <v/>
      </c>
      <c r="N943" s="25">
        <f>G943/$H943</f>
        <v/>
      </c>
      <c r="O943" s="25">
        <f>SUM(MMULT(I943:N943,'07 Annualised Inputs'!$D$7:$D$12))</f>
        <v/>
      </c>
      <c r="P943" s="25">
        <f>SQRT(SUMPRODUCT(MMULT(I943:N943,'07 Annualised Inputs'!$B$17:$G$22),I943:N943))</f>
        <v/>
      </c>
      <c r="Q943" s="37">
        <f>(O943-'02 Config'!$B$10)/P943</f>
        <v/>
      </c>
    </row>
    <row r="944">
      <c r="A944" s="12" t="n">
        <v>939</v>
      </c>
      <c r="B944" s="36" t="n">
        <v>0.05897577038996116</v>
      </c>
      <c r="C944" s="36" t="n">
        <v>0.303658417109869</v>
      </c>
      <c r="D944" s="36" t="n">
        <v>0.4212735605515239</v>
      </c>
      <c r="E944" s="36" t="n">
        <v>0.1797717077949118</v>
      </c>
      <c r="F944" s="36" t="n">
        <v>0.4207338711650098</v>
      </c>
      <c r="G944" s="36" t="n">
        <v>0.07112953582559234</v>
      </c>
      <c r="H944" s="37">
        <f>SUM(B944:G944)</f>
        <v/>
      </c>
      <c r="I944" s="25">
        <f>B944/$H944</f>
        <v/>
      </c>
      <c r="J944" s="25">
        <f>C944/$H944</f>
        <v/>
      </c>
      <c r="K944" s="25">
        <f>D944/$H944</f>
        <v/>
      </c>
      <c r="L944" s="25">
        <f>E944/$H944</f>
        <v/>
      </c>
      <c r="M944" s="25">
        <f>F944/$H944</f>
        <v/>
      </c>
      <c r="N944" s="25">
        <f>G944/$H944</f>
        <v/>
      </c>
      <c r="O944" s="25">
        <f>SUM(MMULT(I944:N944,'07 Annualised Inputs'!$D$7:$D$12))</f>
        <v/>
      </c>
      <c r="P944" s="25">
        <f>SQRT(SUMPRODUCT(MMULT(I944:N944,'07 Annualised Inputs'!$B$17:$G$22),I944:N944))</f>
        <v/>
      </c>
      <c r="Q944" s="37">
        <f>(O944-'02 Config'!$B$10)/P944</f>
        <v/>
      </c>
    </row>
    <row r="945">
      <c r="A945" s="12" t="n">
        <v>940</v>
      </c>
      <c r="B945" s="36" t="n">
        <v>0.1132172830070516</v>
      </c>
      <c r="C945" s="36" t="n">
        <v>0.6686947628434194</v>
      </c>
      <c r="D945" s="36" t="n">
        <v>0.262572461160155</v>
      </c>
      <c r="E945" s="36" t="n">
        <v>0.7114058474795725</v>
      </c>
      <c r="F945" s="36" t="n">
        <v>0.04810852801666798</v>
      </c>
      <c r="G945" s="36" t="n">
        <v>0.5627030530435029</v>
      </c>
      <c r="H945" s="37">
        <f>SUM(B945:G945)</f>
        <v/>
      </c>
      <c r="I945" s="25">
        <f>B945/$H945</f>
        <v/>
      </c>
      <c r="J945" s="25">
        <f>C945/$H945</f>
        <v/>
      </c>
      <c r="K945" s="25">
        <f>D945/$H945</f>
        <v/>
      </c>
      <c r="L945" s="25">
        <f>E945/$H945</f>
        <v/>
      </c>
      <c r="M945" s="25">
        <f>F945/$H945</f>
        <v/>
      </c>
      <c r="N945" s="25">
        <f>G945/$H945</f>
        <v/>
      </c>
      <c r="O945" s="25">
        <f>SUM(MMULT(I945:N945,'07 Annualised Inputs'!$D$7:$D$12))</f>
        <v/>
      </c>
      <c r="P945" s="25">
        <f>SQRT(SUMPRODUCT(MMULT(I945:N945,'07 Annualised Inputs'!$B$17:$G$22),I945:N945))</f>
        <v/>
      </c>
      <c r="Q945" s="37">
        <f>(O945-'02 Config'!$B$10)/P945</f>
        <v/>
      </c>
    </row>
    <row r="946">
      <c r="A946" s="12" t="n">
        <v>941</v>
      </c>
      <c r="B946" s="36" t="n">
        <v>0.3914486635868403</v>
      </c>
      <c r="C946" s="36" t="n">
        <v>0.7969713919154653</v>
      </c>
      <c r="D946" s="36" t="n">
        <v>0.7839515802055619</v>
      </c>
      <c r="E946" s="36" t="n">
        <v>0.3755596424575082</v>
      </c>
      <c r="F946" s="36" t="n">
        <v>0.6227140140877143</v>
      </c>
      <c r="G946" s="36" t="n">
        <v>0.2275488688194881</v>
      </c>
      <c r="H946" s="37">
        <f>SUM(B946:G946)</f>
        <v/>
      </c>
      <c r="I946" s="25">
        <f>B946/$H946</f>
        <v/>
      </c>
      <c r="J946" s="25">
        <f>C946/$H946</f>
        <v/>
      </c>
      <c r="K946" s="25">
        <f>D946/$H946</f>
        <v/>
      </c>
      <c r="L946" s="25">
        <f>E946/$H946</f>
        <v/>
      </c>
      <c r="M946" s="25">
        <f>F946/$H946</f>
        <v/>
      </c>
      <c r="N946" s="25">
        <f>G946/$H946</f>
        <v/>
      </c>
      <c r="O946" s="25">
        <f>SUM(MMULT(I946:N946,'07 Annualised Inputs'!$D$7:$D$12))</f>
        <v/>
      </c>
      <c r="P946" s="25">
        <f>SQRT(SUMPRODUCT(MMULT(I946:N946,'07 Annualised Inputs'!$B$17:$G$22),I946:N946))</f>
        <v/>
      </c>
      <c r="Q946" s="37">
        <f>(O946-'02 Config'!$B$10)/P946</f>
        <v/>
      </c>
    </row>
    <row r="947">
      <c r="A947" s="12" t="n">
        <v>942</v>
      </c>
      <c r="B947" s="36" t="n">
        <v>0.5804068361804202</v>
      </c>
      <c r="C947" s="36" t="n">
        <v>0.08126469394752245</v>
      </c>
      <c r="D947" s="36" t="n">
        <v>0.4346042841186101</v>
      </c>
      <c r="E947" s="36" t="n">
        <v>0.1827276815381091</v>
      </c>
      <c r="F947" s="36" t="n">
        <v>0.8833811820915227</v>
      </c>
      <c r="G947" s="36" t="n">
        <v>0.4449008179668318</v>
      </c>
      <c r="H947" s="37">
        <f>SUM(B947:G947)</f>
        <v/>
      </c>
      <c r="I947" s="25">
        <f>B947/$H947</f>
        <v/>
      </c>
      <c r="J947" s="25">
        <f>C947/$H947</f>
        <v/>
      </c>
      <c r="K947" s="25">
        <f>D947/$H947</f>
        <v/>
      </c>
      <c r="L947" s="25">
        <f>E947/$H947</f>
        <v/>
      </c>
      <c r="M947" s="25">
        <f>F947/$H947</f>
        <v/>
      </c>
      <c r="N947" s="25">
        <f>G947/$H947</f>
        <v/>
      </c>
      <c r="O947" s="25">
        <f>SUM(MMULT(I947:N947,'07 Annualised Inputs'!$D$7:$D$12))</f>
        <v/>
      </c>
      <c r="P947" s="25">
        <f>SQRT(SUMPRODUCT(MMULT(I947:N947,'07 Annualised Inputs'!$B$17:$G$22),I947:N947))</f>
        <v/>
      </c>
      <c r="Q947" s="37">
        <f>(O947-'02 Config'!$B$10)/P947</f>
        <v/>
      </c>
    </row>
    <row r="948">
      <c r="A948" s="12" t="n">
        <v>943</v>
      </c>
      <c r="B948" s="36" t="n">
        <v>0.5907737486375348</v>
      </c>
      <c r="C948" s="36" t="n">
        <v>0.3603818603300104</v>
      </c>
      <c r="D948" s="36" t="n">
        <v>0.2887410352398029</v>
      </c>
      <c r="E948" s="36" t="n">
        <v>0.2029197830615336</v>
      </c>
      <c r="F948" s="36" t="n">
        <v>0.9118715826670196</v>
      </c>
      <c r="G948" s="36" t="n">
        <v>0.7994657824269527</v>
      </c>
      <c r="H948" s="37">
        <f>SUM(B948:G948)</f>
        <v/>
      </c>
      <c r="I948" s="25">
        <f>B948/$H948</f>
        <v/>
      </c>
      <c r="J948" s="25">
        <f>C948/$H948</f>
        <v/>
      </c>
      <c r="K948" s="25">
        <f>D948/$H948</f>
        <v/>
      </c>
      <c r="L948" s="25">
        <f>E948/$H948</f>
        <v/>
      </c>
      <c r="M948" s="25">
        <f>F948/$H948</f>
        <v/>
      </c>
      <c r="N948" s="25">
        <f>G948/$H948</f>
        <v/>
      </c>
      <c r="O948" s="25">
        <f>SUM(MMULT(I948:N948,'07 Annualised Inputs'!$D$7:$D$12))</f>
        <v/>
      </c>
      <c r="P948" s="25">
        <f>SQRT(SUMPRODUCT(MMULT(I948:N948,'07 Annualised Inputs'!$B$17:$G$22),I948:N948))</f>
        <v/>
      </c>
      <c r="Q948" s="37">
        <f>(O948-'02 Config'!$B$10)/P948</f>
        <v/>
      </c>
    </row>
    <row r="949">
      <c r="A949" s="12" t="n">
        <v>944</v>
      </c>
      <c r="B949" s="36" t="n">
        <v>0.1332611444310309</v>
      </c>
      <c r="C949" s="36" t="n">
        <v>0.7467248762917983</v>
      </c>
      <c r="D949" s="36" t="n">
        <v>0.4185307770366532</v>
      </c>
      <c r="E949" s="36" t="n">
        <v>0.01539665496056986</v>
      </c>
      <c r="F949" s="36" t="n">
        <v>0.528367320376222</v>
      </c>
      <c r="G949" s="36" t="n">
        <v>0.1300464400848661</v>
      </c>
      <c r="H949" s="37">
        <f>SUM(B949:G949)</f>
        <v/>
      </c>
      <c r="I949" s="25">
        <f>B949/$H949</f>
        <v/>
      </c>
      <c r="J949" s="25">
        <f>C949/$H949</f>
        <v/>
      </c>
      <c r="K949" s="25">
        <f>D949/$H949</f>
        <v/>
      </c>
      <c r="L949" s="25">
        <f>E949/$H949</f>
        <v/>
      </c>
      <c r="M949" s="25">
        <f>F949/$H949</f>
        <v/>
      </c>
      <c r="N949" s="25">
        <f>G949/$H949</f>
        <v/>
      </c>
      <c r="O949" s="25">
        <f>SUM(MMULT(I949:N949,'07 Annualised Inputs'!$D$7:$D$12))</f>
        <v/>
      </c>
      <c r="P949" s="25">
        <f>SQRT(SUMPRODUCT(MMULT(I949:N949,'07 Annualised Inputs'!$B$17:$G$22),I949:N949))</f>
        <v/>
      </c>
      <c r="Q949" s="37">
        <f>(O949-'02 Config'!$B$10)/P949</f>
        <v/>
      </c>
    </row>
    <row r="950">
      <c r="A950" s="12" t="n">
        <v>945</v>
      </c>
      <c r="B950" s="36" t="n">
        <v>0.2099343130935947</v>
      </c>
      <c r="C950" s="36" t="n">
        <v>0.696040961424093</v>
      </c>
      <c r="D950" s="36" t="n">
        <v>0.2571420371411961</v>
      </c>
      <c r="E950" s="36" t="n">
        <v>0.8918882018418166</v>
      </c>
      <c r="F950" s="36" t="n">
        <v>0.6571697584241699</v>
      </c>
      <c r="G950" s="36" t="n">
        <v>0.8322834849108091</v>
      </c>
      <c r="H950" s="37">
        <f>SUM(B950:G950)</f>
        <v/>
      </c>
      <c r="I950" s="25">
        <f>B950/$H950</f>
        <v/>
      </c>
      <c r="J950" s="25">
        <f>C950/$H950</f>
        <v/>
      </c>
      <c r="K950" s="25">
        <f>D950/$H950</f>
        <v/>
      </c>
      <c r="L950" s="25">
        <f>E950/$H950</f>
        <v/>
      </c>
      <c r="M950" s="25">
        <f>F950/$H950</f>
        <v/>
      </c>
      <c r="N950" s="25">
        <f>G950/$H950</f>
        <v/>
      </c>
      <c r="O950" s="25">
        <f>SUM(MMULT(I950:N950,'07 Annualised Inputs'!$D$7:$D$12))</f>
        <v/>
      </c>
      <c r="P950" s="25">
        <f>SQRT(SUMPRODUCT(MMULT(I950:N950,'07 Annualised Inputs'!$B$17:$G$22),I950:N950))</f>
        <v/>
      </c>
      <c r="Q950" s="37">
        <f>(O950-'02 Config'!$B$10)/P950</f>
        <v/>
      </c>
    </row>
    <row r="951">
      <c r="A951" s="12" t="n">
        <v>946</v>
      </c>
      <c r="B951" s="36" t="n">
        <v>0.6151895383301841</v>
      </c>
      <c r="C951" s="36" t="n">
        <v>0.8688495910220159</v>
      </c>
      <c r="D951" s="36" t="n">
        <v>0.3616846750221502</v>
      </c>
      <c r="E951" s="36" t="n">
        <v>0.5491405768855797</v>
      </c>
      <c r="F951" s="36" t="n">
        <v>0.5158904004443335</v>
      </c>
      <c r="G951" s="36" t="n">
        <v>0.9037907080779705</v>
      </c>
      <c r="H951" s="37">
        <f>SUM(B951:G951)</f>
        <v/>
      </c>
      <c r="I951" s="25">
        <f>B951/$H951</f>
        <v/>
      </c>
      <c r="J951" s="25">
        <f>C951/$H951</f>
        <v/>
      </c>
      <c r="K951" s="25">
        <f>D951/$H951</f>
        <v/>
      </c>
      <c r="L951" s="25">
        <f>E951/$H951</f>
        <v/>
      </c>
      <c r="M951" s="25">
        <f>F951/$H951</f>
        <v/>
      </c>
      <c r="N951" s="25">
        <f>G951/$H951</f>
        <v/>
      </c>
      <c r="O951" s="25">
        <f>SUM(MMULT(I951:N951,'07 Annualised Inputs'!$D$7:$D$12))</f>
        <v/>
      </c>
      <c r="P951" s="25">
        <f>SQRT(SUMPRODUCT(MMULT(I951:N951,'07 Annualised Inputs'!$B$17:$G$22),I951:N951))</f>
        <v/>
      </c>
      <c r="Q951" s="37">
        <f>(O951-'02 Config'!$B$10)/P951</f>
        <v/>
      </c>
    </row>
    <row r="952">
      <c r="A952" s="12" t="n">
        <v>947</v>
      </c>
      <c r="B952" s="36" t="n">
        <v>0.1649154086086135</v>
      </c>
      <c r="C952" s="36" t="n">
        <v>0.5780607631866924</v>
      </c>
      <c r="D952" s="36" t="n">
        <v>0.7544311942269804</v>
      </c>
      <c r="E952" s="36" t="n">
        <v>0.3700497605336603</v>
      </c>
      <c r="F952" s="36" t="n">
        <v>0.8675815246159764</v>
      </c>
      <c r="G952" s="36" t="n">
        <v>0.3730147670777341</v>
      </c>
      <c r="H952" s="37">
        <f>SUM(B952:G952)</f>
        <v/>
      </c>
      <c r="I952" s="25">
        <f>B952/$H952</f>
        <v/>
      </c>
      <c r="J952" s="25">
        <f>C952/$H952</f>
        <v/>
      </c>
      <c r="K952" s="25">
        <f>D952/$H952</f>
        <v/>
      </c>
      <c r="L952" s="25">
        <f>E952/$H952</f>
        <v/>
      </c>
      <c r="M952" s="25">
        <f>F952/$H952</f>
        <v/>
      </c>
      <c r="N952" s="25">
        <f>G952/$H952</f>
        <v/>
      </c>
      <c r="O952" s="25">
        <f>SUM(MMULT(I952:N952,'07 Annualised Inputs'!$D$7:$D$12))</f>
        <v/>
      </c>
      <c r="P952" s="25">
        <f>SQRT(SUMPRODUCT(MMULT(I952:N952,'07 Annualised Inputs'!$B$17:$G$22),I952:N952))</f>
        <v/>
      </c>
      <c r="Q952" s="37">
        <f>(O952-'02 Config'!$B$10)/P952</f>
        <v/>
      </c>
    </row>
    <row r="953">
      <c r="A953" s="12" t="n">
        <v>948</v>
      </c>
      <c r="B953" s="36" t="n">
        <v>0.1733087598959161</v>
      </c>
      <c r="C953" s="36" t="n">
        <v>0.5840483554050317</v>
      </c>
      <c r="D953" s="36" t="n">
        <v>0.4205680100373125</v>
      </c>
      <c r="E953" s="36" t="n">
        <v>0.01519010468200455</v>
      </c>
      <c r="F953" s="36" t="n">
        <v>0.06983859249350322</v>
      </c>
      <c r="G953" s="36" t="n">
        <v>0.19527718020659</v>
      </c>
      <c r="H953" s="37">
        <f>SUM(B953:G953)</f>
        <v/>
      </c>
      <c r="I953" s="25">
        <f>B953/$H953</f>
        <v/>
      </c>
      <c r="J953" s="25">
        <f>C953/$H953</f>
        <v/>
      </c>
      <c r="K953" s="25">
        <f>D953/$H953</f>
        <v/>
      </c>
      <c r="L953" s="25">
        <f>E953/$H953</f>
        <v/>
      </c>
      <c r="M953" s="25">
        <f>F953/$H953</f>
        <v/>
      </c>
      <c r="N953" s="25">
        <f>G953/$H953</f>
        <v/>
      </c>
      <c r="O953" s="25">
        <f>SUM(MMULT(I953:N953,'07 Annualised Inputs'!$D$7:$D$12))</f>
        <v/>
      </c>
      <c r="P953" s="25">
        <f>SQRT(SUMPRODUCT(MMULT(I953:N953,'07 Annualised Inputs'!$B$17:$G$22),I953:N953))</f>
        <v/>
      </c>
      <c r="Q953" s="37">
        <f>(O953-'02 Config'!$B$10)/P953</f>
        <v/>
      </c>
    </row>
    <row r="954">
      <c r="A954" s="12" t="n">
        <v>949</v>
      </c>
      <c r="B954" s="36" t="n">
        <v>0.7693299595181523</v>
      </c>
      <c r="C954" s="36" t="n">
        <v>0.8920395160337483</v>
      </c>
      <c r="D954" s="36" t="n">
        <v>0.5456408740142225</v>
      </c>
      <c r="E954" s="36" t="n">
        <v>0.1055654625141235</v>
      </c>
      <c r="F954" s="36" t="n">
        <v>0.534418952241846</v>
      </c>
      <c r="G954" s="36" t="n">
        <v>0.855605460596945</v>
      </c>
      <c r="H954" s="37">
        <f>SUM(B954:G954)</f>
        <v/>
      </c>
      <c r="I954" s="25">
        <f>B954/$H954</f>
        <v/>
      </c>
      <c r="J954" s="25">
        <f>C954/$H954</f>
        <v/>
      </c>
      <c r="K954" s="25">
        <f>D954/$H954</f>
        <v/>
      </c>
      <c r="L954" s="25">
        <f>E954/$H954</f>
        <v/>
      </c>
      <c r="M954" s="25">
        <f>F954/$H954</f>
        <v/>
      </c>
      <c r="N954" s="25">
        <f>G954/$H954</f>
        <v/>
      </c>
      <c r="O954" s="25">
        <f>SUM(MMULT(I954:N954,'07 Annualised Inputs'!$D$7:$D$12))</f>
        <v/>
      </c>
      <c r="P954" s="25">
        <f>SQRT(SUMPRODUCT(MMULT(I954:N954,'07 Annualised Inputs'!$B$17:$G$22),I954:N954))</f>
        <v/>
      </c>
      <c r="Q954" s="37">
        <f>(O954-'02 Config'!$B$10)/P954</f>
        <v/>
      </c>
    </row>
    <row r="955">
      <c r="A955" s="12" t="n">
        <v>950</v>
      </c>
      <c r="B955" s="36" t="n">
        <v>0.7494776291225896</v>
      </c>
      <c r="C955" s="36" t="n">
        <v>0.291098163697375</v>
      </c>
      <c r="D955" s="36" t="n">
        <v>0.1238906092883578</v>
      </c>
      <c r="E955" s="36" t="n">
        <v>0.900681699762243</v>
      </c>
      <c r="F955" s="36" t="n">
        <v>0.854088746632211</v>
      </c>
      <c r="G955" s="36" t="n">
        <v>0.05371536514522579</v>
      </c>
      <c r="H955" s="37">
        <f>SUM(B955:G955)</f>
        <v/>
      </c>
      <c r="I955" s="25">
        <f>B955/$H955</f>
        <v/>
      </c>
      <c r="J955" s="25">
        <f>C955/$H955</f>
        <v/>
      </c>
      <c r="K955" s="25">
        <f>D955/$H955</f>
        <v/>
      </c>
      <c r="L955" s="25">
        <f>E955/$H955</f>
        <v/>
      </c>
      <c r="M955" s="25">
        <f>F955/$H955</f>
        <v/>
      </c>
      <c r="N955" s="25">
        <f>G955/$H955</f>
        <v/>
      </c>
      <c r="O955" s="25">
        <f>SUM(MMULT(I955:N955,'07 Annualised Inputs'!$D$7:$D$12))</f>
        <v/>
      </c>
      <c r="P955" s="25">
        <f>SQRT(SUMPRODUCT(MMULT(I955:N955,'07 Annualised Inputs'!$B$17:$G$22),I955:N955))</f>
        <v/>
      </c>
      <c r="Q955" s="37">
        <f>(O955-'02 Config'!$B$10)/P955</f>
        <v/>
      </c>
    </row>
    <row r="956">
      <c r="A956" s="12" t="n">
        <v>951</v>
      </c>
      <c r="B956" s="36" t="n">
        <v>0.8236744898245643</v>
      </c>
      <c r="C956" s="36" t="n">
        <v>0.09721263778493949</v>
      </c>
      <c r="D956" s="36" t="n">
        <v>0.06328363340203702</v>
      </c>
      <c r="E956" s="36" t="n">
        <v>0.7586008971462594</v>
      </c>
      <c r="F956" s="36" t="n">
        <v>0.536310621924958</v>
      </c>
      <c r="G956" s="36" t="n">
        <v>0.4145480240903189</v>
      </c>
      <c r="H956" s="37">
        <f>SUM(B956:G956)</f>
        <v/>
      </c>
      <c r="I956" s="25">
        <f>B956/$H956</f>
        <v/>
      </c>
      <c r="J956" s="25">
        <f>C956/$H956</f>
        <v/>
      </c>
      <c r="K956" s="25">
        <f>D956/$H956</f>
        <v/>
      </c>
      <c r="L956" s="25">
        <f>E956/$H956</f>
        <v/>
      </c>
      <c r="M956" s="25">
        <f>F956/$H956</f>
        <v/>
      </c>
      <c r="N956" s="25">
        <f>G956/$H956</f>
        <v/>
      </c>
      <c r="O956" s="25">
        <f>SUM(MMULT(I956:N956,'07 Annualised Inputs'!$D$7:$D$12))</f>
        <v/>
      </c>
      <c r="P956" s="25">
        <f>SQRT(SUMPRODUCT(MMULT(I956:N956,'07 Annualised Inputs'!$B$17:$G$22),I956:N956))</f>
        <v/>
      </c>
      <c r="Q956" s="37">
        <f>(O956-'02 Config'!$B$10)/P956</f>
        <v/>
      </c>
    </row>
    <row r="957">
      <c r="A957" s="12" t="n">
        <v>952</v>
      </c>
      <c r="B957" s="36" t="n">
        <v>0.9038621959760219</v>
      </c>
      <c r="C957" s="36" t="n">
        <v>0.8393035720677537</v>
      </c>
      <c r="D957" s="36" t="n">
        <v>0.0576234715470566</v>
      </c>
      <c r="E957" s="36" t="n">
        <v>0.6160872419411724</v>
      </c>
      <c r="F957" s="36" t="n">
        <v>0.7722674032074582</v>
      </c>
      <c r="G957" s="36" t="n">
        <v>0.5504905797749521</v>
      </c>
      <c r="H957" s="37">
        <f>SUM(B957:G957)</f>
        <v/>
      </c>
      <c r="I957" s="25">
        <f>B957/$H957</f>
        <v/>
      </c>
      <c r="J957" s="25">
        <f>C957/$H957</f>
        <v/>
      </c>
      <c r="K957" s="25">
        <f>D957/$H957</f>
        <v/>
      </c>
      <c r="L957" s="25">
        <f>E957/$H957</f>
        <v/>
      </c>
      <c r="M957" s="25">
        <f>F957/$H957</f>
        <v/>
      </c>
      <c r="N957" s="25">
        <f>G957/$H957</f>
        <v/>
      </c>
      <c r="O957" s="25">
        <f>SUM(MMULT(I957:N957,'07 Annualised Inputs'!$D$7:$D$12))</f>
        <v/>
      </c>
      <c r="P957" s="25">
        <f>SQRT(SUMPRODUCT(MMULT(I957:N957,'07 Annualised Inputs'!$B$17:$G$22),I957:N957))</f>
        <v/>
      </c>
      <c r="Q957" s="37">
        <f>(O957-'02 Config'!$B$10)/P957</f>
        <v/>
      </c>
    </row>
    <row r="958">
      <c r="A958" s="12" t="n">
        <v>953</v>
      </c>
      <c r="B958" s="36" t="n">
        <v>0.9830054990761883</v>
      </c>
      <c r="C958" s="36" t="n">
        <v>0.6860475046475483</v>
      </c>
      <c r="D958" s="36" t="n">
        <v>0.1041430126970253</v>
      </c>
      <c r="E958" s="36" t="n">
        <v>0.1982980119999534</v>
      </c>
      <c r="F958" s="36" t="n">
        <v>0.826245621199462</v>
      </c>
      <c r="G958" s="36" t="n">
        <v>0.9967566731443001</v>
      </c>
      <c r="H958" s="37">
        <f>SUM(B958:G958)</f>
        <v/>
      </c>
      <c r="I958" s="25">
        <f>B958/$H958</f>
        <v/>
      </c>
      <c r="J958" s="25">
        <f>C958/$H958</f>
        <v/>
      </c>
      <c r="K958" s="25">
        <f>D958/$H958</f>
        <v/>
      </c>
      <c r="L958" s="25">
        <f>E958/$H958</f>
        <v/>
      </c>
      <c r="M958" s="25">
        <f>F958/$H958</f>
        <v/>
      </c>
      <c r="N958" s="25">
        <f>G958/$H958</f>
        <v/>
      </c>
      <c r="O958" s="25">
        <f>SUM(MMULT(I958:N958,'07 Annualised Inputs'!$D$7:$D$12))</f>
        <v/>
      </c>
      <c r="P958" s="25">
        <f>SQRT(SUMPRODUCT(MMULT(I958:N958,'07 Annualised Inputs'!$B$17:$G$22),I958:N958))</f>
        <v/>
      </c>
      <c r="Q958" s="37">
        <f>(O958-'02 Config'!$B$10)/P958</f>
        <v/>
      </c>
    </row>
    <row r="959">
      <c r="A959" s="12" t="n">
        <v>954</v>
      </c>
      <c r="B959" s="36" t="n">
        <v>0.0983392668723897</v>
      </c>
      <c r="C959" s="36" t="n">
        <v>0.1003293178450484</v>
      </c>
      <c r="D959" s="36" t="n">
        <v>0.7633870541432835</v>
      </c>
      <c r="E959" s="36" t="n">
        <v>0.06435428171653956</v>
      </c>
      <c r="F959" s="36" t="n">
        <v>0.06856011606484747</v>
      </c>
      <c r="G959" s="36" t="n">
        <v>0.8888164830096625</v>
      </c>
      <c r="H959" s="37">
        <f>SUM(B959:G959)</f>
        <v/>
      </c>
      <c r="I959" s="25">
        <f>B959/$H959</f>
        <v/>
      </c>
      <c r="J959" s="25">
        <f>C959/$H959</f>
        <v/>
      </c>
      <c r="K959" s="25">
        <f>D959/$H959</f>
        <v/>
      </c>
      <c r="L959" s="25">
        <f>E959/$H959</f>
        <v/>
      </c>
      <c r="M959" s="25">
        <f>F959/$H959</f>
        <v/>
      </c>
      <c r="N959" s="25">
        <f>G959/$H959</f>
        <v/>
      </c>
      <c r="O959" s="25">
        <f>SUM(MMULT(I959:N959,'07 Annualised Inputs'!$D$7:$D$12))</f>
        <v/>
      </c>
      <c r="P959" s="25">
        <f>SQRT(SUMPRODUCT(MMULT(I959:N959,'07 Annualised Inputs'!$B$17:$G$22),I959:N959))</f>
        <v/>
      </c>
      <c r="Q959" s="37">
        <f>(O959-'02 Config'!$B$10)/P959</f>
        <v/>
      </c>
    </row>
    <row r="960">
      <c r="A960" s="12" t="n">
        <v>955</v>
      </c>
      <c r="B960" s="36" t="n">
        <v>0.8004498123184509</v>
      </c>
      <c r="C960" s="36" t="n">
        <v>0.8815631998643823</v>
      </c>
      <c r="D960" s="36" t="n">
        <v>0.6505134021327537</v>
      </c>
      <c r="E960" s="36" t="n">
        <v>0.3225364219388585</v>
      </c>
      <c r="F960" s="36" t="n">
        <v>0.9063131903327911</v>
      </c>
      <c r="G960" s="36" t="n">
        <v>0.2987235249744318</v>
      </c>
      <c r="H960" s="37">
        <f>SUM(B960:G960)</f>
        <v/>
      </c>
      <c r="I960" s="25">
        <f>B960/$H960</f>
        <v/>
      </c>
      <c r="J960" s="25">
        <f>C960/$H960</f>
        <v/>
      </c>
      <c r="K960" s="25">
        <f>D960/$H960</f>
        <v/>
      </c>
      <c r="L960" s="25">
        <f>E960/$H960</f>
        <v/>
      </c>
      <c r="M960" s="25">
        <f>F960/$H960</f>
        <v/>
      </c>
      <c r="N960" s="25">
        <f>G960/$H960</f>
        <v/>
      </c>
      <c r="O960" s="25">
        <f>SUM(MMULT(I960:N960,'07 Annualised Inputs'!$D$7:$D$12))</f>
        <v/>
      </c>
      <c r="P960" s="25">
        <f>SQRT(SUMPRODUCT(MMULT(I960:N960,'07 Annualised Inputs'!$B$17:$G$22),I960:N960))</f>
        <v/>
      </c>
      <c r="Q960" s="37">
        <f>(O960-'02 Config'!$B$10)/P960</f>
        <v/>
      </c>
    </row>
    <row r="961">
      <c r="A961" s="12" t="n">
        <v>956</v>
      </c>
      <c r="B961" s="36" t="n">
        <v>0.2755108394548493</v>
      </c>
      <c r="C961" s="36" t="n">
        <v>0.8864004191927712</v>
      </c>
      <c r="D961" s="36" t="n">
        <v>0.6808225924932079</v>
      </c>
      <c r="E961" s="36" t="n">
        <v>0.8956720847092428</v>
      </c>
      <c r="F961" s="36" t="n">
        <v>0.1559012892539724</v>
      </c>
      <c r="G961" s="36" t="n">
        <v>0.9522967977656314</v>
      </c>
      <c r="H961" s="37">
        <f>SUM(B961:G961)</f>
        <v/>
      </c>
      <c r="I961" s="25">
        <f>B961/$H961</f>
        <v/>
      </c>
      <c r="J961" s="25">
        <f>C961/$H961</f>
        <v/>
      </c>
      <c r="K961" s="25">
        <f>D961/$H961</f>
        <v/>
      </c>
      <c r="L961" s="25">
        <f>E961/$H961</f>
        <v/>
      </c>
      <c r="M961" s="25">
        <f>F961/$H961</f>
        <v/>
      </c>
      <c r="N961" s="25">
        <f>G961/$H961</f>
        <v/>
      </c>
      <c r="O961" s="25">
        <f>SUM(MMULT(I961:N961,'07 Annualised Inputs'!$D$7:$D$12))</f>
        <v/>
      </c>
      <c r="P961" s="25">
        <f>SQRT(SUMPRODUCT(MMULT(I961:N961,'07 Annualised Inputs'!$B$17:$G$22),I961:N961))</f>
        <v/>
      </c>
      <c r="Q961" s="37">
        <f>(O961-'02 Config'!$B$10)/P961</f>
        <v/>
      </c>
    </row>
    <row r="962">
      <c r="A962" s="12" t="n">
        <v>957</v>
      </c>
      <c r="B962" s="36" t="n">
        <v>0.6127421567003271</v>
      </c>
      <c r="C962" s="36" t="n">
        <v>0.6680350440934276</v>
      </c>
      <c r="D962" s="36" t="n">
        <v>0.9140605803264515</v>
      </c>
      <c r="E962" s="36" t="n">
        <v>0.3807529746946287</v>
      </c>
      <c r="F962" s="36" t="n">
        <v>0.7195749946958622</v>
      </c>
      <c r="G962" s="36" t="n">
        <v>0.640340621124484</v>
      </c>
      <c r="H962" s="37">
        <f>SUM(B962:G962)</f>
        <v/>
      </c>
      <c r="I962" s="25">
        <f>B962/$H962</f>
        <v/>
      </c>
      <c r="J962" s="25">
        <f>C962/$H962</f>
        <v/>
      </c>
      <c r="K962" s="25">
        <f>D962/$H962</f>
        <v/>
      </c>
      <c r="L962" s="25">
        <f>E962/$H962</f>
        <v/>
      </c>
      <c r="M962" s="25">
        <f>F962/$H962</f>
        <v/>
      </c>
      <c r="N962" s="25">
        <f>G962/$H962</f>
        <v/>
      </c>
      <c r="O962" s="25">
        <f>SUM(MMULT(I962:N962,'07 Annualised Inputs'!$D$7:$D$12))</f>
        <v/>
      </c>
      <c r="P962" s="25">
        <f>SQRT(SUMPRODUCT(MMULT(I962:N962,'07 Annualised Inputs'!$B$17:$G$22),I962:N962))</f>
        <v/>
      </c>
      <c r="Q962" s="37">
        <f>(O962-'02 Config'!$B$10)/P962</f>
        <v/>
      </c>
    </row>
    <row r="963">
      <c r="A963" s="12" t="n">
        <v>958</v>
      </c>
      <c r="B963" s="36" t="n">
        <v>0.7877527188659602</v>
      </c>
      <c r="C963" s="36" t="n">
        <v>0.8969427918333073</v>
      </c>
      <c r="D963" s="36" t="n">
        <v>0.6800608554300946</v>
      </c>
      <c r="E963" s="36" t="n">
        <v>0.06763955450306436</v>
      </c>
      <c r="F963" s="36" t="n">
        <v>0.1831403458497802</v>
      </c>
      <c r="G963" s="36" t="n">
        <v>0.9539781822670841</v>
      </c>
      <c r="H963" s="37">
        <f>SUM(B963:G963)</f>
        <v/>
      </c>
      <c r="I963" s="25">
        <f>B963/$H963</f>
        <v/>
      </c>
      <c r="J963" s="25">
        <f>C963/$H963</f>
        <v/>
      </c>
      <c r="K963" s="25">
        <f>D963/$H963</f>
        <v/>
      </c>
      <c r="L963" s="25">
        <f>E963/$H963</f>
        <v/>
      </c>
      <c r="M963" s="25">
        <f>F963/$H963</f>
        <v/>
      </c>
      <c r="N963" s="25">
        <f>G963/$H963</f>
        <v/>
      </c>
      <c r="O963" s="25">
        <f>SUM(MMULT(I963:N963,'07 Annualised Inputs'!$D$7:$D$12))</f>
        <v/>
      </c>
      <c r="P963" s="25">
        <f>SQRT(SUMPRODUCT(MMULT(I963:N963,'07 Annualised Inputs'!$B$17:$G$22),I963:N963))</f>
        <v/>
      </c>
      <c r="Q963" s="37">
        <f>(O963-'02 Config'!$B$10)/P963</f>
        <v/>
      </c>
    </row>
    <row r="964">
      <c r="A964" s="12" t="n">
        <v>959</v>
      </c>
      <c r="B964" s="36" t="n">
        <v>0.9686504733772262</v>
      </c>
      <c r="C964" s="36" t="n">
        <v>0.9674133136983625</v>
      </c>
      <c r="D964" s="36" t="n">
        <v>0.03679940040011798</v>
      </c>
      <c r="E964" s="36" t="n">
        <v>0.3824481679494183</v>
      </c>
      <c r="F964" s="36" t="n">
        <v>0.759672703987996</v>
      </c>
      <c r="G964" s="36" t="n">
        <v>0.7528858036578309</v>
      </c>
      <c r="H964" s="37">
        <f>SUM(B964:G964)</f>
        <v/>
      </c>
      <c r="I964" s="25">
        <f>B964/$H964</f>
        <v/>
      </c>
      <c r="J964" s="25">
        <f>C964/$H964</f>
        <v/>
      </c>
      <c r="K964" s="25">
        <f>D964/$H964</f>
        <v/>
      </c>
      <c r="L964" s="25">
        <f>E964/$H964</f>
        <v/>
      </c>
      <c r="M964" s="25">
        <f>F964/$H964</f>
        <v/>
      </c>
      <c r="N964" s="25">
        <f>G964/$H964</f>
        <v/>
      </c>
      <c r="O964" s="25">
        <f>SUM(MMULT(I964:N964,'07 Annualised Inputs'!$D$7:$D$12))</f>
        <v/>
      </c>
      <c r="P964" s="25">
        <f>SQRT(SUMPRODUCT(MMULT(I964:N964,'07 Annualised Inputs'!$B$17:$G$22),I964:N964))</f>
        <v/>
      </c>
      <c r="Q964" s="37">
        <f>(O964-'02 Config'!$B$10)/P964</f>
        <v/>
      </c>
    </row>
    <row r="965">
      <c r="A965" s="12" t="n">
        <v>960</v>
      </c>
      <c r="B965" s="36" t="n">
        <v>0.08590890494995851</v>
      </c>
      <c r="C965" s="36" t="n">
        <v>0.609488887089519</v>
      </c>
      <c r="D965" s="36" t="n">
        <v>0.1428696185408574</v>
      </c>
      <c r="E965" s="36" t="n">
        <v>0.4932093328677933</v>
      </c>
      <c r="F965" s="36" t="n">
        <v>0.2396857008411215</v>
      </c>
      <c r="G965" s="36" t="n">
        <v>0.05316117173472767</v>
      </c>
      <c r="H965" s="37">
        <f>SUM(B965:G965)</f>
        <v/>
      </c>
      <c r="I965" s="25">
        <f>B965/$H965</f>
        <v/>
      </c>
      <c r="J965" s="25">
        <f>C965/$H965</f>
        <v/>
      </c>
      <c r="K965" s="25">
        <f>D965/$H965</f>
        <v/>
      </c>
      <c r="L965" s="25">
        <f>E965/$H965</f>
        <v/>
      </c>
      <c r="M965" s="25">
        <f>F965/$H965</f>
        <v/>
      </c>
      <c r="N965" s="25">
        <f>G965/$H965</f>
        <v/>
      </c>
      <c r="O965" s="25">
        <f>SUM(MMULT(I965:N965,'07 Annualised Inputs'!$D$7:$D$12))</f>
        <v/>
      </c>
      <c r="P965" s="25">
        <f>SQRT(SUMPRODUCT(MMULT(I965:N965,'07 Annualised Inputs'!$B$17:$G$22),I965:N965))</f>
        <v/>
      </c>
      <c r="Q965" s="37">
        <f>(O965-'02 Config'!$B$10)/P965</f>
        <v/>
      </c>
    </row>
    <row r="966">
      <c r="A966" s="12" t="n">
        <v>961</v>
      </c>
      <c r="B966" s="36" t="n">
        <v>0.08001942552660957</v>
      </c>
      <c r="C966" s="36" t="n">
        <v>0.9108929497299082</v>
      </c>
      <c r="D966" s="36" t="n">
        <v>0.7446459642015341</v>
      </c>
      <c r="E966" s="36" t="n">
        <v>0.9318239817729504</v>
      </c>
      <c r="F966" s="36" t="n">
        <v>0.4699899323335527</v>
      </c>
      <c r="G966" s="36" t="n">
        <v>0.4132924989528043</v>
      </c>
      <c r="H966" s="37">
        <f>SUM(B966:G966)</f>
        <v/>
      </c>
      <c r="I966" s="25">
        <f>B966/$H966</f>
        <v/>
      </c>
      <c r="J966" s="25">
        <f>C966/$H966</f>
        <v/>
      </c>
      <c r="K966" s="25">
        <f>D966/$H966</f>
        <v/>
      </c>
      <c r="L966" s="25">
        <f>E966/$H966</f>
        <v/>
      </c>
      <c r="M966" s="25">
        <f>F966/$H966</f>
        <v/>
      </c>
      <c r="N966" s="25">
        <f>G966/$H966</f>
        <v/>
      </c>
      <c r="O966" s="25">
        <f>SUM(MMULT(I966:N966,'07 Annualised Inputs'!$D$7:$D$12))</f>
        <v/>
      </c>
      <c r="P966" s="25">
        <f>SQRT(SUMPRODUCT(MMULT(I966:N966,'07 Annualised Inputs'!$B$17:$G$22),I966:N966))</f>
        <v/>
      </c>
      <c r="Q966" s="37">
        <f>(O966-'02 Config'!$B$10)/P966</f>
        <v/>
      </c>
    </row>
    <row r="967">
      <c r="A967" s="12" t="n">
        <v>962</v>
      </c>
      <c r="B967" s="36" t="n">
        <v>0.3584072925020956</v>
      </c>
      <c r="C967" s="36" t="n">
        <v>0.61630709605209</v>
      </c>
      <c r="D967" s="36" t="n">
        <v>0.3515593869713336</v>
      </c>
      <c r="E967" s="36" t="n">
        <v>0.7462732339820062</v>
      </c>
      <c r="F967" s="36" t="n">
        <v>0.8013173262158622</v>
      </c>
      <c r="G967" s="36" t="n">
        <v>0.875844593429381</v>
      </c>
      <c r="H967" s="37">
        <f>SUM(B967:G967)</f>
        <v/>
      </c>
      <c r="I967" s="25">
        <f>B967/$H967</f>
        <v/>
      </c>
      <c r="J967" s="25">
        <f>C967/$H967</f>
        <v/>
      </c>
      <c r="K967" s="25">
        <f>D967/$H967</f>
        <v/>
      </c>
      <c r="L967" s="25">
        <f>E967/$H967</f>
        <v/>
      </c>
      <c r="M967" s="25">
        <f>F967/$H967</f>
        <v/>
      </c>
      <c r="N967" s="25">
        <f>G967/$H967</f>
        <v/>
      </c>
      <c r="O967" s="25">
        <f>SUM(MMULT(I967:N967,'07 Annualised Inputs'!$D$7:$D$12))</f>
        <v/>
      </c>
      <c r="P967" s="25">
        <f>SQRT(SUMPRODUCT(MMULT(I967:N967,'07 Annualised Inputs'!$B$17:$G$22),I967:N967))</f>
        <v/>
      </c>
      <c r="Q967" s="37">
        <f>(O967-'02 Config'!$B$10)/P967</f>
        <v/>
      </c>
    </row>
    <row r="968">
      <c r="A968" s="12" t="n">
        <v>963</v>
      </c>
      <c r="B968" s="36" t="n">
        <v>0.2428009302452773</v>
      </c>
      <c r="C968" s="36" t="n">
        <v>0.5270220492923754</v>
      </c>
      <c r="D968" s="36" t="n">
        <v>0.2234446167298388</v>
      </c>
      <c r="E968" s="36" t="n">
        <v>0.03755582342034114</v>
      </c>
      <c r="F968" s="36" t="n">
        <v>0.7078253041698377</v>
      </c>
      <c r="G968" s="36" t="n">
        <v>0.5489812739351246</v>
      </c>
      <c r="H968" s="37">
        <f>SUM(B968:G968)</f>
        <v/>
      </c>
      <c r="I968" s="25">
        <f>B968/$H968</f>
        <v/>
      </c>
      <c r="J968" s="25">
        <f>C968/$H968</f>
        <v/>
      </c>
      <c r="K968" s="25">
        <f>D968/$H968</f>
        <v/>
      </c>
      <c r="L968" s="25">
        <f>E968/$H968</f>
        <v/>
      </c>
      <c r="M968" s="25">
        <f>F968/$H968</f>
        <v/>
      </c>
      <c r="N968" s="25">
        <f>G968/$H968</f>
        <v/>
      </c>
      <c r="O968" s="25">
        <f>SUM(MMULT(I968:N968,'07 Annualised Inputs'!$D$7:$D$12))</f>
        <v/>
      </c>
      <c r="P968" s="25">
        <f>SQRT(SUMPRODUCT(MMULT(I968:N968,'07 Annualised Inputs'!$B$17:$G$22),I968:N968))</f>
        <v/>
      </c>
      <c r="Q968" s="37">
        <f>(O968-'02 Config'!$B$10)/P968</f>
        <v/>
      </c>
    </row>
    <row r="969">
      <c r="A969" s="12" t="n">
        <v>964</v>
      </c>
      <c r="B969" s="36" t="n">
        <v>0.7239272795530837</v>
      </c>
      <c r="C969" s="36" t="n">
        <v>0.08762291140653711</v>
      </c>
      <c r="D969" s="36" t="n">
        <v>0.995526179061942</v>
      </c>
      <c r="E969" s="36" t="n">
        <v>0.994348566947032</v>
      </c>
      <c r="F969" s="36" t="n">
        <v>0.4649998255035127</v>
      </c>
      <c r="G969" s="36" t="n">
        <v>0.866058715183836</v>
      </c>
      <c r="H969" s="37">
        <f>SUM(B969:G969)</f>
        <v/>
      </c>
      <c r="I969" s="25">
        <f>B969/$H969</f>
        <v/>
      </c>
      <c r="J969" s="25">
        <f>C969/$H969</f>
        <v/>
      </c>
      <c r="K969" s="25">
        <f>D969/$H969</f>
        <v/>
      </c>
      <c r="L969" s="25">
        <f>E969/$H969</f>
        <v/>
      </c>
      <c r="M969" s="25">
        <f>F969/$H969</f>
        <v/>
      </c>
      <c r="N969" s="25">
        <f>G969/$H969</f>
        <v/>
      </c>
      <c r="O969" s="25">
        <f>SUM(MMULT(I969:N969,'07 Annualised Inputs'!$D$7:$D$12))</f>
        <v/>
      </c>
      <c r="P969" s="25">
        <f>SQRT(SUMPRODUCT(MMULT(I969:N969,'07 Annualised Inputs'!$B$17:$G$22),I969:N969))</f>
        <v/>
      </c>
      <c r="Q969" s="37">
        <f>(O969-'02 Config'!$B$10)/P969</f>
        <v/>
      </c>
    </row>
    <row r="970">
      <c r="A970" s="12" t="n">
        <v>965</v>
      </c>
      <c r="B970" s="36" t="n">
        <v>0.2435685558055568</v>
      </c>
      <c r="C970" s="36" t="n">
        <v>0.737566161223297</v>
      </c>
      <c r="D970" s="36" t="n">
        <v>0.8792258568135658</v>
      </c>
      <c r="E970" s="36" t="n">
        <v>0.8146662660807785</v>
      </c>
      <c r="F970" s="36" t="n">
        <v>0.8117740782411574</v>
      </c>
      <c r="G970" s="36" t="n">
        <v>0.4630266320888651</v>
      </c>
      <c r="H970" s="37">
        <f>SUM(B970:G970)</f>
        <v/>
      </c>
      <c r="I970" s="25">
        <f>B970/$H970</f>
        <v/>
      </c>
      <c r="J970" s="25">
        <f>C970/$H970</f>
        <v/>
      </c>
      <c r="K970" s="25">
        <f>D970/$H970</f>
        <v/>
      </c>
      <c r="L970" s="25">
        <f>E970/$H970</f>
        <v/>
      </c>
      <c r="M970" s="25">
        <f>F970/$H970</f>
        <v/>
      </c>
      <c r="N970" s="25">
        <f>G970/$H970</f>
        <v/>
      </c>
      <c r="O970" s="25">
        <f>SUM(MMULT(I970:N970,'07 Annualised Inputs'!$D$7:$D$12))</f>
        <v/>
      </c>
      <c r="P970" s="25">
        <f>SQRT(SUMPRODUCT(MMULT(I970:N970,'07 Annualised Inputs'!$B$17:$G$22),I970:N970))</f>
        <v/>
      </c>
      <c r="Q970" s="37">
        <f>(O970-'02 Config'!$B$10)/P970</f>
        <v/>
      </c>
    </row>
    <row r="971">
      <c r="A971" s="12" t="n">
        <v>966</v>
      </c>
      <c r="B971" s="36" t="n">
        <v>0.8199899477787728</v>
      </c>
      <c r="C971" s="36" t="n">
        <v>0.6907048130213005</v>
      </c>
      <c r="D971" s="36" t="n">
        <v>0.1324513981442044</v>
      </c>
      <c r="E971" s="36" t="n">
        <v>0.1141844040645201</v>
      </c>
      <c r="F971" s="36" t="n">
        <v>0.7719221359346399</v>
      </c>
      <c r="G971" s="36" t="n">
        <v>0.6254640887729238</v>
      </c>
      <c r="H971" s="37">
        <f>SUM(B971:G971)</f>
        <v/>
      </c>
      <c r="I971" s="25">
        <f>B971/$H971</f>
        <v/>
      </c>
      <c r="J971" s="25">
        <f>C971/$H971</f>
        <v/>
      </c>
      <c r="K971" s="25">
        <f>D971/$H971</f>
        <v/>
      </c>
      <c r="L971" s="25">
        <f>E971/$H971</f>
        <v/>
      </c>
      <c r="M971" s="25">
        <f>F971/$H971</f>
        <v/>
      </c>
      <c r="N971" s="25">
        <f>G971/$H971</f>
        <v/>
      </c>
      <c r="O971" s="25">
        <f>SUM(MMULT(I971:N971,'07 Annualised Inputs'!$D$7:$D$12))</f>
        <v/>
      </c>
      <c r="P971" s="25">
        <f>SQRT(SUMPRODUCT(MMULT(I971:N971,'07 Annualised Inputs'!$B$17:$G$22),I971:N971))</f>
        <v/>
      </c>
      <c r="Q971" s="37">
        <f>(O971-'02 Config'!$B$10)/P971</f>
        <v/>
      </c>
    </row>
    <row r="972">
      <c r="A972" s="12" t="n">
        <v>967</v>
      </c>
      <c r="B972" s="36" t="n">
        <v>0.5193761171913774</v>
      </c>
      <c r="C972" s="36" t="n">
        <v>0.9072617908488282</v>
      </c>
      <c r="D972" s="36" t="n">
        <v>0.6595903568712186</v>
      </c>
      <c r="E972" s="36" t="n">
        <v>0.3961467450883002</v>
      </c>
      <c r="F972" s="36" t="n">
        <v>0.4139318081761838</v>
      </c>
      <c r="G972" s="36" t="n">
        <v>0.6052443608175849</v>
      </c>
      <c r="H972" s="37">
        <f>SUM(B972:G972)</f>
        <v/>
      </c>
      <c r="I972" s="25">
        <f>B972/$H972</f>
        <v/>
      </c>
      <c r="J972" s="25">
        <f>C972/$H972</f>
        <v/>
      </c>
      <c r="K972" s="25">
        <f>D972/$H972</f>
        <v/>
      </c>
      <c r="L972" s="25">
        <f>E972/$H972</f>
        <v/>
      </c>
      <c r="M972" s="25">
        <f>F972/$H972</f>
        <v/>
      </c>
      <c r="N972" s="25">
        <f>G972/$H972</f>
        <v/>
      </c>
      <c r="O972" s="25">
        <f>SUM(MMULT(I972:N972,'07 Annualised Inputs'!$D$7:$D$12))</f>
        <v/>
      </c>
      <c r="P972" s="25">
        <f>SQRT(SUMPRODUCT(MMULT(I972:N972,'07 Annualised Inputs'!$B$17:$G$22),I972:N972))</f>
        <v/>
      </c>
      <c r="Q972" s="37">
        <f>(O972-'02 Config'!$B$10)/P972</f>
        <v/>
      </c>
    </row>
    <row r="973">
      <c r="A973" s="12" t="n">
        <v>968</v>
      </c>
      <c r="B973" s="36" t="n">
        <v>0.7602752846863484</v>
      </c>
      <c r="C973" s="36" t="n">
        <v>0.5643533069491241</v>
      </c>
      <c r="D973" s="36" t="n">
        <v>0.5087608822191797</v>
      </c>
      <c r="E973" s="36" t="n">
        <v>0.7269007026541818</v>
      </c>
      <c r="F973" s="36" t="n">
        <v>0.7052645499070364</v>
      </c>
      <c r="G973" s="36" t="n">
        <v>0.830346840613561</v>
      </c>
      <c r="H973" s="37">
        <f>SUM(B973:G973)</f>
        <v/>
      </c>
      <c r="I973" s="25">
        <f>B973/$H973</f>
        <v/>
      </c>
      <c r="J973" s="25">
        <f>C973/$H973</f>
        <v/>
      </c>
      <c r="K973" s="25">
        <f>D973/$H973</f>
        <v/>
      </c>
      <c r="L973" s="25">
        <f>E973/$H973</f>
        <v/>
      </c>
      <c r="M973" s="25">
        <f>F973/$H973</f>
        <v/>
      </c>
      <c r="N973" s="25">
        <f>G973/$H973</f>
        <v/>
      </c>
      <c r="O973" s="25">
        <f>SUM(MMULT(I973:N973,'07 Annualised Inputs'!$D$7:$D$12))</f>
        <v/>
      </c>
      <c r="P973" s="25">
        <f>SQRT(SUMPRODUCT(MMULT(I973:N973,'07 Annualised Inputs'!$B$17:$G$22),I973:N973))</f>
        <v/>
      </c>
      <c r="Q973" s="37">
        <f>(O973-'02 Config'!$B$10)/P973</f>
        <v/>
      </c>
    </row>
    <row r="974">
      <c r="A974" s="12" t="n">
        <v>969</v>
      </c>
      <c r="B974" s="36" t="n">
        <v>0.06255178627729441</v>
      </c>
      <c r="C974" s="36" t="n">
        <v>0.7549521320819789</v>
      </c>
      <c r="D974" s="36" t="n">
        <v>0.51376045095169</v>
      </c>
      <c r="E974" s="36" t="n">
        <v>0.07469312003315187</v>
      </c>
      <c r="F974" s="36" t="n">
        <v>0.6790100281695197</v>
      </c>
      <c r="G974" s="36" t="n">
        <v>0.7165401940019428</v>
      </c>
      <c r="H974" s="37">
        <f>SUM(B974:G974)</f>
        <v/>
      </c>
      <c r="I974" s="25">
        <f>B974/$H974</f>
        <v/>
      </c>
      <c r="J974" s="25">
        <f>C974/$H974</f>
        <v/>
      </c>
      <c r="K974" s="25">
        <f>D974/$H974</f>
        <v/>
      </c>
      <c r="L974" s="25">
        <f>E974/$H974</f>
        <v/>
      </c>
      <c r="M974" s="25">
        <f>F974/$H974</f>
        <v/>
      </c>
      <c r="N974" s="25">
        <f>G974/$H974</f>
        <v/>
      </c>
      <c r="O974" s="25">
        <f>SUM(MMULT(I974:N974,'07 Annualised Inputs'!$D$7:$D$12))</f>
        <v/>
      </c>
      <c r="P974" s="25">
        <f>SQRT(SUMPRODUCT(MMULT(I974:N974,'07 Annualised Inputs'!$B$17:$G$22),I974:N974))</f>
        <v/>
      </c>
      <c r="Q974" s="37">
        <f>(O974-'02 Config'!$B$10)/P974</f>
        <v/>
      </c>
    </row>
    <row r="975">
      <c r="A975" s="12" t="n">
        <v>970</v>
      </c>
      <c r="B975" s="36" t="n">
        <v>0.5236271695446845</v>
      </c>
      <c r="C975" s="36" t="n">
        <v>0.7937989776497628</v>
      </c>
      <c r="D975" s="36" t="n">
        <v>0.3002481086293015</v>
      </c>
      <c r="E975" s="36" t="n">
        <v>0.2019072185314361</v>
      </c>
      <c r="F975" s="36" t="n">
        <v>0.3507339517432785</v>
      </c>
      <c r="G975" s="36" t="n">
        <v>0.4100505132959775</v>
      </c>
      <c r="H975" s="37">
        <f>SUM(B975:G975)</f>
        <v/>
      </c>
      <c r="I975" s="25">
        <f>B975/$H975</f>
        <v/>
      </c>
      <c r="J975" s="25">
        <f>C975/$H975</f>
        <v/>
      </c>
      <c r="K975" s="25">
        <f>D975/$H975</f>
        <v/>
      </c>
      <c r="L975" s="25">
        <f>E975/$H975</f>
        <v/>
      </c>
      <c r="M975" s="25">
        <f>F975/$H975</f>
        <v/>
      </c>
      <c r="N975" s="25">
        <f>G975/$H975</f>
        <v/>
      </c>
      <c r="O975" s="25">
        <f>SUM(MMULT(I975:N975,'07 Annualised Inputs'!$D$7:$D$12))</f>
        <v/>
      </c>
      <c r="P975" s="25">
        <f>SQRT(SUMPRODUCT(MMULT(I975:N975,'07 Annualised Inputs'!$B$17:$G$22),I975:N975))</f>
        <v/>
      </c>
      <c r="Q975" s="37">
        <f>(O975-'02 Config'!$B$10)/P975</f>
        <v/>
      </c>
    </row>
    <row r="976">
      <c r="A976" s="12" t="n">
        <v>971</v>
      </c>
      <c r="B976" s="36" t="n">
        <v>0.6959336024021688</v>
      </c>
      <c r="C976" s="36" t="n">
        <v>0.8455199378782277</v>
      </c>
      <c r="D976" s="36" t="n">
        <v>0.7209181900786765</v>
      </c>
      <c r="E976" s="36" t="n">
        <v>0.1739875590696015</v>
      </c>
      <c r="F976" s="36" t="n">
        <v>0.3662170848002574</v>
      </c>
      <c r="G976" s="36" t="n">
        <v>0.158413713447778</v>
      </c>
      <c r="H976" s="37">
        <f>SUM(B976:G976)</f>
        <v/>
      </c>
      <c r="I976" s="25">
        <f>B976/$H976</f>
        <v/>
      </c>
      <c r="J976" s="25">
        <f>C976/$H976</f>
        <v/>
      </c>
      <c r="K976" s="25">
        <f>D976/$H976</f>
        <v/>
      </c>
      <c r="L976" s="25">
        <f>E976/$H976</f>
        <v/>
      </c>
      <c r="M976" s="25">
        <f>F976/$H976</f>
        <v/>
      </c>
      <c r="N976" s="25">
        <f>G976/$H976</f>
        <v/>
      </c>
      <c r="O976" s="25">
        <f>SUM(MMULT(I976:N976,'07 Annualised Inputs'!$D$7:$D$12))</f>
        <v/>
      </c>
      <c r="P976" s="25">
        <f>SQRT(SUMPRODUCT(MMULT(I976:N976,'07 Annualised Inputs'!$B$17:$G$22),I976:N976))</f>
        <v/>
      </c>
      <c r="Q976" s="37">
        <f>(O976-'02 Config'!$B$10)/P976</f>
        <v/>
      </c>
    </row>
    <row r="977">
      <c r="A977" s="12" t="n">
        <v>972</v>
      </c>
      <c r="B977" s="36" t="n">
        <v>0.6867241995580513</v>
      </c>
      <c r="C977" s="36" t="n">
        <v>0.2481718782168941</v>
      </c>
      <c r="D977" s="36" t="n">
        <v>0.5253869328518468</v>
      </c>
      <c r="E977" s="36" t="n">
        <v>0.7918298431946843</v>
      </c>
      <c r="F977" s="36" t="n">
        <v>0.6709392749216151</v>
      </c>
      <c r="G977" s="36" t="n">
        <v>0.2983739906651327</v>
      </c>
      <c r="H977" s="37">
        <f>SUM(B977:G977)</f>
        <v/>
      </c>
      <c r="I977" s="25">
        <f>B977/$H977</f>
        <v/>
      </c>
      <c r="J977" s="25">
        <f>C977/$H977</f>
        <v/>
      </c>
      <c r="K977" s="25">
        <f>D977/$H977</f>
        <v/>
      </c>
      <c r="L977" s="25">
        <f>E977/$H977</f>
        <v/>
      </c>
      <c r="M977" s="25">
        <f>F977/$H977</f>
        <v/>
      </c>
      <c r="N977" s="25">
        <f>G977/$H977</f>
        <v/>
      </c>
      <c r="O977" s="25">
        <f>SUM(MMULT(I977:N977,'07 Annualised Inputs'!$D$7:$D$12))</f>
        <v/>
      </c>
      <c r="P977" s="25">
        <f>SQRT(SUMPRODUCT(MMULT(I977:N977,'07 Annualised Inputs'!$B$17:$G$22),I977:N977))</f>
        <v/>
      </c>
      <c r="Q977" s="37">
        <f>(O977-'02 Config'!$B$10)/P977</f>
        <v/>
      </c>
    </row>
    <row r="978">
      <c r="A978" s="12" t="n">
        <v>973</v>
      </c>
      <c r="B978" s="36" t="n">
        <v>0.3328667506163409</v>
      </c>
      <c r="C978" s="36" t="n">
        <v>0.6533642866030318</v>
      </c>
      <c r="D978" s="36" t="n">
        <v>0.5494677493399441</v>
      </c>
      <c r="E978" s="36" t="n">
        <v>0.09639348747004439</v>
      </c>
      <c r="F978" s="36" t="n">
        <v>0.8739915892735461</v>
      </c>
      <c r="G978" s="36" t="n">
        <v>0.5126132480536286</v>
      </c>
      <c r="H978" s="37">
        <f>SUM(B978:G978)</f>
        <v/>
      </c>
      <c r="I978" s="25">
        <f>B978/$H978</f>
        <v/>
      </c>
      <c r="J978" s="25">
        <f>C978/$H978</f>
        <v/>
      </c>
      <c r="K978" s="25">
        <f>D978/$H978</f>
        <v/>
      </c>
      <c r="L978" s="25">
        <f>E978/$H978</f>
        <v/>
      </c>
      <c r="M978" s="25">
        <f>F978/$H978</f>
        <v/>
      </c>
      <c r="N978" s="25">
        <f>G978/$H978</f>
        <v/>
      </c>
      <c r="O978" s="25">
        <f>SUM(MMULT(I978:N978,'07 Annualised Inputs'!$D$7:$D$12))</f>
        <v/>
      </c>
      <c r="P978" s="25">
        <f>SQRT(SUMPRODUCT(MMULT(I978:N978,'07 Annualised Inputs'!$B$17:$G$22),I978:N978))</f>
        <v/>
      </c>
      <c r="Q978" s="37">
        <f>(O978-'02 Config'!$B$10)/P978</f>
        <v/>
      </c>
    </row>
    <row r="979">
      <c r="A979" s="12" t="n">
        <v>974</v>
      </c>
      <c r="B979" s="36" t="n">
        <v>0.4733610131974654</v>
      </c>
      <c r="C979" s="36" t="n">
        <v>0.1984393366322623</v>
      </c>
      <c r="D979" s="36" t="n">
        <v>0.3769938189705373</v>
      </c>
      <c r="E979" s="36" t="n">
        <v>0.3328248623150991</v>
      </c>
      <c r="F979" s="36" t="n">
        <v>0.2707356828294268</v>
      </c>
      <c r="G979" s="36" t="n">
        <v>0.5674065746467731</v>
      </c>
      <c r="H979" s="37">
        <f>SUM(B979:G979)</f>
        <v/>
      </c>
      <c r="I979" s="25">
        <f>B979/$H979</f>
        <v/>
      </c>
      <c r="J979" s="25">
        <f>C979/$H979</f>
        <v/>
      </c>
      <c r="K979" s="25">
        <f>D979/$H979</f>
        <v/>
      </c>
      <c r="L979" s="25">
        <f>E979/$H979</f>
        <v/>
      </c>
      <c r="M979" s="25">
        <f>F979/$H979</f>
        <v/>
      </c>
      <c r="N979" s="25">
        <f>G979/$H979</f>
        <v/>
      </c>
      <c r="O979" s="25">
        <f>SUM(MMULT(I979:N979,'07 Annualised Inputs'!$D$7:$D$12))</f>
        <v/>
      </c>
      <c r="P979" s="25">
        <f>SQRT(SUMPRODUCT(MMULT(I979:N979,'07 Annualised Inputs'!$B$17:$G$22),I979:N979))</f>
        <v/>
      </c>
      <c r="Q979" s="37">
        <f>(O979-'02 Config'!$B$10)/P979</f>
        <v/>
      </c>
    </row>
    <row r="980">
      <c r="A980" s="12" t="n">
        <v>975</v>
      </c>
      <c r="B980" s="36" t="n">
        <v>0.462275360280282</v>
      </c>
      <c r="C980" s="36" t="n">
        <v>0.8891976853146673</v>
      </c>
      <c r="D980" s="36" t="n">
        <v>0.9413439770471609</v>
      </c>
      <c r="E980" s="36" t="n">
        <v>0.2194734292280909</v>
      </c>
      <c r="F980" s="36" t="n">
        <v>0.1001054287672105</v>
      </c>
      <c r="G980" s="36" t="n">
        <v>0.7853375514877494</v>
      </c>
      <c r="H980" s="37">
        <f>SUM(B980:G980)</f>
        <v/>
      </c>
      <c r="I980" s="25">
        <f>B980/$H980</f>
        <v/>
      </c>
      <c r="J980" s="25">
        <f>C980/$H980</f>
        <v/>
      </c>
      <c r="K980" s="25">
        <f>D980/$H980</f>
        <v/>
      </c>
      <c r="L980" s="25">
        <f>E980/$H980</f>
        <v/>
      </c>
      <c r="M980" s="25">
        <f>F980/$H980</f>
        <v/>
      </c>
      <c r="N980" s="25">
        <f>G980/$H980</f>
        <v/>
      </c>
      <c r="O980" s="25">
        <f>SUM(MMULT(I980:N980,'07 Annualised Inputs'!$D$7:$D$12))</f>
        <v/>
      </c>
      <c r="P980" s="25">
        <f>SQRT(SUMPRODUCT(MMULT(I980:N980,'07 Annualised Inputs'!$B$17:$G$22),I980:N980))</f>
        <v/>
      </c>
      <c r="Q980" s="37">
        <f>(O980-'02 Config'!$B$10)/P980</f>
        <v/>
      </c>
    </row>
    <row r="981">
      <c r="A981" s="12" t="n">
        <v>976</v>
      </c>
      <c r="B981" s="36" t="n">
        <v>0.994861403638609</v>
      </c>
      <c r="C981" s="36" t="n">
        <v>0.8636000698541542</v>
      </c>
      <c r="D981" s="36" t="n">
        <v>0.02369740211873472</v>
      </c>
      <c r="E981" s="36" t="n">
        <v>0.251263550706466</v>
      </c>
      <c r="F981" s="36" t="n">
        <v>0.04334227704126392</v>
      </c>
      <c r="G981" s="36" t="n">
        <v>0.8207793770411665</v>
      </c>
      <c r="H981" s="37">
        <f>SUM(B981:G981)</f>
        <v/>
      </c>
      <c r="I981" s="25">
        <f>B981/$H981</f>
        <v/>
      </c>
      <c r="J981" s="25">
        <f>C981/$H981</f>
        <v/>
      </c>
      <c r="K981" s="25">
        <f>D981/$H981</f>
        <v/>
      </c>
      <c r="L981" s="25">
        <f>E981/$H981</f>
        <v/>
      </c>
      <c r="M981" s="25">
        <f>F981/$H981</f>
        <v/>
      </c>
      <c r="N981" s="25">
        <f>G981/$H981</f>
        <v/>
      </c>
      <c r="O981" s="25">
        <f>SUM(MMULT(I981:N981,'07 Annualised Inputs'!$D$7:$D$12))</f>
        <v/>
      </c>
      <c r="P981" s="25">
        <f>SQRT(SUMPRODUCT(MMULT(I981:N981,'07 Annualised Inputs'!$B$17:$G$22),I981:N981))</f>
        <v/>
      </c>
      <c r="Q981" s="37">
        <f>(O981-'02 Config'!$B$10)/P981</f>
        <v/>
      </c>
    </row>
    <row r="982">
      <c r="A982" s="12" t="n">
        <v>977</v>
      </c>
      <c r="B982" s="36" t="n">
        <v>0.5814069762923163</v>
      </c>
      <c r="C982" s="36" t="n">
        <v>0.5137185411670538</v>
      </c>
      <c r="D982" s="36" t="n">
        <v>0.5544498819965276</v>
      </c>
      <c r="E982" s="36" t="n">
        <v>0.2524512586965911</v>
      </c>
      <c r="F982" s="36" t="n">
        <v>0.6016383691388628</v>
      </c>
      <c r="G982" s="36" t="n">
        <v>0.03066697846402999</v>
      </c>
      <c r="H982" s="37">
        <f>SUM(B982:G982)</f>
        <v/>
      </c>
      <c r="I982" s="25">
        <f>B982/$H982</f>
        <v/>
      </c>
      <c r="J982" s="25">
        <f>C982/$H982</f>
        <v/>
      </c>
      <c r="K982" s="25">
        <f>D982/$H982</f>
        <v/>
      </c>
      <c r="L982" s="25">
        <f>E982/$H982</f>
        <v/>
      </c>
      <c r="M982" s="25">
        <f>F982/$H982</f>
        <v/>
      </c>
      <c r="N982" s="25">
        <f>G982/$H982</f>
        <v/>
      </c>
      <c r="O982" s="25">
        <f>SUM(MMULT(I982:N982,'07 Annualised Inputs'!$D$7:$D$12))</f>
        <v/>
      </c>
      <c r="P982" s="25">
        <f>SQRT(SUMPRODUCT(MMULT(I982:N982,'07 Annualised Inputs'!$B$17:$G$22),I982:N982))</f>
        <v/>
      </c>
      <c r="Q982" s="37">
        <f>(O982-'02 Config'!$B$10)/P982</f>
        <v/>
      </c>
    </row>
    <row r="983">
      <c r="A983" s="12" t="n">
        <v>978</v>
      </c>
      <c r="B983" s="36" t="n">
        <v>0.6460117239708396</v>
      </c>
      <c r="C983" s="36" t="n">
        <v>0.7344338301788308</v>
      </c>
      <c r="D983" s="36" t="n">
        <v>0.6730262637118272</v>
      </c>
      <c r="E983" s="36" t="n">
        <v>0.3321175183122203</v>
      </c>
      <c r="F983" s="36" t="n">
        <v>0.8262629151275427</v>
      </c>
      <c r="G983" s="36" t="n">
        <v>0.7155439971174821</v>
      </c>
      <c r="H983" s="37">
        <f>SUM(B983:G983)</f>
        <v/>
      </c>
      <c r="I983" s="25">
        <f>B983/$H983</f>
        <v/>
      </c>
      <c r="J983" s="25">
        <f>C983/$H983</f>
        <v/>
      </c>
      <c r="K983" s="25">
        <f>D983/$H983</f>
        <v/>
      </c>
      <c r="L983" s="25">
        <f>E983/$H983</f>
        <v/>
      </c>
      <c r="M983" s="25">
        <f>F983/$H983</f>
        <v/>
      </c>
      <c r="N983" s="25">
        <f>G983/$H983</f>
        <v/>
      </c>
      <c r="O983" s="25">
        <f>SUM(MMULT(I983:N983,'07 Annualised Inputs'!$D$7:$D$12))</f>
        <v/>
      </c>
      <c r="P983" s="25">
        <f>SQRT(SUMPRODUCT(MMULT(I983:N983,'07 Annualised Inputs'!$B$17:$G$22),I983:N983))</f>
        <v/>
      </c>
      <c r="Q983" s="37">
        <f>(O983-'02 Config'!$B$10)/P983</f>
        <v/>
      </c>
    </row>
    <row r="984">
      <c r="A984" s="12" t="n">
        <v>979</v>
      </c>
      <c r="B984" s="36" t="n">
        <v>0.1282973229242779</v>
      </c>
      <c r="C984" s="36" t="n">
        <v>0.195144220538315</v>
      </c>
      <c r="D984" s="36" t="n">
        <v>0.6371084131782386</v>
      </c>
      <c r="E984" s="36" t="n">
        <v>0.2894161335560261</v>
      </c>
      <c r="F984" s="36" t="n">
        <v>0.119432941446237</v>
      </c>
      <c r="G984" s="36" t="n">
        <v>0.1549689931498922</v>
      </c>
      <c r="H984" s="37">
        <f>SUM(B984:G984)</f>
        <v/>
      </c>
      <c r="I984" s="25">
        <f>B984/$H984</f>
        <v/>
      </c>
      <c r="J984" s="25">
        <f>C984/$H984</f>
        <v/>
      </c>
      <c r="K984" s="25">
        <f>D984/$H984</f>
        <v/>
      </c>
      <c r="L984" s="25">
        <f>E984/$H984</f>
        <v/>
      </c>
      <c r="M984" s="25">
        <f>F984/$H984</f>
        <v/>
      </c>
      <c r="N984" s="25">
        <f>G984/$H984</f>
        <v/>
      </c>
      <c r="O984" s="25">
        <f>SUM(MMULT(I984:N984,'07 Annualised Inputs'!$D$7:$D$12))</f>
        <v/>
      </c>
      <c r="P984" s="25">
        <f>SQRT(SUMPRODUCT(MMULT(I984:N984,'07 Annualised Inputs'!$B$17:$G$22),I984:N984))</f>
        <v/>
      </c>
      <c r="Q984" s="37">
        <f>(O984-'02 Config'!$B$10)/P984</f>
        <v/>
      </c>
    </row>
    <row r="985">
      <c r="A985" s="12" t="n">
        <v>980</v>
      </c>
      <c r="B985" s="36" t="n">
        <v>0.1656171805404006</v>
      </c>
      <c r="C985" s="36" t="n">
        <v>0.4777909068183822</v>
      </c>
      <c r="D985" s="36" t="n">
        <v>0.6073854534294973</v>
      </c>
      <c r="E985" s="36" t="n">
        <v>0.176402274854415</v>
      </c>
      <c r="F985" s="36" t="n">
        <v>0.7124966103632211</v>
      </c>
      <c r="G985" s="36" t="n">
        <v>0.2810126075015285</v>
      </c>
      <c r="H985" s="37">
        <f>SUM(B985:G985)</f>
        <v/>
      </c>
      <c r="I985" s="25">
        <f>B985/$H985</f>
        <v/>
      </c>
      <c r="J985" s="25">
        <f>C985/$H985</f>
        <v/>
      </c>
      <c r="K985" s="25">
        <f>D985/$H985</f>
        <v/>
      </c>
      <c r="L985" s="25">
        <f>E985/$H985</f>
        <v/>
      </c>
      <c r="M985" s="25">
        <f>F985/$H985</f>
        <v/>
      </c>
      <c r="N985" s="25">
        <f>G985/$H985</f>
        <v/>
      </c>
      <c r="O985" s="25">
        <f>SUM(MMULT(I985:N985,'07 Annualised Inputs'!$D$7:$D$12))</f>
        <v/>
      </c>
      <c r="P985" s="25">
        <f>SQRT(SUMPRODUCT(MMULT(I985:N985,'07 Annualised Inputs'!$B$17:$G$22),I985:N985))</f>
        <v/>
      </c>
      <c r="Q985" s="37">
        <f>(O985-'02 Config'!$B$10)/P985</f>
        <v/>
      </c>
    </row>
    <row r="986">
      <c r="A986" s="12" t="n">
        <v>981</v>
      </c>
      <c r="B986" s="36" t="n">
        <v>0.3115581383939608</v>
      </c>
      <c r="C986" s="36" t="n">
        <v>0.2234986210741076</v>
      </c>
      <c r="D986" s="36" t="n">
        <v>0.785206135943191</v>
      </c>
      <c r="E986" s="36" t="n">
        <v>0.9598138329368771</v>
      </c>
      <c r="F986" s="36" t="n">
        <v>0.4924998486780927</v>
      </c>
      <c r="G986" s="36" t="n">
        <v>0.0420306414319922</v>
      </c>
      <c r="H986" s="37">
        <f>SUM(B986:G986)</f>
        <v/>
      </c>
      <c r="I986" s="25">
        <f>B986/$H986</f>
        <v/>
      </c>
      <c r="J986" s="25">
        <f>C986/$H986</f>
        <v/>
      </c>
      <c r="K986" s="25">
        <f>D986/$H986</f>
        <v/>
      </c>
      <c r="L986" s="25">
        <f>E986/$H986</f>
        <v/>
      </c>
      <c r="M986" s="25">
        <f>F986/$H986</f>
        <v/>
      </c>
      <c r="N986" s="25">
        <f>G986/$H986</f>
        <v/>
      </c>
      <c r="O986" s="25">
        <f>SUM(MMULT(I986:N986,'07 Annualised Inputs'!$D$7:$D$12))</f>
        <v/>
      </c>
      <c r="P986" s="25">
        <f>SQRT(SUMPRODUCT(MMULT(I986:N986,'07 Annualised Inputs'!$B$17:$G$22),I986:N986))</f>
        <v/>
      </c>
      <c r="Q986" s="37">
        <f>(O986-'02 Config'!$B$10)/P986</f>
        <v/>
      </c>
    </row>
    <row r="987">
      <c r="A987" s="12" t="n">
        <v>982</v>
      </c>
      <c r="B987" s="36" t="n">
        <v>0.2605693164254759</v>
      </c>
      <c r="C987" s="36" t="n">
        <v>0.1580502911188461</v>
      </c>
      <c r="D987" s="36" t="n">
        <v>0.8427622848520179</v>
      </c>
      <c r="E987" s="36" t="n">
        <v>0.08485398743320516</v>
      </c>
      <c r="F987" s="36" t="n">
        <v>0.9664762406883838</v>
      </c>
      <c r="G987" s="36" t="n">
        <v>0.588513776624626</v>
      </c>
      <c r="H987" s="37">
        <f>SUM(B987:G987)</f>
        <v/>
      </c>
      <c r="I987" s="25">
        <f>B987/$H987</f>
        <v/>
      </c>
      <c r="J987" s="25">
        <f>C987/$H987</f>
        <v/>
      </c>
      <c r="K987" s="25">
        <f>D987/$H987</f>
        <v/>
      </c>
      <c r="L987" s="25">
        <f>E987/$H987</f>
        <v/>
      </c>
      <c r="M987" s="25">
        <f>F987/$H987</f>
        <v/>
      </c>
      <c r="N987" s="25">
        <f>G987/$H987</f>
        <v/>
      </c>
      <c r="O987" s="25">
        <f>SUM(MMULT(I987:N987,'07 Annualised Inputs'!$D$7:$D$12))</f>
        <v/>
      </c>
      <c r="P987" s="25">
        <f>SQRT(SUMPRODUCT(MMULT(I987:N987,'07 Annualised Inputs'!$B$17:$G$22),I987:N987))</f>
        <v/>
      </c>
      <c r="Q987" s="37">
        <f>(O987-'02 Config'!$B$10)/P987</f>
        <v/>
      </c>
    </row>
    <row r="988">
      <c r="A988" s="12" t="n">
        <v>983</v>
      </c>
      <c r="B988" s="36" t="n">
        <v>0.5177397870741632</v>
      </c>
      <c r="C988" s="36" t="n">
        <v>0.8473506224191868</v>
      </c>
      <c r="D988" s="36" t="n">
        <v>0.02754762129145616</v>
      </c>
      <c r="E988" s="36" t="n">
        <v>0.7771527494070096</v>
      </c>
      <c r="F988" s="36" t="n">
        <v>0.1166040455685166</v>
      </c>
      <c r="G988" s="36" t="n">
        <v>0.8407780989404321</v>
      </c>
      <c r="H988" s="37">
        <f>SUM(B988:G988)</f>
        <v/>
      </c>
      <c r="I988" s="25">
        <f>B988/$H988</f>
        <v/>
      </c>
      <c r="J988" s="25">
        <f>C988/$H988</f>
        <v/>
      </c>
      <c r="K988" s="25">
        <f>D988/$H988</f>
        <v/>
      </c>
      <c r="L988" s="25">
        <f>E988/$H988</f>
        <v/>
      </c>
      <c r="M988" s="25">
        <f>F988/$H988</f>
        <v/>
      </c>
      <c r="N988" s="25">
        <f>G988/$H988</f>
        <v/>
      </c>
      <c r="O988" s="25">
        <f>SUM(MMULT(I988:N988,'07 Annualised Inputs'!$D$7:$D$12))</f>
        <v/>
      </c>
      <c r="P988" s="25">
        <f>SQRT(SUMPRODUCT(MMULT(I988:N988,'07 Annualised Inputs'!$B$17:$G$22),I988:N988))</f>
        <v/>
      </c>
      <c r="Q988" s="37">
        <f>(O988-'02 Config'!$B$10)/P988</f>
        <v/>
      </c>
    </row>
    <row r="989">
      <c r="A989" s="12" t="n">
        <v>984</v>
      </c>
      <c r="B989" s="36" t="n">
        <v>0.5291762192378618</v>
      </c>
      <c r="C989" s="36" t="n">
        <v>0.06112940236009179</v>
      </c>
      <c r="D989" s="36" t="n">
        <v>0.8332450388013244</v>
      </c>
      <c r="E989" s="36" t="n">
        <v>0.02731411707125164</v>
      </c>
      <c r="F989" s="36" t="n">
        <v>0.1383706928936035</v>
      </c>
      <c r="G989" s="36" t="n">
        <v>0.7978245238266289</v>
      </c>
      <c r="H989" s="37">
        <f>SUM(B989:G989)</f>
        <v/>
      </c>
      <c r="I989" s="25">
        <f>B989/$H989</f>
        <v/>
      </c>
      <c r="J989" s="25">
        <f>C989/$H989</f>
        <v/>
      </c>
      <c r="K989" s="25">
        <f>D989/$H989</f>
        <v/>
      </c>
      <c r="L989" s="25">
        <f>E989/$H989</f>
        <v/>
      </c>
      <c r="M989" s="25">
        <f>F989/$H989</f>
        <v/>
      </c>
      <c r="N989" s="25">
        <f>G989/$H989</f>
        <v/>
      </c>
      <c r="O989" s="25">
        <f>SUM(MMULT(I989:N989,'07 Annualised Inputs'!$D$7:$D$12))</f>
        <v/>
      </c>
      <c r="P989" s="25">
        <f>SQRT(SUMPRODUCT(MMULT(I989:N989,'07 Annualised Inputs'!$B$17:$G$22),I989:N989))</f>
        <v/>
      </c>
      <c r="Q989" s="37">
        <f>(O989-'02 Config'!$B$10)/P989</f>
        <v/>
      </c>
    </row>
    <row r="990">
      <c r="A990" s="12" t="n">
        <v>985</v>
      </c>
      <c r="B990" s="36" t="n">
        <v>0.464871123857891</v>
      </c>
      <c r="C990" s="36" t="n">
        <v>0.8813887043548337</v>
      </c>
      <c r="D990" s="36" t="n">
        <v>0.6354292727910835</v>
      </c>
      <c r="E990" s="36" t="n">
        <v>0.623528754370408</v>
      </c>
      <c r="F990" s="36" t="n">
        <v>0.2922351061320149</v>
      </c>
      <c r="G990" s="36" t="n">
        <v>0.1336805235517335</v>
      </c>
      <c r="H990" s="37">
        <f>SUM(B990:G990)</f>
        <v/>
      </c>
      <c r="I990" s="25">
        <f>B990/$H990</f>
        <v/>
      </c>
      <c r="J990" s="25">
        <f>C990/$H990</f>
        <v/>
      </c>
      <c r="K990" s="25">
        <f>D990/$H990</f>
        <v/>
      </c>
      <c r="L990" s="25">
        <f>E990/$H990</f>
        <v/>
      </c>
      <c r="M990" s="25">
        <f>F990/$H990</f>
        <v/>
      </c>
      <c r="N990" s="25">
        <f>G990/$H990</f>
        <v/>
      </c>
      <c r="O990" s="25">
        <f>SUM(MMULT(I990:N990,'07 Annualised Inputs'!$D$7:$D$12))</f>
        <v/>
      </c>
      <c r="P990" s="25">
        <f>SQRT(SUMPRODUCT(MMULT(I990:N990,'07 Annualised Inputs'!$B$17:$G$22),I990:N990))</f>
        <v/>
      </c>
      <c r="Q990" s="37">
        <f>(O990-'02 Config'!$B$10)/P990</f>
        <v/>
      </c>
    </row>
    <row r="991">
      <c r="A991" s="12" t="n">
        <v>986</v>
      </c>
      <c r="B991" s="36" t="n">
        <v>0.9611723908966826</v>
      </c>
      <c r="C991" s="36" t="n">
        <v>0.1047976891433952</v>
      </c>
      <c r="D991" s="36" t="n">
        <v>0.5290106000735676</v>
      </c>
      <c r="E991" s="36" t="n">
        <v>0.2725685908347802</v>
      </c>
      <c r="F991" s="36" t="n">
        <v>0.2641406635814547</v>
      </c>
      <c r="G991" s="36" t="n">
        <v>0.5945862193028131</v>
      </c>
      <c r="H991" s="37">
        <f>SUM(B991:G991)</f>
        <v/>
      </c>
      <c r="I991" s="25">
        <f>B991/$H991</f>
        <v/>
      </c>
      <c r="J991" s="25">
        <f>C991/$H991</f>
        <v/>
      </c>
      <c r="K991" s="25">
        <f>D991/$H991</f>
        <v/>
      </c>
      <c r="L991" s="25">
        <f>E991/$H991</f>
        <v/>
      </c>
      <c r="M991" s="25">
        <f>F991/$H991</f>
        <v/>
      </c>
      <c r="N991" s="25">
        <f>G991/$H991</f>
        <v/>
      </c>
      <c r="O991" s="25">
        <f>SUM(MMULT(I991:N991,'07 Annualised Inputs'!$D$7:$D$12))</f>
        <v/>
      </c>
      <c r="P991" s="25">
        <f>SQRT(SUMPRODUCT(MMULT(I991:N991,'07 Annualised Inputs'!$B$17:$G$22),I991:N991))</f>
        <v/>
      </c>
      <c r="Q991" s="37">
        <f>(O991-'02 Config'!$B$10)/P991</f>
        <v/>
      </c>
    </row>
    <row r="992">
      <c r="A992" s="12" t="n">
        <v>987</v>
      </c>
      <c r="B992" s="36" t="n">
        <v>0.7979341171788689</v>
      </c>
      <c r="C992" s="36" t="n">
        <v>0.7771794828312787</v>
      </c>
      <c r="D992" s="36" t="n">
        <v>0.8688016891935535</v>
      </c>
      <c r="E992" s="36" t="n">
        <v>0.2929027379123671</v>
      </c>
      <c r="F992" s="36" t="n">
        <v>0.4657513817150738</v>
      </c>
      <c r="G992" s="36" t="n">
        <v>0.009334573220024955</v>
      </c>
      <c r="H992" s="37">
        <f>SUM(B992:G992)</f>
        <v/>
      </c>
      <c r="I992" s="25">
        <f>B992/$H992</f>
        <v/>
      </c>
      <c r="J992" s="25">
        <f>C992/$H992</f>
        <v/>
      </c>
      <c r="K992" s="25">
        <f>D992/$H992</f>
        <v/>
      </c>
      <c r="L992" s="25">
        <f>E992/$H992</f>
        <v/>
      </c>
      <c r="M992" s="25">
        <f>F992/$H992</f>
        <v/>
      </c>
      <c r="N992" s="25">
        <f>G992/$H992</f>
        <v/>
      </c>
      <c r="O992" s="25">
        <f>SUM(MMULT(I992:N992,'07 Annualised Inputs'!$D$7:$D$12))</f>
        <v/>
      </c>
      <c r="P992" s="25">
        <f>SQRT(SUMPRODUCT(MMULT(I992:N992,'07 Annualised Inputs'!$B$17:$G$22),I992:N992))</f>
        <v/>
      </c>
      <c r="Q992" s="37">
        <f>(O992-'02 Config'!$B$10)/P992</f>
        <v/>
      </c>
    </row>
    <row r="993">
      <c r="A993" s="12" t="n">
        <v>988</v>
      </c>
      <c r="B993" s="36" t="n">
        <v>0.7468576231363655</v>
      </c>
      <c r="C993" s="36" t="n">
        <v>0.302343112142283</v>
      </c>
      <c r="D993" s="36" t="n">
        <v>0.5614935332701865</v>
      </c>
      <c r="E993" s="36" t="n">
        <v>0.1693002820194507</v>
      </c>
      <c r="F993" s="36" t="n">
        <v>0.8193995071343285</v>
      </c>
      <c r="G993" s="36" t="n">
        <v>0.8172722192782778</v>
      </c>
      <c r="H993" s="37">
        <f>SUM(B993:G993)</f>
        <v/>
      </c>
      <c r="I993" s="25">
        <f>B993/$H993</f>
        <v/>
      </c>
      <c r="J993" s="25">
        <f>C993/$H993</f>
        <v/>
      </c>
      <c r="K993" s="25">
        <f>D993/$H993</f>
        <v/>
      </c>
      <c r="L993" s="25">
        <f>E993/$H993</f>
        <v/>
      </c>
      <c r="M993" s="25">
        <f>F993/$H993</f>
        <v/>
      </c>
      <c r="N993" s="25">
        <f>G993/$H993</f>
        <v/>
      </c>
      <c r="O993" s="25">
        <f>SUM(MMULT(I993:N993,'07 Annualised Inputs'!$D$7:$D$12))</f>
        <v/>
      </c>
      <c r="P993" s="25">
        <f>SQRT(SUMPRODUCT(MMULT(I993:N993,'07 Annualised Inputs'!$B$17:$G$22),I993:N993))</f>
        <v/>
      </c>
      <c r="Q993" s="37">
        <f>(O993-'02 Config'!$B$10)/P993</f>
        <v/>
      </c>
    </row>
    <row r="994">
      <c r="A994" s="12" t="n">
        <v>989</v>
      </c>
      <c r="B994" s="36" t="n">
        <v>0.8774529147529555</v>
      </c>
      <c r="C994" s="36" t="n">
        <v>0.04593699710672283</v>
      </c>
      <c r="D994" s="36" t="n">
        <v>0.9924587097750137</v>
      </c>
      <c r="E994" s="36" t="n">
        <v>0.2477794144396945</v>
      </c>
      <c r="F994" s="36" t="n">
        <v>0.3094336860473494</v>
      </c>
      <c r="G994" s="36" t="n">
        <v>0.2493357291904461</v>
      </c>
      <c r="H994" s="37">
        <f>SUM(B994:G994)</f>
        <v/>
      </c>
      <c r="I994" s="25">
        <f>B994/$H994</f>
        <v/>
      </c>
      <c r="J994" s="25">
        <f>C994/$H994</f>
        <v/>
      </c>
      <c r="K994" s="25">
        <f>D994/$H994</f>
        <v/>
      </c>
      <c r="L994" s="25">
        <f>E994/$H994</f>
        <v/>
      </c>
      <c r="M994" s="25">
        <f>F994/$H994</f>
        <v/>
      </c>
      <c r="N994" s="25">
        <f>G994/$H994</f>
        <v/>
      </c>
      <c r="O994" s="25">
        <f>SUM(MMULT(I994:N994,'07 Annualised Inputs'!$D$7:$D$12))</f>
        <v/>
      </c>
      <c r="P994" s="25">
        <f>SQRT(SUMPRODUCT(MMULT(I994:N994,'07 Annualised Inputs'!$B$17:$G$22),I994:N994))</f>
        <v/>
      </c>
      <c r="Q994" s="37">
        <f>(O994-'02 Config'!$B$10)/P994</f>
        <v/>
      </c>
    </row>
    <row r="995">
      <c r="A995" s="12" t="n">
        <v>990</v>
      </c>
      <c r="B995" s="36" t="n">
        <v>0.2675326983665324</v>
      </c>
      <c r="C995" s="36" t="n">
        <v>0.5526613561036466</v>
      </c>
      <c r="D995" s="36" t="n">
        <v>0.2398105443037796</v>
      </c>
      <c r="E995" s="36" t="n">
        <v>0.3937713114004048</v>
      </c>
      <c r="F995" s="36" t="n">
        <v>0.6556065824432153</v>
      </c>
      <c r="G995" s="36" t="n">
        <v>0.8360262035777268</v>
      </c>
      <c r="H995" s="37">
        <f>SUM(B995:G995)</f>
        <v/>
      </c>
      <c r="I995" s="25">
        <f>B995/$H995</f>
        <v/>
      </c>
      <c r="J995" s="25">
        <f>C995/$H995</f>
        <v/>
      </c>
      <c r="K995" s="25">
        <f>D995/$H995</f>
        <v/>
      </c>
      <c r="L995" s="25">
        <f>E995/$H995</f>
        <v/>
      </c>
      <c r="M995" s="25">
        <f>F995/$H995</f>
        <v/>
      </c>
      <c r="N995" s="25">
        <f>G995/$H995</f>
        <v/>
      </c>
      <c r="O995" s="25">
        <f>SUM(MMULT(I995:N995,'07 Annualised Inputs'!$D$7:$D$12))</f>
        <v/>
      </c>
      <c r="P995" s="25">
        <f>SQRT(SUMPRODUCT(MMULT(I995:N995,'07 Annualised Inputs'!$B$17:$G$22),I995:N995))</f>
        <v/>
      </c>
      <c r="Q995" s="37">
        <f>(O995-'02 Config'!$B$10)/P995</f>
        <v/>
      </c>
    </row>
    <row r="996">
      <c r="A996" s="12" t="n">
        <v>991</v>
      </c>
      <c r="B996" s="36" t="n">
        <v>0.6927415002668795</v>
      </c>
      <c r="C996" s="36" t="n">
        <v>0.5943228447873232</v>
      </c>
      <c r="D996" s="36" t="n">
        <v>0.1477285625410687</v>
      </c>
      <c r="E996" s="36" t="n">
        <v>0.8161156015412826</v>
      </c>
      <c r="F996" s="36" t="n">
        <v>0.03727488799303869</v>
      </c>
      <c r="G996" s="36" t="n">
        <v>0.2641916632353021</v>
      </c>
      <c r="H996" s="37">
        <f>SUM(B996:G996)</f>
        <v/>
      </c>
      <c r="I996" s="25">
        <f>B996/$H996</f>
        <v/>
      </c>
      <c r="J996" s="25">
        <f>C996/$H996</f>
        <v/>
      </c>
      <c r="K996" s="25">
        <f>D996/$H996</f>
        <v/>
      </c>
      <c r="L996" s="25">
        <f>E996/$H996</f>
        <v/>
      </c>
      <c r="M996" s="25">
        <f>F996/$H996</f>
        <v/>
      </c>
      <c r="N996" s="25">
        <f>G996/$H996</f>
        <v/>
      </c>
      <c r="O996" s="25">
        <f>SUM(MMULT(I996:N996,'07 Annualised Inputs'!$D$7:$D$12))</f>
        <v/>
      </c>
      <c r="P996" s="25">
        <f>SQRT(SUMPRODUCT(MMULT(I996:N996,'07 Annualised Inputs'!$B$17:$G$22),I996:N996))</f>
        <v/>
      </c>
      <c r="Q996" s="37">
        <f>(O996-'02 Config'!$B$10)/P996</f>
        <v/>
      </c>
    </row>
    <row r="997">
      <c r="A997" s="12" t="n">
        <v>992</v>
      </c>
      <c r="B997" s="36" t="n">
        <v>0.05705891693196119</v>
      </c>
      <c r="C997" s="36" t="n">
        <v>0.6674289755844626</v>
      </c>
      <c r="D997" s="36" t="n">
        <v>0.3683710825935145</v>
      </c>
      <c r="E997" s="36" t="n">
        <v>0.6520484832048667</v>
      </c>
      <c r="F997" s="36" t="n">
        <v>0.3470309593035903</v>
      </c>
      <c r="G997" s="36" t="n">
        <v>0.4557407307994942</v>
      </c>
      <c r="H997" s="37">
        <f>SUM(B997:G997)</f>
        <v/>
      </c>
      <c r="I997" s="25">
        <f>B997/$H997</f>
        <v/>
      </c>
      <c r="J997" s="25">
        <f>C997/$H997</f>
        <v/>
      </c>
      <c r="K997" s="25">
        <f>D997/$H997</f>
        <v/>
      </c>
      <c r="L997" s="25">
        <f>E997/$H997</f>
        <v/>
      </c>
      <c r="M997" s="25">
        <f>F997/$H997</f>
        <v/>
      </c>
      <c r="N997" s="25">
        <f>G997/$H997</f>
        <v/>
      </c>
      <c r="O997" s="25">
        <f>SUM(MMULT(I997:N997,'07 Annualised Inputs'!$D$7:$D$12))</f>
        <v/>
      </c>
      <c r="P997" s="25">
        <f>SQRT(SUMPRODUCT(MMULT(I997:N997,'07 Annualised Inputs'!$B$17:$G$22),I997:N997))</f>
        <v/>
      </c>
      <c r="Q997" s="37">
        <f>(O997-'02 Config'!$B$10)/P997</f>
        <v/>
      </c>
    </row>
    <row r="998">
      <c r="A998" s="12" t="n">
        <v>993</v>
      </c>
      <c r="B998" s="36" t="n">
        <v>0.4579610101661808</v>
      </c>
      <c r="C998" s="36" t="n">
        <v>0.0455806536675446</v>
      </c>
      <c r="D998" s="36" t="n">
        <v>0.4302265263460036</v>
      </c>
      <c r="E998" s="36" t="n">
        <v>0.6410643631152027</v>
      </c>
      <c r="F998" s="36" t="n">
        <v>0.5460522460754338</v>
      </c>
      <c r="G998" s="36" t="n">
        <v>0.07528376627828726</v>
      </c>
      <c r="H998" s="37">
        <f>SUM(B998:G998)</f>
        <v/>
      </c>
      <c r="I998" s="25">
        <f>B998/$H998</f>
        <v/>
      </c>
      <c r="J998" s="25">
        <f>C998/$H998</f>
        <v/>
      </c>
      <c r="K998" s="25">
        <f>D998/$H998</f>
        <v/>
      </c>
      <c r="L998" s="25">
        <f>E998/$H998</f>
        <v/>
      </c>
      <c r="M998" s="25">
        <f>F998/$H998</f>
        <v/>
      </c>
      <c r="N998" s="25">
        <f>G998/$H998</f>
        <v/>
      </c>
      <c r="O998" s="25">
        <f>SUM(MMULT(I998:N998,'07 Annualised Inputs'!$D$7:$D$12))</f>
        <v/>
      </c>
      <c r="P998" s="25">
        <f>SQRT(SUMPRODUCT(MMULT(I998:N998,'07 Annualised Inputs'!$B$17:$G$22),I998:N998))</f>
        <v/>
      </c>
      <c r="Q998" s="37">
        <f>(O998-'02 Config'!$B$10)/P998</f>
        <v/>
      </c>
    </row>
    <row r="999">
      <c r="A999" s="12" t="n">
        <v>994</v>
      </c>
      <c r="B999" s="36" t="n">
        <v>0.6680559856867488</v>
      </c>
      <c r="C999" s="36" t="n">
        <v>0.3088627549152609</v>
      </c>
      <c r="D999" s="36" t="n">
        <v>0.01443480277902209</v>
      </c>
      <c r="E999" s="36" t="n">
        <v>0.1555955570842452</v>
      </c>
      <c r="F999" s="36" t="n">
        <v>0.4975596573165595</v>
      </c>
      <c r="G999" s="36" t="n">
        <v>0.3104016590300687</v>
      </c>
      <c r="H999" s="37">
        <f>SUM(B999:G999)</f>
        <v/>
      </c>
      <c r="I999" s="25">
        <f>B999/$H999</f>
        <v/>
      </c>
      <c r="J999" s="25">
        <f>C999/$H999</f>
        <v/>
      </c>
      <c r="K999" s="25">
        <f>D999/$H999</f>
        <v/>
      </c>
      <c r="L999" s="25">
        <f>E999/$H999</f>
        <v/>
      </c>
      <c r="M999" s="25">
        <f>F999/$H999</f>
        <v/>
      </c>
      <c r="N999" s="25">
        <f>G999/$H999</f>
        <v/>
      </c>
      <c r="O999" s="25">
        <f>SUM(MMULT(I999:N999,'07 Annualised Inputs'!$D$7:$D$12))</f>
        <v/>
      </c>
      <c r="P999" s="25">
        <f>SQRT(SUMPRODUCT(MMULT(I999:N999,'07 Annualised Inputs'!$B$17:$G$22),I999:N999))</f>
        <v/>
      </c>
      <c r="Q999" s="37">
        <f>(O999-'02 Config'!$B$10)/P999</f>
        <v/>
      </c>
    </row>
    <row r="1000">
      <c r="A1000" s="12" t="n">
        <v>995</v>
      </c>
      <c r="B1000" s="36" t="n">
        <v>0.6943830137535508</v>
      </c>
      <c r="C1000" s="36" t="n">
        <v>0.2406534755657644</v>
      </c>
      <c r="D1000" s="36" t="n">
        <v>0.7727961684751686</v>
      </c>
      <c r="E1000" s="36" t="n">
        <v>0.2864771813939799</v>
      </c>
      <c r="F1000" s="36" t="n">
        <v>0.6208637075844157</v>
      </c>
      <c r="G1000" s="36" t="n">
        <v>0.7992163802511801</v>
      </c>
      <c r="H1000" s="37">
        <f>SUM(B1000:G1000)</f>
        <v/>
      </c>
      <c r="I1000" s="25">
        <f>B1000/$H1000</f>
        <v/>
      </c>
      <c r="J1000" s="25">
        <f>C1000/$H1000</f>
        <v/>
      </c>
      <c r="K1000" s="25">
        <f>D1000/$H1000</f>
        <v/>
      </c>
      <c r="L1000" s="25">
        <f>E1000/$H1000</f>
        <v/>
      </c>
      <c r="M1000" s="25">
        <f>F1000/$H1000</f>
        <v/>
      </c>
      <c r="N1000" s="25">
        <f>G1000/$H1000</f>
        <v/>
      </c>
      <c r="O1000" s="25">
        <f>SUM(MMULT(I1000:N1000,'07 Annualised Inputs'!$D$7:$D$12))</f>
        <v/>
      </c>
      <c r="P1000" s="25">
        <f>SQRT(SUMPRODUCT(MMULT(I1000:N1000,'07 Annualised Inputs'!$B$17:$G$22),I1000:N1000))</f>
        <v/>
      </c>
      <c r="Q1000" s="37">
        <f>(O1000-'02 Config'!$B$10)/P1000</f>
        <v/>
      </c>
    </row>
    <row r="1001">
      <c r="A1001" s="12" t="n">
        <v>996</v>
      </c>
      <c r="B1001" s="36" t="n">
        <v>0.3855561286437489</v>
      </c>
      <c r="C1001" s="36" t="n">
        <v>0.04680494181547046</v>
      </c>
      <c r="D1001" s="36" t="n">
        <v>0.5354455210588809</v>
      </c>
      <c r="E1001" s="36" t="n">
        <v>0.9954090615445003</v>
      </c>
      <c r="F1001" s="36" t="n">
        <v>0.9689918663769136</v>
      </c>
      <c r="G1001" s="36" t="n">
        <v>0.2210221939441682</v>
      </c>
      <c r="H1001" s="37">
        <f>SUM(B1001:G1001)</f>
        <v/>
      </c>
      <c r="I1001" s="25">
        <f>B1001/$H1001</f>
        <v/>
      </c>
      <c r="J1001" s="25">
        <f>C1001/$H1001</f>
        <v/>
      </c>
      <c r="K1001" s="25">
        <f>D1001/$H1001</f>
        <v/>
      </c>
      <c r="L1001" s="25">
        <f>E1001/$H1001</f>
        <v/>
      </c>
      <c r="M1001" s="25">
        <f>F1001/$H1001</f>
        <v/>
      </c>
      <c r="N1001" s="25">
        <f>G1001/$H1001</f>
        <v/>
      </c>
      <c r="O1001" s="25">
        <f>SUM(MMULT(I1001:N1001,'07 Annualised Inputs'!$D$7:$D$12))</f>
        <v/>
      </c>
      <c r="P1001" s="25">
        <f>SQRT(SUMPRODUCT(MMULT(I1001:N1001,'07 Annualised Inputs'!$B$17:$G$22),I1001:N1001))</f>
        <v/>
      </c>
      <c r="Q1001" s="37">
        <f>(O1001-'02 Config'!$B$10)/P1001</f>
        <v/>
      </c>
    </row>
    <row r="1002">
      <c r="A1002" s="12" t="n">
        <v>997</v>
      </c>
      <c r="B1002" s="36" t="n">
        <v>0.7556965094242524</v>
      </c>
      <c r="C1002" s="36" t="n">
        <v>0.3449518318200659</v>
      </c>
      <c r="D1002" s="36" t="n">
        <v>0.1602724801830915</v>
      </c>
      <c r="E1002" s="36" t="n">
        <v>0.6659147006024932</v>
      </c>
      <c r="F1002" s="36" t="n">
        <v>0.500868729526769</v>
      </c>
      <c r="G1002" s="36" t="n">
        <v>0.5392305576556773</v>
      </c>
      <c r="H1002" s="37">
        <f>SUM(B1002:G1002)</f>
        <v/>
      </c>
      <c r="I1002" s="25">
        <f>B1002/$H1002</f>
        <v/>
      </c>
      <c r="J1002" s="25">
        <f>C1002/$H1002</f>
        <v/>
      </c>
      <c r="K1002" s="25">
        <f>D1002/$H1002</f>
        <v/>
      </c>
      <c r="L1002" s="25">
        <f>E1002/$H1002</f>
        <v/>
      </c>
      <c r="M1002" s="25">
        <f>F1002/$H1002</f>
        <v/>
      </c>
      <c r="N1002" s="25">
        <f>G1002/$H1002</f>
        <v/>
      </c>
      <c r="O1002" s="25">
        <f>SUM(MMULT(I1002:N1002,'07 Annualised Inputs'!$D$7:$D$12))</f>
        <v/>
      </c>
      <c r="P1002" s="25">
        <f>SQRT(SUMPRODUCT(MMULT(I1002:N1002,'07 Annualised Inputs'!$B$17:$G$22),I1002:N1002))</f>
        <v/>
      </c>
      <c r="Q1002" s="37">
        <f>(O1002-'02 Config'!$B$10)/P1002</f>
        <v/>
      </c>
    </row>
    <row r="1003">
      <c r="A1003" s="12" t="n">
        <v>998</v>
      </c>
      <c r="B1003" s="36" t="n">
        <v>0.8273926622355084</v>
      </c>
      <c r="C1003" s="36" t="n">
        <v>0.3365436758874231</v>
      </c>
      <c r="D1003" s="36" t="n">
        <v>0.667094759555663</v>
      </c>
      <c r="E1003" s="36" t="n">
        <v>0.3661914669626253</v>
      </c>
      <c r="F1003" s="36" t="n">
        <v>0.04272389658042919</v>
      </c>
      <c r="G1003" s="36" t="n">
        <v>0.3780151073363489</v>
      </c>
      <c r="H1003" s="37">
        <f>SUM(B1003:G1003)</f>
        <v/>
      </c>
      <c r="I1003" s="25">
        <f>B1003/$H1003</f>
        <v/>
      </c>
      <c r="J1003" s="25">
        <f>C1003/$H1003</f>
        <v/>
      </c>
      <c r="K1003" s="25">
        <f>D1003/$H1003</f>
        <v/>
      </c>
      <c r="L1003" s="25">
        <f>E1003/$H1003</f>
        <v/>
      </c>
      <c r="M1003" s="25">
        <f>F1003/$H1003</f>
        <v/>
      </c>
      <c r="N1003" s="25">
        <f>G1003/$H1003</f>
        <v/>
      </c>
      <c r="O1003" s="25">
        <f>SUM(MMULT(I1003:N1003,'07 Annualised Inputs'!$D$7:$D$12))</f>
        <v/>
      </c>
      <c r="P1003" s="25">
        <f>SQRT(SUMPRODUCT(MMULT(I1003:N1003,'07 Annualised Inputs'!$B$17:$G$22),I1003:N1003))</f>
        <v/>
      </c>
      <c r="Q1003" s="37">
        <f>(O1003-'02 Config'!$B$10)/P1003</f>
        <v/>
      </c>
    </row>
    <row r="1004">
      <c r="A1004" s="12" t="n">
        <v>999</v>
      </c>
      <c r="B1004" s="36" t="n">
        <v>0.9500344632041346</v>
      </c>
      <c r="C1004" s="36" t="n">
        <v>0.483262482088417</v>
      </c>
      <c r="D1004" s="36" t="n">
        <v>0.1082304368368682</v>
      </c>
      <c r="E1004" s="36" t="n">
        <v>0.6878268293762259</v>
      </c>
      <c r="F1004" s="36" t="n">
        <v>0.9633793497185212</v>
      </c>
      <c r="G1004" s="36" t="n">
        <v>0.9079452465442571</v>
      </c>
      <c r="H1004" s="37">
        <f>SUM(B1004:G1004)</f>
        <v/>
      </c>
      <c r="I1004" s="25">
        <f>B1004/$H1004</f>
        <v/>
      </c>
      <c r="J1004" s="25">
        <f>C1004/$H1004</f>
        <v/>
      </c>
      <c r="K1004" s="25">
        <f>D1004/$H1004</f>
        <v/>
      </c>
      <c r="L1004" s="25">
        <f>E1004/$H1004</f>
        <v/>
      </c>
      <c r="M1004" s="25">
        <f>F1004/$H1004</f>
        <v/>
      </c>
      <c r="N1004" s="25">
        <f>G1004/$H1004</f>
        <v/>
      </c>
      <c r="O1004" s="25">
        <f>SUM(MMULT(I1004:N1004,'07 Annualised Inputs'!$D$7:$D$12))</f>
        <v/>
      </c>
      <c r="P1004" s="25">
        <f>SQRT(SUMPRODUCT(MMULT(I1004:N1004,'07 Annualised Inputs'!$B$17:$G$22),I1004:N1004))</f>
        <v/>
      </c>
      <c r="Q1004" s="37">
        <f>(O1004-'02 Config'!$B$10)/P1004</f>
        <v/>
      </c>
    </row>
    <row r="1005">
      <c r="A1005" s="12" t="n">
        <v>1000</v>
      </c>
      <c r="B1005" s="36" t="n">
        <v>0.5719608378081387</v>
      </c>
      <c r="C1005" s="36" t="n">
        <v>0.3762807443485312</v>
      </c>
      <c r="D1005" s="36" t="n">
        <v>0.5806776685092404</v>
      </c>
      <c r="E1005" s="36" t="n">
        <v>0.8159310621992495</v>
      </c>
      <c r="F1005" s="36" t="n">
        <v>0.8612373420184543</v>
      </c>
      <c r="G1005" s="36" t="n">
        <v>0.8188438849424412</v>
      </c>
      <c r="H1005" s="37">
        <f>SUM(B1005:G1005)</f>
        <v/>
      </c>
      <c r="I1005" s="25">
        <f>B1005/$H1005</f>
        <v/>
      </c>
      <c r="J1005" s="25">
        <f>C1005/$H1005</f>
        <v/>
      </c>
      <c r="K1005" s="25">
        <f>D1005/$H1005</f>
        <v/>
      </c>
      <c r="L1005" s="25">
        <f>E1005/$H1005</f>
        <v/>
      </c>
      <c r="M1005" s="25">
        <f>F1005/$H1005</f>
        <v/>
      </c>
      <c r="N1005" s="25">
        <f>G1005/$H1005</f>
        <v/>
      </c>
      <c r="O1005" s="25">
        <f>SUM(MMULT(I1005:N1005,'07 Annualised Inputs'!$D$7:$D$12))</f>
        <v/>
      </c>
      <c r="P1005" s="25">
        <f>SQRT(SUMPRODUCT(MMULT(I1005:N1005,'07 Annualised Inputs'!$B$17:$G$22),I1005:N1005))</f>
        <v/>
      </c>
      <c r="Q1005" s="37">
        <f>(O1005-'02 Config'!$B$10)/P1005</f>
        <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F72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5" customWidth="1" min="2" max="2"/>
    <col width="15" customWidth="1" min="3" max="3"/>
    <col width="15" customWidth="1" min="4" max="4"/>
    <col width="15" customWidth="1" min="5" max="5"/>
    <col width="13" customWidth="1" min="6" max="6"/>
  </cols>
  <sheetData>
    <row r="1">
      <c r="A1" s="1" t="inlineStr">
        <is>
          <t>Portfolio Return Series</t>
        </is>
      </c>
    </row>
    <row r="2">
      <c r="A2" s="2" t="inlineStr">
        <is>
          <t>The six asset return series collapsed into one portfolio series using the minimum-variance weights, then the cumulative growth path and the drawdown series built from it.</t>
        </is>
      </c>
    </row>
    <row r="3">
      <c r="A3" s="3" t="inlineStr">
        <is>
          <t>Mirrors: returns.py -&gt; portfolio_returns(asset_returns, weights);  risk_metrics.py -&gt; max_drawdown()</t>
        </is>
      </c>
    </row>
    <row r="4">
      <c r="A4" s="7" t="inlineStr">
        <is>
          <t>Date</t>
        </is>
      </c>
      <c r="B4" s="7" t="inlineStr">
        <is>
          <t>Portfolio simple return</t>
        </is>
      </c>
      <c r="C4" s="7" t="inlineStr">
        <is>
          <t>Portfolio log return</t>
        </is>
      </c>
      <c r="D4" s="7" t="inlineStr">
        <is>
          <t>Cumulative growth of $1</t>
        </is>
      </c>
      <c r="E4" s="7" t="inlineStr">
        <is>
          <t>Running peak</t>
        </is>
      </c>
      <c r="F4" s="7" t="inlineStr">
        <is>
          <t>Drawdown</t>
        </is>
      </c>
    </row>
    <row r="5">
      <c r="A5" s="23">
        <f>IF('05 Simple Returns'!A5="","",'05 Simple Returns'!A5)</f>
        <v/>
      </c>
      <c r="B5" s="25">
        <f>IF($A5="","",SUM(MMULT('05 Simple Returns'!B5:G5,'08 Optimisation'!$B$36:$B$41)))</f>
        <v/>
      </c>
      <c r="C5" s="25">
        <f>IF($A5="","",SUM(MMULT('06 Log Returns'!B5:G5,'08 Optimisation'!$B$36:$B$41)))</f>
        <v/>
      </c>
      <c r="D5" s="37">
        <f>IF($A5="","",1+B5)</f>
        <v/>
      </c>
      <c r="E5" s="37">
        <f>IF($A5="","",MAX($D$5:D5))</f>
        <v/>
      </c>
      <c r="F5" s="25">
        <f>IF($A5="","",(E5-D5)/E5)</f>
        <v/>
      </c>
    </row>
    <row r="6">
      <c r="A6" s="23">
        <f>IF('05 Simple Returns'!A6="","",'05 Simple Returns'!A6)</f>
        <v/>
      </c>
      <c r="B6" s="25">
        <f>IF($A6="","",SUM(MMULT('05 Simple Returns'!B6:G6,'08 Optimisation'!$B$36:$B$41)))</f>
        <v/>
      </c>
      <c r="C6" s="25">
        <f>IF($A6="","",SUM(MMULT('06 Log Returns'!B6:G6,'08 Optimisation'!$B$36:$B$41)))</f>
        <v/>
      </c>
      <c r="D6" s="37">
        <f>IF($A6="","",IF(D5="","",D5*(1+B6)))</f>
        <v/>
      </c>
      <c r="E6" s="37">
        <f>IF($A6="","",MAX($D$5:D6))</f>
        <v/>
      </c>
      <c r="F6" s="25">
        <f>IF($A6="","",(E6-D6)/E6)</f>
        <v/>
      </c>
    </row>
    <row r="7">
      <c r="A7" s="23">
        <f>IF('05 Simple Returns'!A7="","",'05 Simple Returns'!A7)</f>
        <v/>
      </c>
      <c r="B7" s="25">
        <f>IF($A7="","",SUM(MMULT('05 Simple Returns'!B7:G7,'08 Optimisation'!$B$36:$B$41)))</f>
        <v/>
      </c>
      <c r="C7" s="25">
        <f>IF($A7="","",SUM(MMULT('06 Log Returns'!B7:G7,'08 Optimisation'!$B$36:$B$41)))</f>
        <v/>
      </c>
      <c r="D7" s="37">
        <f>IF($A7="","",IF(D6="","",D6*(1+B7)))</f>
        <v/>
      </c>
      <c r="E7" s="37">
        <f>IF($A7="","",MAX($D$5:D7))</f>
        <v/>
      </c>
      <c r="F7" s="25">
        <f>IF($A7="","",(E7-D7)/E7)</f>
        <v/>
      </c>
    </row>
    <row r="8">
      <c r="A8" s="23">
        <f>IF('05 Simple Returns'!A8="","",'05 Simple Returns'!A8)</f>
        <v/>
      </c>
      <c r="B8" s="25">
        <f>IF($A8="","",SUM(MMULT('05 Simple Returns'!B8:G8,'08 Optimisation'!$B$36:$B$41)))</f>
        <v/>
      </c>
      <c r="C8" s="25">
        <f>IF($A8="","",SUM(MMULT('06 Log Returns'!B8:G8,'08 Optimisation'!$B$36:$B$41)))</f>
        <v/>
      </c>
      <c r="D8" s="37">
        <f>IF($A8="","",IF(D7="","",D7*(1+B8)))</f>
        <v/>
      </c>
      <c r="E8" s="37">
        <f>IF($A8="","",MAX($D$5:D8))</f>
        <v/>
      </c>
      <c r="F8" s="25">
        <f>IF($A8="","",(E8-D8)/E8)</f>
        <v/>
      </c>
    </row>
    <row r="9">
      <c r="A9" s="23">
        <f>IF('05 Simple Returns'!A9="","",'05 Simple Returns'!A9)</f>
        <v/>
      </c>
      <c r="B9" s="25">
        <f>IF($A9="","",SUM(MMULT('05 Simple Returns'!B9:G9,'08 Optimisation'!$B$36:$B$41)))</f>
        <v/>
      </c>
      <c r="C9" s="25">
        <f>IF($A9="","",SUM(MMULT('06 Log Returns'!B9:G9,'08 Optimisation'!$B$36:$B$41)))</f>
        <v/>
      </c>
      <c r="D9" s="37">
        <f>IF($A9="","",IF(D8="","",D8*(1+B9)))</f>
        <v/>
      </c>
      <c r="E9" s="37">
        <f>IF($A9="","",MAX($D$5:D9))</f>
        <v/>
      </c>
      <c r="F9" s="25">
        <f>IF($A9="","",(E9-D9)/E9)</f>
        <v/>
      </c>
    </row>
    <row r="10">
      <c r="A10" s="23">
        <f>IF('05 Simple Returns'!A10="","",'05 Simple Returns'!A10)</f>
        <v/>
      </c>
      <c r="B10" s="25">
        <f>IF($A10="","",SUM(MMULT('05 Simple Returns'!B10:G10,'08 Optimisation'!$B$36:$B$41)))</f>
        <v/>
      </c>
      <c r="C10" s="25">
        <f>IF($A10="","",SUM(MMULT('06 Log Returns'!B10:G10,'08 Optimisation'!$B$36:$B$41)))</f>
        <v/>
      </c>
      <c r="D10" s="37">
        <f>IF($A10="","",IF(D9="","",D9*(1+B10)))</f>
        <v/>
      </c>
      <c r="E10" s="37">
        <f>IF($A10="","",MAX($D$5:D10))</f>
        <v/>
      </c>
      <c r="F10" s="25">
        <f>IF($A10="","",(E10-D10)/E10)</f>
        <v/>
      </c>
    </row>
    <row r="11">
      <c r="A11" s="23">
        <f>IF('05 Simple Returns'!A11="","",'05 Simple Returns'!A11)</f>
        <v/>
      </c>
      <c r="B11" s="25">
        <f>IF($A11="","",SUM(MMULT('05 Simple Returns'!B11:G11,'08 Optimisation'!$B$36:$B$41)))</f>
        <v/>
      </c>
      <c r="C11" s="25">
        <f>IF($A11="","",SUM(MMULT('06 Log Returns'!B11:G11,'08 Optimisation'!$B$36:$B$41)))</f>
        <v/>
      </c>
      <c r="D11" s="37">
        <f>IF($A11="","",IF(D10="","",D10*(1+B11)))</f>
        <v/>
      </c>
      <c r="E11" s="37">
        <f>IF($A11="","",MAX($D$5:D11))</f>
        <v/>
      </c>
      <c r="F11" s="25">
        <f>IF($A11="","",(E11-D11)/E11)</f>
        <v/>
      </c>
    </row>
    <row r="12">
      <c r="A12" s="23">
        <f>IF('05 Simple Returns'!A12="","",'05 Simple Returns'!A12)</f>
        <v/>
      </c>
      <c r="B12" s="25">
        <f>IF($A12="","",SUM(MMULT('05 Simple Returns'!B12:G12,'08 Optimisation'!$B$36:$B$41)))</f>
        <v/>
      </c>
      <c r="C12" s="25">
        <f>IF($A12="","",SUM(MMULT('06 Log Returns'!B12:G12,'08 Optimisation'!$B$36:$B$41)))</f>
        <v/>
      </c>
      <c r="D12" s="37">
        <f>IF($A12="","",IF(D11="","",D11*(1+B12)))</f>
        <v/>
      </c>
      <c r="E12" s="37">
        <f>IF($A12="","",MAX($D$5:D12))</f>
        <v/>
      </c>
      <c r="F12" s="25">
        <f>IF($A12="","",(E12-D12)/E12)</f>
        <v/>
      </c>
    </row>
    <row r="13">
      <c r="A13" s="23">
        <f>IF('05 Simple Returns'!A13="","",'05 Simple Returns'!A13)</f>
        <v/>
      </c>
      <c r="B13" s="25">
        <f>IF($A13="","",SUM(MMULT('05 Simple Returns'!B13:G13,'08 Optimisation'!$B$36:$B$41)))</f>
        <v/>
      </c>
      <c r="C13" s="25">
        <f>IF($A13="","",SUM(MMULT('06 Log Returns'!B13:G13,'08 Optimisation'!$B$36:$B$41)))</f>
        <v/>
      </c>
      <c r="D13" s="37">
        <f>IF($A13="","",IF(D12="","",D12*(1+B13)))</f>
        <v/>
      </c>
      <c r="E13" s="37">
        <f>IF($A13="","",MAX($D$5:D13))</f>
        <v/>
      </c>
      <c r="F13" s="25">
        <f>IF($A13="","",(E13-D13)/E13)</f>
        <v/>
      </c>
    </row>
    <row r="14">
      <c r="A14" s="23">
        <f>IF('05 Simple Returns'!A14="","",'05 Simple Returns'!A14)</f>
        <v/>
      </c>
      <c r="B14" s="25">
        <f>IF($A14="","",SUM(MMULT('05 Simple Returns'!B14:G14,'08 Optimisation'!$B$36:$B$41)))</f>
        <v/>
      </c>
      <c r="C14" s="25">
        <f>IF($A14="","",SUM(MMULT('06 Log Returns'!B14:G14,'08 Optimisation'!$B$36:$B$41)))</f>
        <v/>
      </c>
      <c r="D14" s="37">
        <f>IF($A14="","",IF(D13="","",D13*(1+B14)))</f>
        <v/>
      </c>
      <c r="E14" s="37">
        <f>IF($A14="","",MAX($D$5:D14))</f>
        <v/>
      </c>
      <c r="F14" s="25">
        <f>IF($A14="","",(E14-D14)/E14)</f>
        <v/>
      </c>
    </row>
    <row r="15">
      <c r="A15" s="23">
        <f>IF('05 Simple Returns'!A15="","",'05 Simple Returns'!A15)</f>
        <v/>
      </c>
      <c r="B15" s="25">
        <f>IF($A15="","",SUM(MMULT('05 Simple Returns'!B15:G15,'08 Optimisation'!$B$36:$B$41)))</f>
        <v/>
      </c>
      <c r="C15" s="25">
        <f>IF($A15="","",SUM(MMULT('06 Log Returns'!B15:G15,'08 Optimisation'!$B$36:$B$41)))</f>
        <v/>
      </c>
      <c r="D15" s="37">
        <f>IF($A15="","",IF(D14="","",D14*(1+B15)))</f>
        <v/>
      </c>
      <c r="E15" s="37">
        <f>IF($A15="","",MAX($D$5:D15))</f>
        <v/>
      </c>
      <c r="F15" s="25">
        <f>IF($A15="","",(E15-D15)/E15)</f>
        <v/>
      </c>
    </row>
    <row r="16">
      <c r="A16" s="23">
        <f>IF('05 Simple Returns'!A16="","",'05 Simple Returns'!A16)</f>
        <v/>
      </c>
      <c r="B16" s="25">
        <f>IF($A16="","",SUM(MMULT('05 Simple Returns'!B16:G16,'08 Optimisation'!$B$36:$B$41)))</f>
        <v/>
      </c>
      <c r="C16" s="25">
        <f>IF($A16="","",SUM(MMULT('06 Log Returns'!B16:G16,'08 Optimisation'!$B$36:$B$41)))</f>
        <v/>
      </c>
      <c r="D16" s="37">
        <f>IF($A16="","",IF(D15="","",D15*(1+B16)))</f>
        <v/>
      </c>
      <c r="E16" s="37">
        <f>IF($A16="","",MAX($D$5:D16))</f>
        <v/>
      </c>
      <c r="F16" s="25">
        <f>IF($A16="","",(E16-D16)/E16)</f>
        <v/>
      </c>
    </row>
    <row r="17">
      <c r="A17" s="23">
        <f>IF('05 Simple Returns'!A17="","",'05 Simple Returns'!A17)</f>
        <v/>
      </c>
      <c r="B17" s="25">
        <f>IF($A17="","",SUM(MMULT('05 Simple Returns'!B17:G17,'08 Optimisation'!$B$36:$B$41)))</f>
        <v/>
      </c>
      <c r="C17" s="25">
        <f>IF($A17="","",SUM(MMULT('06 Log Returns'!B17:G17,'08 Optimisation'!$B$36:$B$41)))</f>
        <v/>
      </c>
      <c r="D17" s="37">
        <f>IF($A17="","",IF(D16="","",D16*(1+B17)))</f>
        <v/>
      </c>
      <c r="E17" s="37">
        <f>IF($A17="","",MAX($D$5:D17))</f>
        <v/>
      </c>
      <c r="F17" s="25">
        <f>IF($A17="","",(E17-D17)/E17)</f>
        <v/>
      </c>
    </row>
    <row r="18">
      <c r="A18" s="23">
        <f>IF('05 Simple Returns'!A18="","",'05 Simple Returns'!A18)</f>
        <v/>
      </c>
      <c r="B18" s="25">
        <f>IF($A18="","",SUM(MMULT('05 Simple Returns'!B18:G18,'08 Optimisation'!$B$36:$B$41)))</f>
        <v/>
      </c>
      <c r="C18" s="25">
        <f>IF($A18="","",SUM(MMULT('06 Log Returns'!B18:G18,'08 Optimisation'!$B$36:$B$41)))</f>
        <v/>
      </c>
      <c r="D18" s="37">
        <f>IF($A18="","",IF(D17="","",D17*(1+B18)))</f>
        <v/>
      </c>
      <c r="E18" s="37">
        <f>IF($A18="","",MAX($D$5:D18))</f>
        <v/>
      </c>
      <c r="F18" s="25">
        <f>IF($A18="","",(E18-D18)/E18)</f>
        <v/>
      </c>
    </row>
    <row r="19">
      <c r="A19" s="23">
        <f>IF('05 Simple Returns'!A19="","",'05 Simple Returns'!A19)</f>
        <v/>
      </c>
      <c r="B19" s="25">
        <f>IF($A19="","",SUM(MMULT('05 Simple Returns'!B19:G19,'08 Optimisation'!$B$36:$B$41)))</f>
        <v/>
      </c>
      <c r="C19" s="25">
        <f>IF($A19="","",SUM(MMULT('06 Log Returns'!B19:G19,'08 Optimisation'!$B$36:$B$41)))</f>
        <v/>
      </c>
      <c r="D19" s="37">
        <f>IF($A19="","",IF(D18="","",D18*(1+B19)))</f>
        <v/>
      </c>
      <c r="E19" s="37">
        <f>IF($A19="","",MAX($D$5:D19))</f>
        <v/>
      </c>
      <c r="F19" s="25">
        <f>IF($A19="","",(E19-D19)/E19)</f>
        <v/>
      </c>
    </row>
    <row r="20">
      <c r="A20" s="23">
        <f>IF('05 Simple Returns'!A20="","",'05 Simple Returns'!A20)</f>
        <v/>
      </c>
      <c r="B20" s="25">
        <f>IF($A20="","",SUM(MMULT('05 Simple Returns'!B20:G20,'08 Optimisation'!$B$36:$B$41)))</f>
        <v/>
      </c>
      <c r="C20" s="25">
        <f>IF($A20="","",SUM(MMULT('06 Log Returns'!B20:G20,'08 Optimisation'!$B$36:$B$41)))</f>
        <v/>
      </c>
      <c r="D20" s="37">
        <f>IF($A20="","",IF(D19="","",D19*(1+B20)))</f>
        <v/>
      </c>
      <c r="E20" s="37">
        <f>IF($A20="","",MAX($D$5:D20))</f>
        <v/>
      </c>
      <c r="F20" s="25">
        <f>IF($A20="","",(E20-D20)/E20)</f>
        <v/>
      </c>
    </row>
    <row r="21">
      <c r="A21" s="23">
        <f>IF('05 Simple Returns'!A21="","",'05 Simple Returns'!A21)</f>
        <v/>
      </c>
      <c r="B21" s="25">
        <f>IF($A21="","",SUM(MMULT('05 Simple Returns'!B21:G21,'08 Optimisation'!$B$36:$B$41)))</f>
        <v/>
      </c>
      <c r="C21" s="25">
        <f>IF($A21="","",SUM(MMULT('06 Log Returns'!B21:G21,'08 Optimisation'!$B$36:$B$41)))</f>
        <v/>
      </c>
      <c r="D21" s="37">
        <f>IF($A21="","",IF(D20="","",D20*(1+B21)))</f>
        <v/>
      </c>
      <c r="E21" s="37">
        <f>IF($A21="","",MAX($D$5:D21))</f>
        <v/>
      </c>
      <c r="F21" s="25">
        <f>IF($A21="","",(E21-D21)/E21)</f>
        <v/>
      </c>
    </row>
    <row r="22">
      <c r="A22" s="23">
        <f>IF('05 Simple Returns'!A22="","",'05 Simple Returns'!A22)</f>
        <v/>
      </c>
      <c r="B22" s="25">
        <f>IF($A22="","",SUM(MMULT('05 Simple Returns'!B22:G22,'08 Optimisation'!$B$36:$B$41)))</f>
        <v/>
      </c>
      <c r="C22" s="25">
        <f>IF($A22="","",SUM(MMULT('06 Log Returns'!B22:G22,'08 Optimisation'!$B$36:$B$41)))</f>
        <v/>
      </c>
      <c r="D22" s="37">
        <f>IF($A22="","",IF(D21="","",D21*(1+B22)))</f>
        <v/>
      </c>
      <c r="E22" s="37">
        <f>IF($A22="","",MAX($D$5:D22))</f>
        <v/>
      </c>
      <c r="F22" s="25">
        <f>IF($A22="","",(E22-D22)/E22)</f>
        <v/>
      </c>
    </row>
    <row r="23">
      <c r="A23" s="23">
        <f>IF('05 Simple Returns'!A23="","",'05 Simple Returns'!A23)</f>
        <v/>
      </c>
      <c r="B23" s="25">
        <f>IF($A23="","",SUM(MMULT('05 Simple Returns'!B23:G23,'08 Optimisation'!$B$36:$B$41)))</f>
        <v/>
      </c>
      <c r="C23" s="25">
        <f>IF($A23="","",SUM(MMULT('06 Log Returns'!B23:G23,'08 Optimisation'!$B$36:$B$41)))</f>
        <v/>
      </c>
      <c r="D23" s="37">
        <f>IF($A23="","",IF(D22="","",D22*(1+B23)))</f>
        <v/>
      </c>
      <c r="E23" s="37">
        <f>IF($A23="","",MAX($D$5:D23))</f>
        <v/>
      </c>
      <c r="F23" s="25">
        <f>IF($A23="","",(E23-D23)/E23)</f>
        <v/>
      </c>
    </row>
    <row r="24">
      <c r="A24" s="23">
        <f>IF('05 Simple Returns'!A24="","",'05 Simple Returns'!A24)</f>
        <v/>
      </c>
      <c r="B24" s="25">
        <f>IF($A24="","",SUM(MMULT('05 Simple Returns'!B24:G24,'08 Optimisation'!$B$36:$B$41)))</f>
        <v/>
      </c>
      <c r="C24" s="25">
        <f>IF($A24="","",SUM(MMULT('06 Log Returns'!B24:G24,'08 Optimisation'!$B$36:$B$41)))</f>
        <v/>
      </c>
      <c r="D24" s="37">
        <f>IF($A24="","",IF(D23="","",D23*(1+B24)))</f>
        <v/>
      </c>
      <c r="E24" s="37">
        <f>IF($A24="","",MAX($D$5:D24))</f>
        <v/>
      </c>
      <c r="F24" s="25">
        <f>IF($A24="","",(E24-D24)/E24)</f>
        <v/>
      </c>
    </row>
    <row r="25">
      <c r="A25" s="23">
        <f>IF('05 Simple Returns'!A25="","",'05 Simple Returns'!A25)</f>
        <v/>
      </c>
      <c r="B25" s="25">
        <f>IF($A25="","",SUM(MMULT('05 Simple Returns'!B25:G25,'08 Optimisation'!$B$36:$B$41)))</f>
        <v/>
      </c>
      <c r="C25" s="25">
        <f>IF($A25="","",SUM(MMULT('06 Log Returns'!B25:G25,'08 Optimisation'!$B$36:$B$41)))</f>
        <v/>
      </c>
      <c r="D25" s="37">
        <f>IF($A25="","",IF(D24="","",D24*(1+B25)))</f>
        <v/>
      </c>
      <c r="E25" s="37">
        <f>IF($A25="","",MAX($D$5:D25))</f>
        <v/>
      </c>
      <c r="F25" s="25">
        <f>IF($A25="","",(E25-D25)/E25)</f>
        <v/>
      </c>
    </row>
    <row r="26">
      <c r="A26" s="23">
        <f>IF('05 Simple Returns'!A26="","",'05 Simple Returns'!A26)</f>
        <v/>
      </c>
      <c r="B26" s="25">
        <f>IF($A26="","",SUM(MMULT('05 Simple Returns'!B26:G26,'08 Optimisation'!$B$36:$B$41)))</f>
        <v/>
      </c>
      <c r="C26" s="25">
        <f>IF($A26="","",SUM(MMULT('06 Log Returns'!B26:G26,'08 Optimisation'!$B$36:$B$41)))</f>
        <v/>
      </c>
      <c r="D26" s="37">
        <f>IF($A26="","",IF(D25="","",D25*(1+B26)))</f>
        <v/>
      </c>
      <c r="E26" s="37">
        <f>IF($A26="","",MAX($D$5:D26))</f>
        <v/>
      </c>
      <c r="F26" s="25">
        <f>IF($A26="","",(E26-D26)/E26)</f>
        <v/>
      </c>
    </row>
    <row r="27">
      <c r="A27" s="23">
        <f>IF('05 Simple Returns'!A27="","",'05 Simple Returns'!A27)</f>
        <v/>
      </c>
      <c r="B27" s="25">
        <f>IF($A27="","",SUM(MMULT('05 Simple Returns'!B27:G27,'08 Optimisation'!$B$36:$B$41)))</f>
        <v/>
      </c>
      <c r="C27" s="25">
        <f>IF($A27="","",SUM(MMULT('06 Log Returns'!B27:G27,'08 Optimisation'!$B$36:$B$41)))</f>
        <v/>
      </c>
      <c r="D27" s="37">
        <f>IF($A27="","",IF(D26="","",D26*(1+B27)))</f>
        <v/>
      </c>
      <c r="E27" s="37">
        <f>IF($A27="","",MAX($D$5:D27))</f>
        <v/>
      </c>
      <c r="F27" s="25">
        <f>IF($A27="","",(E27-D27)/E27)</f>
        <v/>
      </c>
    </row>
    <row r="28">
      <c r="A28" s="23">
        <f>IF('05 Simple Returns'!A28="","",'05 Simple Returns'!A28)</f>
        <v/>
      </c>
      <c r="B28" s="25">
        <f>IF($A28="","",SUM(MMULT('05 Simple Returns'!B28:G28,'08 Optimisation'!$B$36:$B$41)))</f>
        <v/>
      </c>
      <c r="C28" s="25">
        <f>IF($A28="","",SUM(MMULT('06 Log Returns'!B28:G28,'08 Optimisation'!$B$36:$B$41)))</f>
        <v/>
      </c>
      <c r="D28" s="37">
        <f>IF($A28="","",IF(D27="","",D27*(1+B28)))</f>
        <v/>
      </c>
      <c r="E28" s="37">
        <f>IF($A28="","",MAX($D$5:D28))</f>
        <v/>
      </c>
      <c r="F28" s="25">
        <f>IF($A28="","",(E28-D28)/E28)</f>
        <v/>
      </c>
    </row>
    <row r="29">
      <c r="A29" s="23">
        <f>IF('05 Simple Returns'!A29="","",'05 Simple Returns'!A29)</f>
        <v/>
      </c>
      <c r="B29" s="25">
        <f>IF($A29="","",SUM(MMULT('05 Simple Returns'!B29:G29,'08 Optimisation'!$B$36:$B$41)))</f>
        <v/>
      </c>
      <c r="C29" s="25">
        <f>IF($A29="","",SUM(MMULT('06 Log Returns'!B29:G29,'08 Optimisation'!$B$36:$B$41)))</f>
        <v/>
      </c>
      <c r="D29" s="37">
        <f>IF($A29="","",IF(D28="","",D28*(1+B29)))</f>
        <v/>
      </c>
      <c r="E29" s="37">
        <f>IF($A29="","",MAX($D$5:D29))</f>
        <v/>
      </c>
      <c r="F29" s="25">
        <f>IF($A29="","",(E29-D29)/E29)</f>
        <v/>
      </c>
    </row>
    <row r="30">
      <c r="A30" s="23">
        <f>IF('05 Simple Returns'!A30="","",'05 Simple Returns'!A30)</f>
        <v/>
      </c>
      <c r="B30" s="25">
        <f>IF($A30="","",SUM(MMULT('05 Simple Returns'!B30:G30,'08 Optimisation'!$B$36:$B$41)))</f>
        <v/>
      </c>
      <c r="C30" s="25">
        <f>IF($A30="","",SUM(MMULT('06 Log Returns'!B30:G30,'08 Optimisation'!$B$36:$B$41)))</f>
        <v/>
      </c>
      <c r="D30" s="37">
        <f>IF($A30="","",IF(D29="","",D29*(1+B30)))</f>
        <v/>
      </c>
      <c r="E30" s="37">
        <f>IF($A30="","",MAX($D$5:D30))</f>
        <v/>
      </c>
      <c r="F30" s="25">
        <f>IF($A30="","",(E30-D30)/E30)</f>
        <v/>
      </c>
    </row>
    <row r="31">
      <c r="A31" s="23">
        <f>IF('05 Simple Returns'!A31="","",'05 Simple Returns'!A31)</f>
        <v/>
      </c>
      <c r="B31" s="25">
        <f>IF($A31="","",SUM(MMULT('05 Simple Returns'!B31:G31,'08 Optimisation'!$B$36:$B$41)))</f>
        <v/>
      </c>
      <c r="C31" s="25">
        <f>IF($A31="","",SUM(MMULT('06 Log Returns'!B31:G31,'08 Optimisation'!$B$36:$B$41)))</f>
        <v/>
      </c>
      <c r="D31" s="37">
        <f>IF($A31="","",IF(D30="","",D30*(1+B31)))</f>
        <v/>
      </c>
      <c r="E31" s="37">
        <f>IF($A31="","",MAX($D$5:D31))</f>
        <v/>
      </c>
      <c r="F31" s="25">
        <f>IF($A31="","",(E31-D31)/E31)</f>
        <v/>
      </c>
    </row>
    <row r="32">
      <c r="A32" s="23">
        <f>IF('05 Simple Returns'!A32="","",'05 Simple Returns'!A32)</f>
        <v/>
      </c>
      <c r="B32" s="25">
        <f>IF($A32="","",SUM(MMULT('05 Simple Returns'!B32:G32,'08 Optimisation'!$B$36:$B$41)))</f>
        <v/>
      </c>
      <c r="C32" s="25">
        <f>IF($A32="","",SUM(MMULT('06 Log Returns'!B32:G32,'08 Optimisation'!$B$36:$B$41)))</f>
        <v/>
      </c>
      <c r="D32" s="37">
        <f>IF($A32="","",IF(D31="","",D31*(1+B32)))</f>
        <v/>
      </c>
      <c r="E32" s="37">
        <f>IF($A32="","",MAX($D$5:D32))</f>
        <v/>
      </c>
      <c r="F32" s="25">
        <f>IF($A32="","",(E32-D32)/E32)</f>
        <v/>
      </c>
    </row>
    <row r="33">
      <c r="A33" s="23">
        <f>IF('05 Simple Returns'!A33="","",'05 Simple Returns'!A33)</f>
        <v/>
      </c>
      <c r="B33" s="25">
        <f>IF($A33="","",SUM(MMULT('05 Simple Returns'!B33:G33,'08 Optimisation'!$B$36:$B$41)))</f>
        <v/>
      </c>
      <c r="C33" s="25">
        <f>IF($A33="","",SUM(MMULT('06 Log Returns'!B33:G33,'08 Optimisation'!$B$36:$B$41)))</f>
        <v/>
      </c>
      <c r="D33" s="37">
        <f>IF($A33="","",IF(D32="","",D32*(1+B33)))</f>
        <v/>
      </c>
      <c r="E33" s="37">
        <f>IF($A33="","",MAX($D$5:D33))</f>
        <v/>
      </c>
      <c r="F33" s="25">
        <f>IF($A33="","",(E33-D33)/E33)</f>
        <v/>
      </c>
    </row>
    <row r="34">
      <c r="A34" s="23">
        <f>IF('05 Simple Returns'!A34="","",'05 Simple Returns'!A34)</f>
        <v/>
      </c>
      <c r="B34" s="25">
        <f>IF($A34="","",SUM(MMULT('05 Simple Returns'!B34:G34,'08 Optimisation'!$B$36:$B$41)))</f>
        <v/>
      </c>
      <c r="C34" s="25">
        <f>IF($A34="","",SUM(MMULT('06 Log Returns'!B34:G34,'08 Optimisation'!$B$36:$B$41)))</f>
        <v/>
      </c>
      <c r="D34" s="37">
        <f>IF($A34="","",IF(D33="","",D33*(1+B34)))</f>
        <v/>
      </c>
      <c r="E34" s="37">
        <f>IF($A34="","",MAX($D$5:D34))</f>
        <v/>
      </c>
      <c r="F34" s="25">
        <f>IF($A34="","",(E34-D34)/E34)</f>
        <v/>
      </c>
    </row>
    <row r="35">
      <c r="A35" s="23">
        <f>IF('05 Simple Returns'!A35="","",'05 Simple Returns'!A35)</f>
        <v/>
      </c>
      <c r="B35" s="25">
        <f>IF($A35="","",SUM(MMULT('05 Simple Returns'!B35:G35,'08 Optimisation'!$B$36:$B$41)))</f>
        <v/>
      </c>
      <c r="C35" s="25">
        <f>IF($A35="","",SUM(MMULT('06 Log Returns'!B35:G35,'08 Optimisation'!$B$36:$B$41)))</f>
        <v/>
      </c>
      <c r="D35" s="37">
        <f>IF($A35="","",IF(D34="","",D34*(1+B35)))</f>
        <v/>
      </c>
      <c r="E35" s="37">
        <f>IF($A35="","",MAX($D$5:D35))</f>
        <v/>
      </c>
      <c r="F35" s="25">
        <f>IF($A35="","",(E35-D35)/E35)</f>
        <v/>
      </c>
    </row>
    <row r="36">
      <c r="A36" s="23">
        <f>IF('05 Simple Returns'!A36="","",'05 Simple Returns'!A36)</f>
        <v/>
      </c>
      <c r="B36" s="25">
        <f>IF($A36="","",SUM(MMULT('05 Simple Returns'!B36:G36,'08 Optimisation'!$B$36:$B$41)))</f>
        <v/>
      </c>
      <c r="C36" s="25">
        <f>IF($A36="","",SUM(MMULT('06 Log Returns'!B36:G36,'08 Optimisation'!$B$36:$B$41)))</f>
        <v/>
      </c>
      <c r="D36" s="37">
        <f>IF($A36="","",IF(D35="","",D35*(1+B36)))</f>
        <v/>
      </c>
      <c r="E36" s="37">
        <f>IF($A36="","",MAX($D$5:D36))</f>
        <v/>
      </c>
      <c r="F36" s="25">
        <f>IF($A36="","",(E36-D36)/E36)</f>
        <v/>
      </c>
    </row>
    <row r="37">
      <c r="A37" s="23">
        <f>IF('05 Simple Returns'!A37="","",'05 Simple Returns'!A37)</f>
        <v/>
      </c>
      <c r="B37" s="25">
        <f>IF($A37="","",SUM(MMULT('05 Simple Returns'!B37:G37,'08 Optimisation'!$B$36:$B$41)))</f>
        <v/>
      </c>
      <c r="C37" s="25">
        <f>IF($A37="","",SUM(MMULT('06 Log Returns'!B37:G37,'08 Optimisation'!$B$36:$B$41)))</f>
        <v/>
      </c>
      <c r="D37" s="37">
        <f>IF($A37="","",IF(D36="","",D36*(1+B37)))</f>
        <v/>
      </c>
      <c r="E37" s="37">
        <f>IF($A37="","",MAX($D$5:D37))</f>
        <v/>
      </c>
      <c r="F37" s="25">
        <f>IF($A37="","",(E37-D37)/E37)</f>
        <v/>
      </c>
    </row>
    <row r="38">
      <c r="A38" s="23">
        <f>IF('05 Simple Returns'!A38="","",'05 Simple Returns'!A38)</f>
        <v/>
      </c>
      <c r="B38" s="25">
        <f>IF($A38="","",SUM(MMULT('05 Simple Returns'!B38:G38,'08 Optimisation'!$B$36:$B$41)))</f>
        <v/>
      </c>
      <c r="C38" s="25">
        <f>IF($A38="","",SUM(MMULT('06 Log Returns'!B38:G38,'08 Optimisation'!$B$36:$B$41)))</f>
        <v/>
      </c>
      <c r="D38" s="37">
        <f>IF($A38="","",IF(D37="","",D37*(1+B38)))</f>
        <v/>
      </c>
      <c r="E38" s="37">
        <f>IF($A38="","",MAX($D$5:D38))</f>
        <v/>
      </c>
      <c r="F38" s="25">
        <f>IF($A38="","",(E38-D38)/E38)</f>
        <v/>
      </c>
    </row>
    <row r="39">
      <c r="A39" s="23">
        <f>IF('05 Simple Returns'!A39="","",'05 Simple Returns'!A39)</f>
        <v/>
      </c>
      <c r="B39" s="25">
        <f>IF($A39="","",SUM(MMULT('05 Simple Returns'!B39:G39,'08 Optimisation'!$B$36:$B$41)))</f>
        <v/>
      </c>
      <c r="C39" s="25">
        <f>IF($A39="","",SUM(MMULT('06 Log Returns'!B39:G39,'08 Optimisation'!$B$36:$B$41)))</f>
        <v/>
      </c>
      <c r="D39" s="37">
        <f>IF($A39="","",IF(D38="","",D38*(1+B39)))</f>
        <v/>
      </c>
      <c r="E39" s="37">
        <f>IF($A39="","",MAX($D$5:D39))</f>
        <v/>
      </c>
      <c r="F39" s="25">
        <f>IF($A39="","",(E39-D39)/E39)</f>
        <v/>
      </c>
    </row>
    <row r="40">
      <c r="A40" s="23">
        <f>IF('05 Simple Returns'!A40="","",'05 Simple Returns'!A40)</f>
        <v/>
      </c>
      <c r="B40" s="25">
        <f>IF($A40="","",SUM(MMULT('05 Simple Returns'!B40:G40,'08 Optimisation'!$B$36:$B$41)))</f>
        <v/>
      </c>
      <c r="C40" s="25">
        <f>IF($A40="","",SUM(MMULT('06 Log Returns'!B40:G40,'08 Optimisation'!$B$36:$B$41)))</f>
        <v/>
      </c>
      <c r="D40" s="37">
        <f>IF($A40="","",IF(D39="","",D39*(1+B40)))</f>
        <v/>
      </c>
      <c r="E40" s="37">
        <f>IF($A40="","",MAX($D$5:D40))</f>
        <v/>
      </c>
      <c r="F40" s="25">
        <f>IF($A40="","",(E40-D40)/E40)</f>
        <v/>
      </c>
    </row>
    <row r="41">
      <c r="A41" s="23">
        <f>IF('05 Simple Returns'!A41="","",'05 Simple Returns'!A41)</f>
        <v/>
      </c>
      <c r="B41" s="25">
        <f>IF($A41="","",SUM(MMULT('05 Simple Returns'!B41:G41,'08 Optimisation'!$B$36:$B$41)))</f>
        <v/>
      </c>
      <c r="C41" s="25">
        <f>IF($A41="","",SUM(MMULT('06 Log Returns'!B41:G41,'08 Optimisation'!$B$36:$B$41)))</f>
        <v/>
      </c>
      <c r="D41" s="37">
        <f>IF($A41="","",IF(D40="","",D40*(1+B41)))</f>
        <v/>
      </c>
      <c r="E41" s="37">
        <f>IF($A41="","",MAX($D$5:D41))</f>
        <v/>
      </c>
      <c r="F41" s="25">
        <f>IF($A41="","",(E41-D41)/E41)</f>
        <v/>
      </c>
    </row>
    <row r="42">
      <c r="A42" s="23">
        <f>IF('05 Simple Returns'!A42="","",'05 Simple Returns'!A42)</f>
        <v/>
      </c>
      <c r="B42" s="25">
        <f>IF($A42="","",SUM(MMULT('05 Simple Returns'!B42:G42,'08 Optimisation'!$B$36:$B$41)))</f>
        <v/>
      </c>
      <c r="C42" s="25">
        <f>IF($A42="","",SUM(MMULT('06 Log Returns'!B42:G42,'08 Optimisation'!$B$36:$B$41)))</f>
        <v/>
      </c>
      <c r="D42" s="37">
        <f>IF($A42="","",IF(D41="","",D41*(1+B42)))</f>
        <v/>
      </c>
      <c r="E42" s="37">
        <f>IF($A42="","",MAX($D$5:D42))</f>
        <v/>
      </c>
      <c r="F42" s="25">
        <f>IF($A42="","",(E42-D42)/E42)</f>
        <v/>
      </c>
    </row>
    <row r="43">
      <c r="A43" s="23">
        <f>IF('05 Simple Returns'!A43="","",'05 Simple Returns'!A43)</f>
        <v/>
      </c>
      <c r="B43" s="25">
        <f>IF($A43="","",SUM(MMULT('05 Simple Returns'!B43:G43,'08 Optimisation'!$B$36:$B$41)))</f>
        <v/>
      </c>
      <c r="C43" s="25">
        <f>IF($A43="","",SUM(MMULT('06 Log Returns'!B43:G43,'08 Optimisation'!$B$36:$B$41)))</f>
        <v/>
      </c>
      <c r="D43" s="37">
        <f>IF($A43="","",IF(D42="","",D42*(1+B43)))</f>
        <v/>
      </c>
      <c r="E43" s="37">
        <f>IF($A43="","",MAX($D$5:D43))</f>
        <v/>
      </c>
      <c r="F43" s="25">
        <f>IF($A43="","",(E43-D43)/E43)</f>
        <v/>
      </c>
    </row>
    <row r="44">
      <c r="A44" s="23">
        <f>IF('05 Simple Returns'!A44="","",'05 Simple Returns'!A44)</f>
        <v/>
      </c>
      <c r="B44" s="25">
        <f>IF($A44="","",SUM(MMULT('05 Simple Returns'!B44:G44,'08 Optimisation'!$B$36:$B$41)))</f>
        <v/>
      </c>
      <c r="C44" s="25">
        <f>IF($A44="","",SUM(MMULT('06 Log Returns'!B44:G44,'08 Optimisation'!$B$36:$B$41)))</f>
        <v/>
      </c>
      <c r="D44" s="37">
        <f>IF($A44="","",IF(D43="","",D43*(1+B44)))</f>
        <v/>
      </c>
      <c r="E44" s="37">
        <f>IF($A44="","",MAX($D$5:D44))</f>
        <v/>
      </c>
      <c r="F44" s="25">
        <f>IF($A44="","",(E44-D44)/E44)</f>
        <v/>
      </c>
    </row>
    <row r="45">
      <c r="A45" s="23">
        <f>IF('05 Simple Returns'!A45="","",'05 Simple Returns'!A45)</f>
        <v/>
      </c>
      <c r="B45" s="25">
        <f>IF($A45="","",SUM(MMULT('05 Simple Returns'!B45:G45,'08 Optimisation'!$B$36:$B$41)))</f>
        <v/>
      </c>
      <c r="C45" s="25">
        <f>IF($A45="","",SUM(MMULT('06 Log Returns'!B45:G45,'08 Optimisation'!$B$36:$B$41)))</f>
        <v/>
      </c>
      <c r="D45" s="37">
        <f>IF($A45="","",IF(D44="","",D44*(1+B45)))</f>
        <v/>
      </c>
      <c r="E45" s="37">
        <f>IF($A45="","",MAX($D$5:D45))</f>
        <v/>
      </c>
      <c r="F45" s="25">
        <f>IF($A45="","",(E45-D45)/E45)</f>
        <v/>
      </c>
    </row>
    <row r="46">
      <c r="A46" s="23">
        <f>IF('05 Simple Returns'!A46="","",'05 Simple Returns'!A46)</f>
        <v/>
      </c>
      <c r="B46" s="25">
        <f>IF($A46="","",SUM(MMULT('05 Simple Returns'!B46:G46,'08 Optimisation'!$B$36:$B$41)))</f>
        <v/>
      </c>
      <c r="C46" s="25">
        <f>IF($A46="","",SUM(MMULT('06 Log Returns'!B46:G46,'08 Optimisation'!$B$36:$B$41)))</f>
        <v/>
      </c>
      <c r="D46" s="37">
        <f>IF($A46="","",IF(D45="","",D45*(1+B46)))</f>
        <v/>
      </c>
      <c r="E46" s="37">
        <f>IF($A46="","",MAX($D$5:D46))</f>
        <v/>
      </c>
      <c r="F46" s="25">
        <f>IF($A46="","",(E46-D46)/E46)</f>
        <v/>
      </c>
    </row>
    <row r="47">
      <c r="A47" s="23">
        <f>IF('05 Simple Returns'!A47="","",'05 Simple Returns'!A47)</f>
        <v/>
      </c>
      <c r="B47" s="25">
        <f>IF($A47="","",SUM(MMULT('05 Simple Returns'!B47:G47,'08 Optimisation'!$B$36:$B$41)))</f>
        <v/>
      </c>
      <c r="C47" s="25">
        <f>IF($A47="","",SUM(MMULT('06 Log Returns'!B47:G47,'08 Optimisation'!$B$36:$B$41)))</f>
        <v/>
      </c>
      <c r="D47" s="37">
        <f>IF($A47="","",IF(D46="","",D46*(1+B47)))</f>
        <v/>
      </c>
      <c r="E47" s="37">
        <f>IF($A47="","",MAX($D$5:D47))</f>
        <v/>
      </c>
      <c r="F47" s="25">
        <f>IF($A47="","",(E47-D47)/E47)</f>
        <v/>
      </c>
    </row>
    <row r="48">
      <c r="A48" s="23">
        <f>IF('05 Simple Returns'!A48="","",'05 Simple Returns'!A48)</f>
        <v/>
      </c>
      <c r="B48" s="25">
        <f>IF($A48="","",SUM(MMULT('05 Simple Returns'!B48:G48,'08 Optimisation'!$B$36:$B$41)))</f>
        <v/>
      </c>
      <c r="C48" s="25">
        <f>IF($A48="","",SUM(MMULT('06 Log Returns'!B48:G48,'08 Optimisation'!$B$36:$B$41)))</f>
        <v/>
      </c>
      <c r="D48" s="37">
        <f>IF($A48="","",IF(D47="","",D47*(1+B48)))</f>
        <v/>
      </c>
      <c r="E48" s="37">
        <f>IF($A48="","",MAX($D$5:D48))</f>
        <v/>
      </c>
      <c r="F48" s="25">
        <f>IF($A48="","",(E48-D48)/E48)</f>
        <v/>
      </c>
    </row>
    <row r="49">
      <c r="A49" s="23">
        <f>IF('05 Simple Returns'!A49="","",'05 Simple Returns'!A49)</f>
        <v/>
      </c>
      <c r="B49" s="25">
        <f>IF($A49="","",SUM(MMULT('05 Simple Returns'!B49:G49,'08 Optimisation'!$B$36:$B$41)))</f>
        <v/>
      </c>
      <c r="C49" s="25">
        <f>IF($A49="","",SUM(MMULT('06 Log Returns'!B49:G49,'08 Optimisation'!$B$36:$B$41)))</f>
        <v/>
      </c>
      <c r="D49" s="37">
        <f>IF($A49="","",IF(D48="","",D48*(1+B49)))</f>
        <v/>
      </c>
      <c r="E49" s="37">
        <f>IF($A49="","",MAX($D$5:D49))</f>
        <v/>
      </c>
      <c r="F49" s="25">
        <f>IF($A49="","",(E49-D49)/E49)</f>
        <v/>
      </c>
    </row>
    <row r="50">
      <c r="A50" s="23">
        <f>IF('05 Simple Returns'!A50="","",'05 Simple Returns'!A50)</f>
        <v/>
      </c>
      <c r="B50" s="25">
        <f>IF($A50="","",SUM(MMULT('05 Simple Returns'!B50:G50,'08 Optimisation'!$B$36:$B$41)))</f>
        <v/>
      </c>
      <c r="C50" s="25">
        <f>IF($A50="","",SUM(MMULT('06 Log Returns'!B50:G50,'08 Optimisation'!$B$36:$B$41)))</f>
        <v/>
      </c>
      <c r="D50" s="37">
        <f>IF($A50="","",IF(D49="","",D49*(1+B50)))</f>
        <v/>
      </c>
      <c r="E50" s="37">
        <f>IF($A50="","",MAX($D$5:D50))</f>
        <v/>
      </c>
      <c r="F50" s="25">
        <f>IF($A50="","",(E50-D50)/E50)</f>
        <v/>
      </c>
    </row>
    <row r="51">
      <c r="A51" s="23">
        <f>IF('05 Simple Returns'!A51="","",'05 Simple Returns'!A51)</f>
        <v/>
      </c>
      <c r="B51" s="25">
        <f>IF($A51="","",SUM(MMULT('05 Simple Returns'!B51:G51,'08 Optimisation'!$B$36:$B$41)))</f>
        <v/>
      </c>
      <c r="C51" s="25">
        <f>IF($A51="","",SUM(MMULT('06 Log Returns'!B51:G51,'08 Optimisation'!$B$36:$B$41)))</f>
        <v/>
      </c>
      <c r="D51" s="37">
        <f>IF($A51="","",IF(D50="","",D50*(1+B51)))</f>
        <v/>
      </c>
      <c r="E51" s="37">
        <f>IF($A51="","",MAX($D$5:D51))</f>
        <v/>
      </c>
      <c r="F51" s="25">
        <f>IF($A51="","",(E51-D51)/E51)</f>
        <v/>
      </c>
    </row>
    <row r="52">
      <c r="A52" s="23">
        <f>IF('05 Simple Returns'!A52="","",'05 Simple Returns'!A52)</f>
        <v/>
      </c>
      <c r="B52" s="25">
        <f>IF($A52="","",SUM(MMULT('05 Simple Returns'!B52:G52,'08 Optimisation'!$B$36:$B$41)))</f>
        <v/>
      </c>
      <c r="C52" s="25">
        <f>IF($A52="","",SUM(MMULT('06 Log Returns'!B52:G52,'08 Optimisation'!$B$36:$B$41)))</f>
        <v/>
      </c>
      <c r="D52" s="37">
        <f>IF($A52="","",IF(D51="","",D51*(1+B52)))</f>
        <v/>
      </c>
      <c r="E52" s="37">
        <f>IF($A52="","",MAX($D$5:D52))</f>
        <v/>
      </c>
      <c r="F52" s="25">
        <f>IF($A52="","",(E52-D52)/E52)</f>
        <v/>
      </c>
    </row>
    <row r="53">
      <c r="A53" s="23">
        <f>IF('05 Simple Returns'!A53="","",'05 Simple Returns'!A53)</f>
        <v/>
      </c>
      <c r="B53" s="25">
        <f>IF($A53="","",SUM(MMULT('05 Simple Returns'!B53:G53,'08 Optimisation'!$B$36:$B$41)))</f>
        <v/>
      </c>
      <c r="C53" s="25">
        <f>IF($A53="","",SUM(MMULT('06 Log Returns'!B53:G53,'08 Optimisation'!$B$36:$B$41)))</f>
        <v/>
      </c>
      <c r="D53" s="37">
        <f>IF($A53="","",IF(D52="","",D52*(1+B53)))</f>
        <v/>
      </c>
      <c r="E53" s="37">
        <f>IF($A53="","",MAX($D$5:D53))</f>
        <v/>
      </c>
      <c r="F53" s="25">
        <f>IF($A53="","",(E53-D53)/E53)</f>
        <v/>
      </c>
    </row>
    <row r="54">
      <c r="A54" s="23">
        <f>IF('05 Simple Returns'!A54="","",'05 Simple Returns'!A54)</f>
        <v/>
      </c>
      <c r="B54" s="25">
        <f>IF($A54="","",SUM(MMULT('05 Simple Returns'!B54:G54,'08 Optimisation'!$B$36:$B$41)))</f>
        <v/>
      </c>
      <c r="C54" s="25">
        <f>IF($A54="","",SUM(MMULT('06 Log Returns'!B54:G54,'08 Optimisation'!$B$36:$B$41)))</f>
        <v/>
      </c>
      <c r="D54" s="37">
        <f>IF($A54="","",IF(D53="","",D53*(1+B54)))</f>
        <v/>
      </c>
      <c r="E54" s="37">
        <f>IF($A54="","",MAX($D$5:D54))</f>
        <v/>
      </c>
      <c r="F54" s="25">
        <f>IF($A54="","",(E54-D54)/E54)</f>
        <v/>
      </c>
    </row>
    <row r="55">
      <c r="A55" s="23">
        <f>IF('05 Simple Returns'!A55="","",'05 Simple Returns'!A55)</f>
        <v/>
      </c>
      <c r="B55" s="25">
        <f>IF($A55="","",SUM(MMULT('05 Simple Returns'!B55:G55,'08 Optimisation'!$B$36:$B$41)))</f>
        <v/>
      </c>
      <c r="C55" s="25">
        <f>IF($A55="","",SUM(MMULT('06 Log Returns'!B55:G55,'08 Optimisation'!$B$36:$B$41)))</f>
        <v/>
      </c>
      <c r="D55" s="37">
        <f>IF($A55="","",IF(D54="","",D54*(1+B55)))</f>
        <v/>
      </c>
      <c r="E55" s="37">
        <f>IF($A55="","",MAX($D$5:D55))</f>
        <v/>
      </c>
      <c r="F55" s="25">
        <f>IF($A55="","",(E55-D55)/E55)</f>
        <v/>
      </c>
    </row>
    <row r="56">
      <c r="A56" s="23">
        <f>IF('05 Simple Returns'!A56="","",'05 Simple Returns'!A56)</f>
        <v/>
      </c>
      <c r="B56" s="25">
        <f>IF($A56="","",SUM(MMULT('05 Simple Returns'!B56:G56,'08 Optimisation'!$B$36:$B$41)))</f>
        <v/>
      </c>
      <c r="C56" s="25">
        <f>IF($A56="","",SUM(MMULT('06 Log Returns'!B56:G56,'08 Optimisation'!$B$36:$B$41)))</f>
        <v/>
      </c>
      <c r="D56" s="37">
        <f>IF($A56="","",IF(D55="","",D55*(1+B56)))</f>
        <v/>
      </c>
      <c r="E56" s="37">
        <f>IF($A56="","",MAX($D$5:D56))</f>
        <v/>
      </c>
      <c r="F56" s="25">
        <f>IF($A56="","",(E56-D56)/E56)</f>
        <v/>
      </c>
    </row>
    <row r="57">
      <c r="A57" s="23">
        <f>IF('05 Simple Returns'!A57="","",'05 Simple Returns'!A57)</f>
        <v/>
      </c>
      <c r="B57" s="25">
        <f>IF($A57="","",SUM(MMULT('05 Simple Returns'!B57:G57,'08 Optimisation'!$B$36:$B$41)))</f>
        <v/>
      </c>
      <c r="C57" s="25">
        <f>IF($A57="","",SUM(MMULT('06 Log Returns'!B57:G57,'08 Optimisation'!$B$36:$B$41)))</f>
        <v/>
      </c>
      <c r="D57" s="37">
        <f>IF($A57="","",IF(D56="","",D56*(1+B57)))</f>
        <v/>
      </c>
      <c r="E57" s="37">
        <f>IF($A57="","",MAX($D$5:D57))</f>
        <v/>
      </c>
      <c r="F57" s="25">
        <f>IF($A57="","",(E57-D57)/E57)</f>
        <v/>
      </c>
    </row>
    <row r="58">
      <c r="A58" s="23">
        <f>IF('05 Simple Returns'!A58="","",'05 Simple Returns'!A58)</f>
        <v/>
      </c>
      <c r="B58" s="25">
        <f>IF($A58="","",SUM(MMULT('05 Simple Returns'!B58:G58,'08 Optimisation'!$B$36:$B$41)))</f>
        <v/>
      </c>
      <c r="C58" s="25">
        <f>IF($A58="","",SUM(MMULT('06 Log Returns'!B58:G58,'08 Optimisation'!$B$36:$B$41)))</f>
        <v/>
      </c>
      <c r="D58" s="37">
        <f>IF($A58="","",IF(D57="","",D57*(1+B58)))</f>
        <v/>
      </c>
      <c r="E58" s="37">
        <f>IF($A58="","",MAX($D$5:D58))</f>
        <v/>
      </c>
      <c r="F58" s="25">
        <f>IF($A58="","",(E58-D58)/E58)</f>
        <v/>
      </c>
    </row>
    <row r="59">
      <c r="A59" s="23">
        <f>IF('05 Simple Returns'!A59="","",'05 Simple Returns'!A59)</f>
        <v/>
      </c>
      <c r="B59" s="25">
        <f>IF($A59="","",SUM(MMULT('05 Simple Returns'!B59:G59,'08 Optimisation'!$B$36:$B$41)))</f>
        <v/>
      </c>
      <c r="C59" s="25">
        <f>IF($A59="","",SUM(MMULT('06 Log Returns'!B59:G59,'08 Optimisation'!$B$36:$B$41)))</f>
        <v/>
      </c>
      <c r="D59" s="37">
        <f>IF($A59="","",IF(D58="","",D58*(1+B59)))</f>
        <v/>
      </c>
      <c r="E59" s="37">
        <f>IF($A59="","",MAX($D$5:D59))</f>
        <v/>
      </c>
      <c r="F59" s="25">
        <f>IF($A59="","",(E59-D59)/E59)</f>
        <v/>
      </c>
    </row>
    <row r="60">
      <c r="A60" s="23">
        <f>IF('05 Simple Returns'!A60="","",'05 Simple Returns'!A60)</f>
        <v/>
      </c>
      <c r="B60" s="25">
        <f>IF($A60="","",SUM(MMULT('05 Simple Returns'!B60:G60,'08 Optimisation'!$B$36:$B$41)))</f>
        <v/>
      </c>
      <c r="C60" s="25">
        <f>IF($A60="","",SUM(MMULT('06 Log Returns'!B60:G60,'08 Optimisation'!$B$36:$B$41)))</f>
        <v/>
      </c>
      <c r="D60" s="37">
        <f>IF($A60="","",IF(D59="","",D59*(1+B60)))</f>
        <v/>
      </c>
      <c r="E60" s="37">
        <f>IF($A60="","",MAX($D$5:D60))</f>
        <v/>
      </c>
      <c r="F60" s="25">
        <f>IF($A60="","",(E60-D60)/E60)</f>
        <v/>
      </c>
    </row>
    <row r="61">
      <c r="A61" s="23">
        <f>IF('05 Simple Returns'!A61="","",'05 Simple Returns'!A61)</f>
        <v/>
      </c>
      <c r="B61" s="25">
        <f>IF($A61="","",SUM(MMULT('05 Simple Returns'!B61:G61,'08 Optimisation'!$B$36:$B$41)))</f>
        <v/>
      </c>
      <c r="C61" s="25">
        <f>IF($A61="","",SUM(MMULT('06 Log Returns'!B61:G61,'08 Optimisation'!$B$36:$B$41)))</f>
        <v/>
      </c>
      <c r="D61" s="37">
        <f>IF($A61="","",IF(D60="","",D60*(1+B61)))</f>
        <v/>
      </c>
      <c r="E61" s="37">
        <f>IF($A61="","",MAX($D$5:D61))</f>
        <v/>
      </c>
      <c r="F61" s="25">
        <f>IF($A61="","",(E61-D61)/E61)</f>
        <v/>
      </c>
    </row>
    <row r="62">
      <c r="A62" s="23">
        <f>IF('05 Simple Returns'!A62="","",'05 Simple Returns'!A62)</f>
        <v/>
      </c>
      <c r="B62" s="25">
        <f>IF($A62="","",SUM(MMULT('05 Simple Returns'!B62:G62,'08 Optimisation'!$B$36:$B$41)))</f>
        <v/>
      </c>
      <c r="C62" s="25">
        <f>IF($A62="","",SUM(MMULT('06 Log Returns'!B62:G62,'08 Optimisation'!$B$36:$B$41)))</f>
        <v/>
      </c>
      <c r="D62" s="37">
        <f>IF($A62="","",IF(D61="","",D61*(1+B62)))</f>
        <v/>
      </c>
      <c r="E62" s="37">
        <f>IF($A62="","",MAX($D$5:D62))</f>
        <v/>
      </c>
      <c r="F62" s="25">
        <f>IF($A62="","",(E62-D62)/E62)</f>
        <v/>
      </c>
    </row>
    <row r="63">
      <c r="A63" s="23">
        <f>IF('05 Simple Returns'!A63="","",'05 Simple Returns'!A63)</f>
        <v/>
      </c>
      <c r="B63" s="25">
        <f>IF($A63="","",SUM(MMULT('05 Simple Returns'!B63:G63,'08 Optimisation'!$B$36:$B$41)))</f>
        <v/>
      </c>
      <c r="C63" s="25">
        <f>IF($A63="","",SUM(MMULT('06 Log Returns'!B63:G63,'08 Optimisation'!$B$36:$B$41)))</f>
        <v/>
      </c>
      <c r="D63" s="37">
        <f>IF($A63="","",IF(D62="","",D62*(1+B63)))</f>
        <v/>
      </c>
      <c r="E63" s="37">
        <f>IF($A63="","",MAX($D$5:D63))</f>
        <v/>
      </c>
      <c r="F63" s="25">
        <f>IF($A63="","",(E63-D63)/E63)</f>
        <v/>
      </c>
    </row>
    <row r="64">
      <c r="A64" s="23">
        <f>IF('05 Simple Returns'!A64="","",'05 Simple Returns'!A64)</f>
        <v/>
      </c>
      <c r="B64" s="25">
        <f>IF($A64="","",SUM(MMULT('05 Simple Returns'!B64:G64,'08 Optimisation'!$B$36:$B$41)))</f>
        <v/>
      </c>
      <c r="C64" s="25">
        <f>IF($A64="","",SUM(MMULT('06 Log Returns'!B64:G64,'08 Optimisation'!$B$36:$B$41)))</f>
        <v/>
      </c>
      <c r="D64" s="37">
        <f>IF($A64="","",IF(D63="","",D63*(1+B64)))</f>
        <v/>
      </c>
      <c r="E64" s="37">
        <f>IF($A64="","",MAX($D$5:D64))</f>
        <v/>
      </c>
      <c r="F64" s="25">
        <f>IF($A64="","",(E64-D64)/E64)</f>
        <v/>
      </c>
    </row>
    <row r="65">
      <c r="A65" s="23">
        <f>IF('05 Simple Returns'!A65="","",'05 Simple Returns'!A65)</f>
        <v/>
      </c>
      <c r="B65" s="25">
        <f>IF($A65="","",SUM(MMULT('05 Simple Returns'!B65:G65,'08 Optimisation'!$B$36:$B$41)))</f>
        <v/>
      </c>
      <c r="C65" s="25">
        <f>IF($A65="","",SUM(MMULT('06 Log Returns'!B65:G65,'08 Optimisation'!$B$36:$B$41)))</f>
        <v/>
      </c>
      <c r="D65" s="37">
        <f>IF($A65="","",IF(D64="","",D64*(1+B65)))</f>
        <v/>
      </c>
      <c r="E65" s="37">
        <f>IF($A65="","",MAX($D$5:D65))</f>
        <v/>
      </c>
      <c r="F65" s="25">
        <f>IF($A65="","",(E65-D65)/E65)</f>
        <v/>
      </c>
    </row>
    <row r="66">
      <c r="A66" s="23">
        <f>IF('05 Simple Returns'!A66="","",'05 Simple Returns'!A66)</f>
        <v/>
      </c>
      <c r="B66" s="25">
        <f>IF($A66="","",SUM(MMULT('05 Simple Returns'!B66:G66,'08 Optimisation'!$B$36:$B$41)))</f>
        <v/>
      </c>
      <c r="C66" s="25">
        <f>IF($A66="","",SUM(MMULT('06 Log Returns'!B66:G66,'08 Optimisation'!$B$36:$B$41)))</f>
        <v/>
      </c>
      <c r="D66" s="37">
        <f>IF($A66="","",IF(D65="","",D65*(1+B66)))</f>
        <v/>
      </c>
      <c r="E66" s="37">
        <f>IF($A66="","",MAX($D$5:D66))</f>
        <v/>
      </c>
      <c r="F66" s="25">
        <f>IF($A66="","",(E66-D66)/E66)</f>
        <v/>
      </c>
    </row>
    <row r="67">
      <c r="A67" s="23">
        <f>IF('05 Simple Returns'!A67="","",'05 Simple Returns'!A67)</f>
        <v/>
      </c>
      <c r="B67" s="25">
        <f>IF($A67="","",SUM(MMULT('05 Simple Returns'!B67:G67,'08 Optimisation'!$B$36:$B$41)))</f>
        <v/>
      </c>
      <c r="C67" s="25">
        <f>IF($A67="","",SUM(MMULT('06 Log Returns'!B67:G67,'08 Optimisation'!$B$36:$B$41)))</f>
        <v/>
      </c>
      <c r="D67" s="37">
        <f>IF($A67="","",IF(D66="","",D66*(1+B67)))</f>
        <v/>
      </c>
      <c r="E67" s="37">
        <f>IF($A67="","",MAX($D$5:D67))</f>
        <v/>
      </c>
      <c r="F67" s="25">
        <f>IF($A67="","",(E67-D67)/E67)</f>
        <v/>
      </c>
    </row>
    <row r="68">
      <c r="A68" s="23">
        <f>IF('05 Simple Returns'!A68="","",'05 Simple Returns'!A68)</f>
        <v/>
      </c>
      <c r="B68" s="25">
        <f>IF($A68="","",SUM(MMULT('05 Simple Returns'!B68:G68,'08 Optimisation'!$B$36:$B$41)))</f>
        <v/>
      </c>
      <c r="C68" s="25">
        <f>IF($A68="","",SUM(MMULT('06 Log Returns'!B68:G68,'08 Optimisation'!$B$36:$B$41)))</f>
        <v/>
      </c>
      <c r="D68" s="37">
        <f>IF($A68="","",IF(D67="","",D67*(1+B68)))</f>
        <v/>
      </c>
      <c r="E68" s="37">
        <f>IF($A68="","",MAX($D$5:D68))</f>
        <v/>
      </c>
      <c r="F68" s="25">
        <f>IF($A68="","",(E68-D68)/E68)</f>
        <v/>
      </c>
    </row>
    <row r="69">
      <c r="A69" s="23">
        <f>IF('05 Simple Returns'!A69="","",'05 Simple Returns'!A69)</f>
        <v/>
      </c>
      <c r="B69" s="25">
        <f>IF($A69="","",SUM(MMULT('05 Simple Returns'!B69:G69,'08 Optimisation'!$B$36:$B$41)))</f>
        <v/>
      </c>
      <c r="C69" s="25">
        <f>IF($A69="","",SUM(MMULT('06 Log Returns'!B69:G69,'08 Optimisation'!$B$36:$B$41)))</f>
        <v/>
      </c>
      <c r="D69" s="37">
        <f>IF($A69="","",IF(D68="","",D68*(1+B69)))</f>
        <v/>
      </c>
      <c r="E69" s="37">
        <f>IF($A69="","",MAX($D$5:D69))</f>
        <v/>
      </c>
      <c r="F69" s="25">
        <f>IF($A69="","",(E69-D69)/E69)</f>
        <v/>
      </c>
    </row>
    <row r="70">
      <c r="A70" s="23">
        <f>IF('05 Simple Returns'!A70="","",'05 Simple Returns'!A70)</f>
        <v/>
      </c>
      <c r="B70" s="25">
        <f>IF($A70="","",SUM(MMULT('05 Simple Returns'!B70:G70,'08 Optimisation'!$B$36:$B$41)))</f>
        <v/>
      </c>
      <c r="C70" s="25">
        <f>IF($A70="","",SUM(MMULT('06 Log Returns'!B70:G70,'08 Optimisation'!$B$36:$B$41)))</f>
        <v/>
      </c>
      <c r="D70" s="37">
        <f>IF($A70="","",IF(D69="","",D69*(1+B70)))</f>
        <v/>
      </c>
      <c r="E70" s="37">
        <f>IF($A70="","",MAX($D$5:D70))</f>
        <v/>
      </c>
      <c r="F70" s="25">
        <f>IF($A70="","",(E70-D70)/E70)</f>
        <v/>
      </c>
    </row>
    <row r="71">
      <c r="A71" s="23">
        <f>IF('05 Simple Returns'!A71="","",'05 Simple Returns'!A71)</f>
        <v/>
      </c>
      <c r="B71" s="25">
        <f>IF($A71="","",SUM(MMULT('05 Simple Returns'!B71:G71,'08 Optimisation'!$B$36:$B$41)))</f>
        <v/>
      </c>
      <c r="C71" s="25">
        <f>IF($A71="","",SUM(MMULT('06 Log Returns'!B71:G71,'08 Optimisation'!$B$36:$B$41)))</f>
        <v/>
      </c>
      <c r="D71" s="37">
        <f>IF($A71="","",IF(D70="","",D70*(1+B71)))</f>
        <v/>
      </c>
      <c r="E71" s="37">
        <f>IF($A71="","",MAX($D$5:D71))</f>
        <v/>
      </c>
      <c r="F71" s="25">
        <f>IF($A71="","",(E71-D71)/E71)</f>
        <v/>
      </c>
    </row>
    <row r="72">
      <c r="A72" s="23">
        <f>IF('05 Simple Returns'!A72="","",'05 Simple Returns'!A72)</f>
        <v/>
      </c>
      <c r="B72" s="25">
        <f>IF($A72="","",SUM(MMULT('05 Simple Returns'!B72:G72,'08 Optimisation'!$B$36:$B$41)))</f>
        <v/>
      </c>
      <c r="C72" s="25">
        <f>IF($A72="","",SUM(MMULT('06 Log Returns'!B72:G72,'08 Optimisation'!$B$36:$B$41)))</f>
        <v/>
      </c>
      <c r="D72" s="37">
        <f>IF($A72="","",IF(D71="","",D71*(1+B72)))</f>
        <v/>
      </c>
      <c r="E72" s="37">
        <f>IF($A72="","",MAX($D$5:D72))</f>
        <v/>
      </c>
      <c r="F72" s="25">
        <f>IF($A72="","",(E72-D72)/E72)</f>
        <v/>
      </c>
    </row>
    <row r="73">
      <c r="A73" s="23">
        <f>IF('05 Simple Returns'!A73="","",'05 Simple Returns'!A73)</f>
        <v/>
      </c>
      <c r="B73" s="25">
        <f>IF($A73="","",SUM(MMULT('05 Simple Returns'!B73:G73,'08 Optimisation'!$B$36:$B$41)))</f>
        <v/>
      </c>
      <c r="C73" s="25">
        <f>IF($A73="","",SUM(MMULT('06 Log Returns'!B73:G73,'08 Optimisation'!$B$36:$B$41)))</f>
        <v/>
      </c>
      <c r="D73" s="37">
        <f>IF($A73="","",IF(D72="","",D72*(1+B73)))</f>
        <v/>
      </c>
      <c r="E73" s="37">
        <f>IF($A73="","",MAX($D$5:D73))</f>
        <v/>
      </c>
      <c r="F73" s="25">
        <f>IF($A73="","",(E73-D73)/E73)</f>
        <v/>
      </c>
    </row>
    <row r="74">
      <c r="A74" s="23">
        <f>IF('05 Simple Returns'!A74="","",'05 Simple Returns'!A74)</f>
        <v/>
      </c>
      <c r="B74" s="25">
        <f>IF($A74="","",SUM(MMULT('05 Simple Returns'!B74:G74,'08 Optimisation'!$B$36:$B$41)))</f>
        <v/>
      </c>
      <c r="C74" s="25">
        <f>IF($A74="","",SUM(MMULT('06 Log Returns'!B74:G74,'08 Optimisation'!$B$36:$B$41)))</f>
        <v/>
      </c>
      <c r="D74" s="37">
        <f>IF($A74="","",IF(D73="","",D73*(1+B74)))</f>
        <v/>
      </c>
      <c r="E74" s="37">
        <f>IF($A74="","",MAX($D$5:D74))</f>
        <v/>
      </c>
      <c r="F74" s="25">
        <f>IF($A74="","",(E74-D74)/E74)</f>
        <v/>
      </c>
    </row>
    <row r="75">
      <c r="A75" s="23">
        <f>IF('05 Simple Returns'!A75="","",'05 Simple Returns'!A75)</f>
        <v/>
      </c>
      <c r="B75" s="25">
        <f>IF($A75="","",SUM(MMULT('05 Simple Returns'!B75:G75,'08 Optimisation'!$B$36:$B$41)))</f>
        <v/>
      </c>
      <c r="C75" s="25">
        <f>IF($A75="","",SUM(MMULT('06 Log Returns'!B75:G75,'08 Optimisation'!$B$36:$B$41)))</f>
        <v/>
      </c>
      <c r="D75" s="37">
        <f>IF($A75="","",IF(D74="","",D74*(1+B75)))</f>
        <v/>
      </c>
      <c r="E75" s="37">
        <f>IF($A75="","",MAX($D$5:D75))</f>
        <v/>
      </c>
      <c r="F75" s="25">
        <f>IF($A75="","",(E75-D75)/E75)</f>
        <v/>
      </c>
    </row>
    <row r="76">
      <c r="A76" s="23">
        <f>IF('05 Simple Returns'!A76="","",'05 Simple Returns'!A76)</f>
        <v/>
      </c>
      <c r="B76" s="25">
        <f>IF($A76="","",SUM(MMULT('05 Simple Returns'!B76:G76,'08 Optimisation'!$B$36:$B$41)))</f>
        <v/>
      </c>
      <c r="C76" s="25">
        <f>IF($A76="","",SUM(MMULT('06 Log Returns'!B76:G76,'08 Optimisation'!$B$36:$B$41)))</f>
        <v/>
      </c>
      <c r="D76" s="37">
        <f>IF($A76="","",IF(D75="","",D75*(1+B76)))</f>
        <v/>
      </c>
      <c r="E76" s="37">
        <f>IF($A76="","",MAX($D$5:D76))</f>
        <v/>
      </c>
      <c r="F76" s="25">
        <f>IF($A76="","",(E76-D76)/E76)</f>
        <v/>
      </c>
    </row>
    <row r="77">
      <c r="A77" s="23">
        <f>IF('05 Simple Returns'!A77="","",'05 Simple Returns'!A77)</f>
        <v/>
      </c>
      <c r="B77" s="25">
        <f>IF($A77="","",SUM(MMULT('05 Simple Returns'!B77:G77,'08 Optimisation'!$B$36:$B$41)))</f>
        <v/>
      </c>
      <c r="C77" s="25">
        <f>IF($A77="","",SUM(MMULT('06 Log Returns'!B77:G77,'08 Optimisation'!$B$36:$B$41)))</f>
        <v/>
      </c>
      <c r="D77" s="37">
        <f>IF($A77="","",IF(D76="","",D76*(1+B77)))</f>
        <v/>
      </c>
      <c r="E77" s="37">
        <f>IF($A77="","",MAX($D$5:D77))</f>
        <v/>
      </c>
      <c r="F77" s="25">
        <f>IF($A77="","",(E77-D77)/E77)</f>
        <v/>
      </c>
    </row>
    <row r="78">
      <c r="A78" s="23">
        <f>IF('05 Simple Returns'!A78="","",'05 Simple Returns'!A78)</f>
        <v/>
      </c>
      <c r="B78" s="25">
        <f>IF($A78="","",SUM(MMULT('05 Simple Returns'!B78:G78,'08 Optimisation'!$B$36:$B$41)))</f>
        <v/>
      </c>
      <c r="C78" s="25">
        <f>IF($A78="","",SUM(MMULT('06 Log Returns'!B78:G78,'08 Optimisation'!$B$36:$B$41)))</f>
        <v/>
      </c>
      <c r="D78" s="37">
        <f>IF($A78="","",IF(D77="","",D77*(1+B78)))</f>
        <v/>
      </c>
      <c r="E78" s="37">
        <f>IF($A78="","",MAX($D$5:D78))</f>
        <v/>
      </c>
      <c r="F78" s="25">
        <f>IF($A78="","",(E78-D78)/E78)</f>
        <v/>
      </c>
    </row>
    <row r="79">
      <c r="A79" s="23">
        <f>IF('05 Simple Returns'!A79="","",'05 Simple Returns'!A79)</f>
        <v/>
      </c>
      <c r="B79" s="25">
        <f>IF($A79="","",SUM(MMULT('05 Simple Returns'!B79:G79,'08 Optimisation'!$B$36:$B$41)))</f>
        <v/>
      </c>
      <c r="C79" s="25">
        <f>IF($A79="","",SUM(MMULT('06 Log Returns'!B79:G79,'08 Optimisation'!$B$36:$B$41)))</f>
        <v/>
      </c>
      <c r="D79" s="37">
        <f>IF($A79="","",IF(D78="","",D78*(1+B79)))</f>
        <v/>
      </c>
      <c r="E79" s="37">
        <f>IF($A79="","",MAX($D$5:D79))</f>
        <v/>
      </c>
      <c r="F79" s="25">
        <f>IF($A79="","",(E79-D79)/E79)</f>
        <v/>
      </c>
    </row>
    <row r="80">
      <c r="A80" s="23">
        <f>IF('05 Simple Returns'!A80="","",'05 Simple Returns'!A80)</f>
        <v/>
      </c>
      <c r="B80" s="25">
        <f>IF($A80="","",SUM(MMULT('05 Simple Returns'!B80:G80,'08 Optimisation'!$B$36:$B$41)))</f>
        <v/>
      </c>
      <c r="C80" s="25">
        <f>IF($A80="","",SUM(MMULT('06 Log Returns'!B80:G80,'08 Optimisation'!$B$36:$B$41)))</f>
        <v/>
      </c>
      <c r="D80" s="37">
        <f>IF($A80="","",IF(D79="","",D79*(1+B80)))</f>
        <v/>
      </c>
      <c r="E80" s="37">
        <f>IF($A80="","",MAX($D$5:D80))</f>
        <v/>
      </c>
      <c r="F80" s="25">
        <f>IF($A80="","",(E80-D80)/E80)</f>
        <v/>
      </c>
    </row>
    <row r="81">
      <c r="A81" s="23">
        <f>IF('05 Simple Returns'!A81="","",'05 Simple Returns'!A81)</f>
        <v/>
      </c>
      <c r="B81" s="25">
        <f>IF($A81="","",SUM(MMULT('05 Simple Returns'!B81:G81,'08 Optimisation'!$B$36:$B$41)))</f>
        <v/>
      </c>
      <c r="C81" s="25">
        <f>IF($A81="","",SUM(MMULT('06 Log Returns'!B81:G81,'08 Optimisation'!$B$36:$B$41)))</f>
        <v/>
      </c>
      <c r="D81" s="37">
        <f>IF($A81="","",IF(D80="","",D80*(1+B81)))</f>
        <v/>
      </c>
      <c r="E81" s="37">
        <f>IF($A81="","",MAX($D$5:D81))</f>
        <v/>
      </c>
      <c r="F81" s="25">
        <f>IF($A81="","",(E81-D81)/E81)</f>
        <v/>
      </c>
    </row>
    <row r="82">
      <c r="A82" s="23">
        <f>IF('05 Simple Returns'!A82="","",'05 Simple Returns'!A82)</f>
        <v/>
      </c>
      <c r="B82" s="25">
        <f>IF($A82="","",SUM(MMULT('05 Simple Returns'!B82:G82,'08 Optimisation'!$B$36:$B$41)))</f>
        <v/>
      </c>
      <c r="C82" s="25">
        <f>IF($A82="","",SUM(MMULT('06 Log Returns'!B82:G82,'08 Optimisation'!$B$36:$B$41)))</f>
        <v/>
      </c>
      <c r="D82" s="37">
        <f>IF($A82="","",IF(D81="","",D81*(1+B82)))</f>
        <v/>
      </c>
      <c r="E82" s="37">
        <f>IF($A82="","",MAX($D$5:D82))</f>
        <v/>
      </c>
      <c r="F82" s="25">
        <f>IF($A82="","",(E82-D82)/E82)</f>
        <v/>
      </c>
    </row>
    <row r="83">
      <c r="A83" s="23">
        <f>IF('05 Simple Returns'!A83="","",'05 Simple Returns'!A83)</f>
        <v/>
      </c>
      <c r="B83" s="25">
        <f>IF($A83="","",SUM(MMULT('05 Simple Returns'!B83:G83,'08 Optimisation'!$B$36:$B$41)))</f>
        <v/>
      </c>
      <c r="C83" s="25">
        <f>IF($A83="","",SUM(MMULT('06 Log Returns'!B83:G83,'08 Optimisation'!$B$36:$B$41)))</f>
        <v/>
      </c>
      <c r="D83" s="37">
        <f>IF($A83="","",IF(D82="","",D82*(1+B83)))</f>
        <v/>
      </c>
      <c r="E83" s="37">
        <f>IF($A83="","",MAX($D$5:D83))</f>
        <v/>
      </c>
      <c r="F83" s="25">
        <f>IF($A83="","",(E83-D83)/E83)</f>
        <v/>
      </c>
    </row>
    <row r="84">
      <c r="A84" s="23">
        <f>IF('05 Simple Returns'!A84="","",'05 Simple Returns'!A84)</f>
        <v/>
      </c>
      <c r="B84" s="25">
        <f>IF($A84="","",SUM(MMULT('05 Simple Returns'!B84:G84,'08 Optimisation'!$B$36:$B$41)))</f>
        <v/>
      </c>
      <c r="C84" s="25">
        <f>IF($A84="","",SUM(MMULT('06 Log Returns'!B84:G84,'08 Optimisation'!$B$36:$B$41)))</f>
        <v/>
      </c>
      <c r="D84" s="37">
        <f>IF($A84="","",IF(D83="","",D83*(1+B84)))</f>
        <v/>
      </c>
      <c r="E84" s="37">
        <f>IF($A84="","",MAX($D$5:D84))</f>
        <v/>
      </c>
      <c r="F84" s="25">
        <f>IF($A84="","",(E84-D84)/E84)</f>
        <v/>
      </c>
    </row>
    <row r="85">
      <c r="A85" s="23">
        <f>IF('05 Simple Returns'!A85="","",'05 Simple Returns'!A85)</f>
        <v/>
      </c>
      <c r="B85" s="25">
        <f>IF($A85="","",SUM(MMULT('05 Simple Returns'!B85:G85,'08 Optimisation'!$B$36:$B$41)))</f>
        <v/>
      </c>
      <c r="C85" s="25">
        <f>IF($A85="","",SUM(MMULT('06 Log Returns'!B85:G85,'08 Optimisation'!$B$36:$B$41)))</f>
        <v/>
      </c>
      <c r="D85" s="37">
        <f>IF($A85="","",IF(D84="","",D84*(1+B85)))</f>
        <v/>
      </c>
      <c r="E85" s="37">
        <f>IF($A85="","",MAX($D$5:D85))</f>
        <v/>
      </c>
      <c r="F85" s="25">
        <f>IF($A85="","",(E85-D85)/E85)</f>
        <v/>
      </c>
    </row>
    <row r="86">
      <c r="A86" s="23">
        <f>IF('05 Simple Returns'!A86="","",'05 Simple Returns'!A86)</f>
        <v/>
      </c>
      <c r="B86" s="25">
        <f>IF($A86="","",SUM(MMULT('05 Simple Returns'!B86:G86,'08 Optimisation'!$B$36:$B$41)))</f>
        <v/>
      </c>
      <c r="C86" s="25">
        <f>IF($A86="","",SUM(MMULT('06 Log Returns'!B86:G86,'08 Optimisation'!$B$36:$B$41)))</f>
        <v/>
      </c>
      <c r="D86" s="37">
        <f>IF($A86="","",IF(D85="","",D85*(1+B86)))</f>
        <v/>
      </c>
      <c r="E86" s="37">
        <f>IF($A86="","",MAX($D$5:D86))</f>
        <v/>
      </c>
      <c r="F86" s="25">
        <f>IF($A86="","",(E86-D86)/E86)</f>
        <v/>
      </c>
    </row>
    <row r="87">
      <c r="A87" s="23">
        <f>IF('05 Simple Returns'!A87="","",'05 Simple Returns'!A87)</f>
        <v/>
      </c>
      <c r="B87" s="25">
        <f>IF($A87="","",SUM(MMULT('05 Simple Returns'!B87:G87,'08 Optimisation'!$B$36:$B$41)))</f>
        <v/>
      </c>
      <c r="C87" s="25">
        <f>IF($A87="","",SUM(MMULT('06 Log Returns'!B87:G87,'08 Optimisation'!$B$36:$B$41)))</f>
        <v/>
      </c>
      <c r="D87" s="37">
        <f>IF($A87="","",IF(D86="","",D86*(1+B87)))</f>
        <v/>
      </c>
      <c r="E87" s="37">
        <f>IF($A87="","",MAX($D$5:D87))</f>
        <v/>
      </c>
      <c r="F87" s="25">
        <f>IF($A87="","",(E87-D87)/E87)</f>
        <v/>
      </c>
    </row>
    <row r="88">
      <c r="A88" s="23">
        <f>IF('05 Simple Returns'!A88="","",'05 Simple Returns'!A88)</f>
        <v/>
      </c>
      <c r="B88" s="25">
        <f>IF($A88="","",SUM(MMULT('05 Simple Returns'!B88:G88,'08 Optimisation'!$B$36:$B$41)))</f>
        <v/>
      </c>
      <c r="C88" s="25">
        <f>IF($A88="","",SUM(MMULT('06 Log Returns'!B88:G88,'08 Optimisation'!$B$36:$B$41)))</f>
        <v/>
      </c>
      <c r="D88" s="37">
        <f>IF($A88="","",IF(D87="","",D87*(1+B88)))</f>
        <v/>
      </c>
      <c r="E88" s="37">
        <f>IF($A88="","",MAX($D$5:D88))</f>
        <v/>
      </c>
      <c r="F88" s="25">
        <f>IF($A88="","",(E88-D88)/E88)</f>
        <v/>
      </c>
    </row>
    <row r="89">
      <c r="A89" s="23">
        <f>IF('05 Simple Returns'!A89="","",'05 Simple Returns'!A89)</f>
        <v/>
      </c>
      <c r="B89" s="25">
        <f>IF($A89="","",SUM(MMULT('05 Simple Returns'!B89:G89,'08 Optimisation'!$B$36:$B$41)))</f>
        <v/>
      </c>
      <c r="C89" s="25">
        <f>IF($A89="","",SUM(MMULT('06 Log Returns'!B89:G89,'08 Optimisation'!$B$36:$B$41)))</f>
        <v/>
      </c>
      <c r="D89" s="37">
        <f>IF($A89="","",IF(D88="","",D88*(1+B89)))</f>
        <v/>
      </c>
      <c r="E89" s="37">
        <f>IF($A89="","",MAX($D$5:D89))</f>
        <v/>
      </c>
      <c r="F89" s="25">
        <f>IF($A89="","",(E89-D89)/E89)</f>
        <v/>
      </c>
    </row>
    <row r="90">
      <c r="A90" s="23">
        <f>IF('05 Simple Returns'!A90="","",'05 Simple Returns'!A90)</f>
        <v/>
      </c>
      <c r="B90" s="25">
        <f>IF($A90="","",SUM(MMULT('05 Simple Returns'!B90:G90,'08 Optimisation'!$B$36:$B$41)))</f>
        <v/>
      </c>
      <c r="C90" s="25">
        <f>IF($A90="","",SUM(MMULT('06 Log Returns'!B90:G90,'08 Optimisation'!$B$36:$B$41)))</f>
        <v/>
      </c>
      <c r="D90" s="37">
        <f>IF($A90="","",IF(D89="","",D89*(1+B90)))</f>
        <v/>
      </c>
      <c r="E90" s="37">
        <f>IF($A90="","",MAX($D$5:D90))</f>
        <v/>
      </c>
      <c r="F90" s="25">
        <f>IF($A90="","",(E90-D90)/E90)</f>
        <v/>
      </c>
    </row>
    <row r="91">
      <c r="A91" s="23">
        <f>IF('05 Simple Returns'!A91="","",'05 Simple Returns'!A91)</f>
        <v/>
      </c>
      <c r="B91" s="25">
        <f>IF($A91="","",SUM(MMULT('05 Simple Returns'!B91:G91,'08 Optimisation'!$B$36:$B$41)))</f>
        <v/>
      </c>
      <c r="C91" s="25">
        <f>IF($A91="","",SUM(MMULT('06 Log Returns'!B91:G91,'08 Optimisation'!$B$36:$B$41)))</f>
        <v/>
      </c>
      <c r="D91" s="37">
        <f>IF($A91="","",IF(D90="","",D90*(1+B91)))</f>
        <v/>
      </c>
      <c r="E91" s="37">
        <f>IF($A91="","",MAX($D$5:D91))</f>
        <v/>
      </c>
      <c r="F91" s="25">
        <f>IF($A91="","",(E91-D91)/E91)</f>
        <v/>
      </c>
    </row>
    <row r="92">
      <c r="A92" s="23">
        <f>IF('05 Simple Returns'!A92="","",'05 Simple Returns'!A92)</f>
        <v/>
      </c>
      <c r="B92" s="25">
        <f>IF($A92="","",SUM(MMULT('05 Simple Returns'!B92:G92,'08 Optimisation'!$B$36:$B$41)))</f>
        <v/>
      </c>
      <c r="C92" s="25">
        <f>IF($A92="","",SUM(MMULT('06 Log Returns'!B92:G92,'08 Optimisation'!$B$36:$B$41)))</f>
        <v/>
      </c>
      <c r="D92" s="37">
        <f>IF($A92="","",IF(D91="","",D91*(1+B92)))</f>
        <v/>
      </c>
      <c r="E92" s="37">
        <f>IF($A92="","",MAX($D$5:D92))</f>
        <v/>
      </c>
      <c r="F92" s="25">
        <f>IF($A92="","",(E92-D92)/E92)</f>
        <v/>
      </c>
    </row>
    <row r="93">
      <c r="A93" s="23">
        <f>IF('05 Simple Returns'!A93="","",'05 Simple Returns'!A93)</f>
        <v/>
      </c>
      <c r="B93" s="25">
        <f>IF($A93="","",SUM(MMULT('05 Simple Returns'!B93:G93,'08 Optimisation'!$B$36:$B$41)))</f>
        <v/>
      </c>
      <c r="C93" s="25">
        <f>IF($A93="","",SUM(MMULT('06 Log Returns'!B93:G93,'08 Optimisation'!$B$36:$B$41)))</f>
        <v/>
      </c>
      <c r="D93" s="37">
        <f>IF($A93="","",IF(D92="","",D92*(1+B93)))</f>
        <v/>
      </c>
      <c r="E93" s="37">
        <f>IF($A93="","",MAX($D$5:D93))</f>
        <v/>
      </c>
      <c r="F93" s="25">
        <f>IF($A93="","",(E93-D93)/E93)</f>
        <v/>
      </c>
    </row>
    <row r="94">
      <c r="A94" s="23">
        <f>IF('05 Simple Returns'!A94="","",'05 Simple Returns'!A94)</f>
        <v/>
      </c>
      <c r="B94" s="25">
        <f>IF($A94="","",SUM(MMULT('05 Simple Returns'!B94:G94,'08 Optimisation'!$B$36:$B$41)))</f>
        <v/>
      </c>
      <c r="C94" s="25">
        <f>IF($A94="","",SUM(MMULT('06 Log Returns'!B94:G94,'08 Optimisation'!$B$36:$B$41)))</f>
        <v/>
      </c>
      <c r="D94" s="37">
        <f>IF($A94="","",IF(D93="","",D93*(1+B94)))</f>
        <v/>
      </c>
      <c r="E94" s="37">
        <f>IF($A94="","",MAX($D$5:D94))</f>
        <v/>
      </c>
      <c r="F94" s="25">
        <f>IF($A94="","",(E94-D94)/E94)</f>
        <v/>
      </c>
    </row>
    <row r="95">
      <c r="A95" s="23">
        <f>IF('05 Simple Returns'!A95="","",'05 Simple Returns'!A95)</f>
        <v/>
      </c>
      <c r="B95" s="25">
        <f>IF($A95="","",SUM(MMULT('05 Simple Returns'!B95:G95,'08 Optimisation'!$B$36:$B$41)))</f>
        <v/>
      </c>
      <c r="C95" s="25">
        <f>IF($A95="","",SUM(MMULT('06 Log Returns'!B95:G95,'08 Optimisation'!$B$36:$B$41)))</f>
        <v/>
      </c>
      <c r="D95" s="37">
        <f>IF($A95="","",IF(D94="","",D94*(1+B95)))</f>
        <v/>
      </c>
      <c r="E95" s="37">
        <f>IF($A95="","",MAX($D$5:D95))</f>
        <v/>
      </c>
      <c r="F95" s="25">
        <f>IF($A95="","",(E95-D95)/E95)</f>
        <v/>
      </c>
    </row>
    <row r="96">
      <c r="A96" s="23">
        <f>IF('05 Simple Returns'!A96="","",'05 Simple Returns'!A96)</f>
        <v/>
      </c>
      <c r="B96" s="25">
        <f>IF($A96="","",SUM(MMULT('05 Simple Returns'!B96:G96,'08 Optimisation'!$B$36:$B$41)))</f>
        <v/>
      </c>
      <c r="C96" s="25">
        <f>IF($A96="","",SUM(MMULT('06 Log Returns'!B96:G96,'08 Optimisation'!$B$36:$B$41)))</f>
        <v/>
      </c>
      <c r="D96" s="37">
        <f>IF($A96="","",IF(D95="","",D95*(1+B96)))</f>
        <v/>
      </c>
      <c r="E96" s="37">
        <f>IF($A96="","",MAX($D$5:D96))</f>
        <v/>
      </c>
      <c r="F96" s="25">
        <f>IF($A96="","",(E96-D96)/E96)</f>
        <v/>
      </c>
    </row>
    <row r="97">
      <c r="A97" s="23">
        <f>IF('05 Simple Returns'!A97="","",'05 Simple Returns'!A97)</f>
        <v/>
      </c>
      <c r="B97" s="25">
        <f>IF($A97="","",SUM(MMULT('05 Simple Returns'!B97:G97,'08 Optimisation'!$B$36:$B$41)))</f>
        <v/>
      </c>
      <c r="C97" s="25">
        <f>IF($A97="","",SUM(MMULT('06 Log Returns'!B97:G97,'08 Optimisation'!$B$36:$B$41)))</f>
        <v/>
      </c>
      <c r="D97" s="37">
        <f>IF($A97="","",IF(D96="","",D96*(1+B97)))</f>
        <v/>
      </c>
      <c r="E97" s="37">
        <f>IF($A97="","",MAX($D$5:D97))</f>
        <v/>
      </c>
      <c r="F97" s="25">
        <f>IF($A97="","",(E97-D97)/E97)</f>
        <v/>
      </c>
    </row>
    <row r="98">
      <c r="A98" s="23">
        <f>IF('05 Simple Returns'!A98="","",'05 Simple Returns'!A98)</f>
        <v/>
      </c>
      <c r="B98" s="25">
        <f>IF($A98="","",SUM(MMULT('05 Simple Returns'!B98:G98,'08 Optimisation'!$B$36:$B$41)))</f>
        <v/>
      </c>
      <c r="C98" s="25">
        <f>IF($A98="","",SUM(MMULT('06 Log Returns'!B98:G98,'08 Optimisation'!$B$36:$B$41)))</f>
        <v/>
      </c>
      <c r="D98" s="37">
        <f>IF($A98="","",IF(D97="","",D97*(1+B98)))</f>
        <v/>
      </c>
      <c r="E98" s="37">
        <f>IF($A98="","",MAX($D$5:D98))</f>
        <v/>
      </c>
      <c r="F98" s="25">
        <f>IF($A98="","",(E98-D98)/E98)</f>
        <v/>
      </c>
    </row>
    <row r="99">
      <c r="A99" s="23">
        <f>IF('05 Simple Returns'!A99="","",'05 Simple Returns'!A99)</f>
        <v/>
      </c>
      <c r="B99" s="25">
        <f>IF($A99="","",SUM(MMULT('05 Simple Returns'!B99:G99,'08 Optimisation'!$B$36:$B$41)))</f>
        <v/>
      </c>
      <c r="C99" s="25">
        <f>IF($A99="","",SUM(MMULT('06 Log Returns'!B99:G99,'08 Optimisation'!$B$36:$B$41)))</f>
        <v/>
      </c>
      <c r="D99" s="37">
        <f>IF($A99="","",IF(D98="","",D98*(1+B99)))</f>
        <v/>
      </c>
      <c r="E99" s="37">
        <f>IF($A99="","",MAX($D$5:D99))</f>
        <v/>
      </c>
      <c r="F99" s="25">
        <f>IF($A99="","",(E99-D99)/E99)</f>
        <v/>
      </c>
    </row>
    <row r="100">
      <c r="A100" s="23">
        <f>IF('05 Simple Returns'!A100="","",'05 Simple Returns'!A100)</f>
        <v/>
      </c>
      <c r="B100" s="25">
        <f>IF($A100="","",SUM(MMULT('05 Simple Returns'!B100:G100,'08 Optimisation'!$B$36:$B$41)))</f>
        <v/>
      </c>
      <c r="C100" s="25">
        <f>IF($A100="","",SUM(MMULT('06 Log Returns'!B100:G100,'08 Optimisation'!$B$36:$B$41)))</f>
        <v/>
      </c>
      <c r="D100" s="37">
        <f>IF($A100="","",IF(D99="","",D99*(1+B100)))</f>
        <v/>
      </c>
      <c r="E100" s="37">
        <f>IF($A100="","",MAX($D$5:D100))</f>
        <v/>
      </c>
      <c r="F100" s="25">
        <f>IF($A100="","",(E100-D100)/E100)</f>
        <v/>
      </c>
    </row>
    <row r="101">
      <c r="A101" s="23">
        <f>IF('05 Simple Returns'!A101="","",'05 Simple Returns'!A101)</f>
        <v/>
      </c>
      <c r="B101" s="25">
        <f>IF($A101="","",SUM(MMULT('05 Simple Returns'!B101:G101,'08 Optimisation'!$B$36:$B$41)))</f>
        <v/>
      </c>
      <c r="C101" s="25">
        <f>IF($A101="","",SUM(MMULT('06 Log Returns'!B101:G101,'08 Optimisation'!$B$36:$B$41)))</f>
        <v/>
      </c>
      <c r="D101" s="37">
        <f>IF($A101="","",IF(D100="","",D100*(1+B101)))</f>
        <v/>
      </c>
      <c r="E101" s="37">
        <f>IF($A101="","",MAX($D$5:D101))</f>
        <v/>
      </c>
      <c r="F101" s="25">
        <f>IF($A101="","",(E101-D101)/E101)</f>
        <v/>
      </c>
    </row>
    <row r="102">
      <c r="A102" s="23">
        <f>IF('05 Simple Returns'!A102="","",'05 Simple Returns'!A102)</f>
        <v/>
      </c>
      <c r="B102" s="25">
        <f>IF($A102="","",SUM(MMULT('05 Simple Returns'!B102:G102,'08 Optimisation'!$B$36:$B$41)))</f>
        <v/>
      </c>
      <c r="C102" s="25">
        <f>IF($A102="","",SUM(MMULT('06 Log Returns'!B102:G102,'08 Optimisation'!$B$36:$B$41)))</f>
        <v/>
      </c>
      <c r="D102" s="37">
        <f>IF($A102="","",IF(D101="","",D101*(1+B102)))</f>
        <v/>
      </c>
      <c r="E102" s="37">
        <f>IF($A102="","",MAX($D$5:D102))</f>
        <v/>
      </c>
      <c r="F102" s="25">
        <f>IF($A102="","",(E102-D102)/E102)</f>
        <v/>
      </c>
    </row>
    <row r="103">
      <c r="A103" s="23">
        <f>IF('05 Simple Returns'!A103="","",'05 Simple Returns'!A103)</f>
        <v/>
      </c>
      <c r="B103" s="25">
        <f>IF($A103="","",SUM(MMULT('05 Simple Returns'!B103:G103,'08 Optimisation'!$B$36:$B$41)))</f>
        <v/>
      </c>
      <c r="C103" s="25">
        <f>IF($A103="","",SUM(MMULT('06 Log Returns'!B103:G103,'08 Optimisation'!$B$36:$B$41)))</f>
        <v/>
      </c>
      <c r="D103" s="37">
        <f>IF($A103="","",IF(D102="","",D102*(1+B103)))</f>
        <v/>
      </c>
      <c r="E103" s="37">
        <f>IF($A103="","",MAX($D$5:D103))</f>
        <v/>
      </c>
      <c r="F103" s="25">
        <f>IF($A103="","",(E103-D103)/E103)</f>
        <v/>
      </c>
    </row>
    <row r="104">
      <c r="A104" s="23">
        <f>IF('05 Simple Returns'!A104="","",'05 Simple Returns'!A104)</f>
        <v/>
      </c>
      <c r="B104" s="25">
        <f>IF($A104="","",SUM(MMULT('05 Simple Returns'!B104:G104,'08 Optimisation'!$B$36:$B$41)))</f>
        <v/>
      </c>
      <c r="C104" s="25">
        <f>IF($A104="","",SUM(MMULT('06 Log Returns'!B104:G104,'08 Optimisation'!$B$36:$B$41)))</f>
        <v/>
      </c>
      <c r="D104" s="37">
        <f>IF($A104="","",IF(D103="","",D103*(1+B104)))</f>
        <v/>
      </c>
      <c r="E104" s="37">
        <f>IF($A104="","",MAX($D$5:D104))</f>
        <v/>
      </c>
      <c r="F104" s="25">
        <f>IF($A104="","",(E104-D104)/E104)</f>
        <v/>
      </c>
    </row>
    <row r="105">
      <c r="A105" s="23">
        <f>IF('05 Simple Returns'!A105="","",'05 Simple Returns'!A105)</f>
        <v/>
      </c>
      <c r="B105" s="25">
        <f>IF($A105="","",SUM(MMULT('05 Simple Returns'!B105:G105,'08 Optimisation'!$B$36:$B$41)))</f>
        <v/>
      </c>
      <c r="C105" s="25">
        <f>IF($A105="","",SUM(MMULT('06 Log Returns'!B105:G105,'08 Optimisation'!$B$36:$B$41)))</f>
        <v/>
      </c>
      <c r="D105" s="37">
        <f>IF($A105="","",IF(D104="","",D104*(1+B105)))</f>
        <v/>
      </c>
      <c r="E105" s="37">
        <f>IF($A105="","",MAX($D$5:D105))</f>
        <v/>
      </c>
      <c r="F105" s="25">
        <f>IF($A105="","",(E105-D105)/E105)</f>
        <v/>
      </c>
    </row>
    <row r="106">
      <c r="A106" s="23">
        <f>IF('05 Simple Returns'!A106="","",'05 Simple Returns'!A106)</f>
        <v/>
      </c>
      <c r="B106" s="25">
        <f>IF($A106="","",SUM(MMULT('05 Simple Returns'!B106:G106,'08 Optimisation'!$B$36:$B$41)))</f>
        <v/>
      </c>
      <c r="C106" s="25">
        <f>IF($A106="","",SUM(MMULT('06 Log Returns'!B106:G106,'08 Optimisation'!$B$36:$B$41)))</f>
        <v/>
      </c>
      <c r="D106" s="37">
        <f>IF($A106="","",IF(D105="","",D105*(1+B106)))</f>
        <v/>
      </c>
      <c r="E106" s="37">
        <f>IF($A106="","",MAX($D$5:D106))</f>
        <v/>
      </c>
      <c r="F106" s="25">
        <f>IF($A106="","",(E106-D106)/E106)</f>
        <v/>
      </c>
    </row>
    <row r="107">
      <c r="A107" s="23">
        <f>IF('05 Simple Returns'!A107="","",'05 Simple Returns'!A107)</f>
        <v/>
      </c>
      <c r="B107" s="25">
        <f>IF($A107="","",SUM(MMULT('05 Simple Returns'!B107:G107,'08 Optimisation'!$B$36:$B$41)))</f>
        <v/>
      </c>
      <c r="C107" s="25">
        <f>IF($A107="","",SUM(MMULT('06 Log Returns'!B107:G107,'08 Optimisation'!$B$36:$B$41)))</f>
        <v/>
      </c>
      <c r="D107" s="37">
        <f>IF($A107="","",IF(D106="","",D106*(1+B107)))</f>
        <v/>
      </c>
      <c r="E107" s="37">
        <f>IF($A107="","",MAX($D$5:D107))</f>
        <v/>
      </c>
      <c r="F107" s="25">
        <f>IF($A107="","",(E107-D107)/E107)</f>
        <v/>
      </c>
    </row>
    <row r="108">
      <c r="A108" s="23">
        <f>IF('05 Simple Returns'!A108="","",'05 Simple Returns'!A108)</f>
        <v/>
      </c>
      <c r="B108" s="25">
        <f>IF($A108="","",SUM(MMULT('05 Simple Returns'!B108:G108,'08 Optimisation'!$B$36:$B$41)))</f>
        <v/>
      </c>
      <c r="C108" s="25">
        <f>IF($A108="","",SUM(MMULT('06 Log Returns'!B108:G108,'08 Optimisation'!$B$36:$B$41)))</f>
        <v/>
      </c>
      <c r="D108" s="37">
        <f>IF($A108="","",IF(D107="","",D107*(1+B108)))</f>
        <v/>
      </c>
      <c r="E108" s="37">
        <f>IF($A108="","",MAX($D$5:D108))</f>
        <v/>
      </c>
      <c r="F108" s="25">
        <f>IF($A108="","",(E108-D108)/E108)</f>
        <v/>
      </c>
    </row>
    <row r="109">
      <c r="A109" s="23">
        <f>IF('05 Simple Returns'!A109="","",'05 Simple Returns'!A109)</f>
        <v/>
      </c>
      <c r="B109" s="25">
        <f>IF($A109="","",SUM(MMULT('05 Simple Returns'!B109:G109,'08 Optimisation'!$B$36:$B$41)))</f>
        <v/>
      </c>
      <c r="C109" s="25">
        <f>IF($A109="","",SUM(MMULT('06 Log Returns'!B109:G109,'08 Optimisation'!$B$36:$B$41)))</f>
        <v/>
      </c>
      <c r="D109" s="37">
        <f>IF($A109="","",IF(D108="","",D108*(1+B109)))</f>
        <v/>
      </c>
      <c r="E109" s="37">
        <f>IF($A109="","",MAX($D$5:D109))</f>
        <v/>
      </c>
      <c r="F109" s="25">
        <f>IF($A109="","",(E109-D109)/E109)</f>
        <v/>
      </c>
    </row>
    <row r="110">
      <c r="A110" s="23">
        <f>IF('05 Simple Returns'!A110="","",'05 Simple Returns'!A110)</f>
        <v/>
      </c>
      <c r="B110" s="25">
        <f>IF($A110="","",SUM(MMULT('05 Simple Returns'!B110:G110,'08 Optimisation'!$B$36:$B$41)))</f>
        <v/>
      </c>
      <c r="C110" s="25">
        <f>IF($A110="","",SUM(MMULT('06 Log Returns'!B110:G110,'08 Optimisation'!$B$36:$B$41)))</f>
        <v/>
      </c>
      <c r="D110" s="37">
        <f>IF($A110="","",IF(D109="","",D109*(1+B110)))</f>
        <v/>
      </c>
      <c r="E110" s="37">
        <f>IF($A110="","",MAX($D$5:D110))</f>
        <v/>
      </c>
      <c r="F110" s="25">
        <f>IF($A110="","",(E110-D110)/E110)</f>
        <v/>
      </c>
    </row>
    <row r="111">
      <c r="A111" s="23">
        <f>IF('05 Simple Returns'!A111="","",'05 Simple Returns'!A111)</f>
        <v/>
      </c>
      <c r="B111" s="25">
        <f>IF($A111="","",SUM(MMULT('05 Simple Returns'!B111:G111,'08 Optimisation'!$B$36:$B$41)))</f>
        <v/>
      </c>
      <c r="C111" s="25">
        <f>IF($A111="","",SUM(MMULT('06 Log Returns'!B111:G111,'08 Optimisation'!$B$36:$B$41)))</f>
        <v/>
      </c>
      <c r="D111" s="37">
        <f>IF($A111="","",IF(D110="","",D110*(1+B111)))</f>
        <v/>
      </c>
      <c r="E111" s="37">
        <f>IF($A111="","",MAX($D$5:D111))</f>
        <v/>
      </c>
      <c r="F111" s="25">
        <f>IF($A111="","",(E111-D111)/E111)</f>
        <v/>
      </c>
    </row>
    <row r="112">
      <c r="A112" s="23">
        <f>IF('05 Simple Returns'!A112="","",'05 Simple Returns'!A112)</f>
        <v/>
      </c>
      <c r="B112" s="25">
        <f>IF($A112="","",SUM(MMULT('05 Simple Returns'!B112:G112,'08 Optimisation'!$B$36:$B$41)))</f>
        <v/>
      </c>
      <c r="C112" s="25">
        <f>IF($A112="","",SUM(MMULT('06 Log Returns'!B112:G112,'08 Optimisation'!$B$36:$B$41)))</f>
        <v/>
      </c>
      <c r="D112" s="37">
        <f>IF($A112="","",IF(D111="","",D111*(1+B112)))</f>
        <v/>
      </c>
      <c r="E112" s="37">
        <f>IF($A112="","",MAX($D$5:D112))</f>
        <v/>
      </c>
      <c r="F112" s="25">
        <f>IF($A112="","",(E112-D112)/E112)</f>
        <v/>
      </c>
    </row>
    <row r="113">
      <c r="A113" s="23">
        <f>IF('05 Simple Returns'!A113="","",'05 Simple Returns'!A113)</f>
        <v/>
      </c>
      <c r="B113" s="25">
        <f>IF($A113="","",SUM(MMULT('05 Simple Returns'!B113:G113,'08 Optimisation'!$B$36:$B$41)))</f>
        <v/>
      </c>
      <c r="C113" s="25">
        <f>IF($A113="","",SUM(MMULT('06 Log Returns'!B113:G113,'08 Optimisation'!$B$36:$B$41)))</f>
        <v/>
      </c>
      <c r="D113" s="37">
        <f>IF($A113="","",IF(D112="","",D112*(1+B113)))</f>
        <v/>
      </c>
      <c r="E113" s="37">
        <f>IF($A113="","",MAX($D$5:D113))</f>
        <v/>
      </c>
      <c r="F113" s="25">
        <f>IF($A113="","",(E113-D113)/E113)</f>
        <v/>
      </c>
    </row>
    <row r="114">
      <c r="A114" s="23">
        <f>IF('05 Simple Returns'!A114="","",'05 Simple Returns'!A114)</f>
        <v/>
      </c>
      <c r="B114" s="25">
        <f>IF($A114="","",SUM(MMULT('05 Simple Returns'!B114:G114,'08 Optimisation'!$B$36:$B$41)))</f>
        <v/>
      </c>
      <c r="C114" s="25">
        <f>IF($A114="","",SUM(MMULT('06 Log Returns'!B114:G114,'08 Optimisation'!$B$36:$B$41)))</f>
        <v/>
      </c>
      <c r="D114" s="37">
        <f>IF($A114="","",IF(D113="","",D113*(1+B114)))</f>
        <v/>
      </c>
      <c r="E114" s="37">
        <f>IF($A114="","",MAX($D$5:D114))</f>
        <v/>
      </c>
      <c r="F114" s="25">
        <f>IF($A114="","",(E114-D114)/E114)</f>
        <v/>
      </c>
    </row>
    <row r="115">
      <c r="A115" s="23">
        <f>IF('05 Simple Returns'!A115="","",'05 Simple Returns'!A115)</f>
        <v/>
      </c>
      <c r="B115" s="25">
        <f>IF($A115="","",SUM(MMULT('05 Simple Returns'!B115:G115,'08 Optimisation'!$B$36:$B$41)))</f>
        <v/>
      </c>
      <c r="C115" s="25">
        <f>IF($A115="","",SUM(MMULT('06 Log Returns'!B115:G115,'08 Optimisation'!$B$36:$B$41)))</f>
        <v/>
      </c>
      <c r="D115" s="37">
        <f>IF($A115="","",IF(D114="","",D114*(1+B115)))</f>
        <v/>
      </c>
      <c r="E115" s="37">
        <f>IF($A115="","",MAX($D$5:D115))</f>
        <v/>
      </c>
      <c r="F115" s="25">
        <f>IF($A115="","",(E115-D115)/E115)</f>
        <v/>
      </c>
    </row>
    <row r="116">
      <c r="A116" s="23">
        <f>IF('05 Simple Returns'!A116="","",'05 Simple Returns'!A116)</f>
        <v/>
      </c>
      <c r="B116" s="25">
        <f>IF($A116="","",SUM(MMULT('05 Simple Returns'!B116:G116,'08 Optimisation'!$B$36:$B$41)))</f>
        <v/>
      </c>
      <c r="C116" s="25">
        <f>IF($A116="","",SUM(MMULT('06 Log Returns'!B116:G116,'08 Optimisation'!$B$36:$B$41)))</f>
        <v/>
      </c>
      <c r="D116" s="37">
        <f>IF($A116="","",IF(D115="","",D115*(1+B116)))</f>
        <v/>
      </c>
      <c r="E116" s="37">
        <f>IF($A116="","",MAX($D$5:D116))</f>
        <v/>
      </c>
      <c r="F116" s="25">
        <f>IF($A116="","",(E116-D116)/E116)</f>
        <v/>
      </c>
    </row>
    <row r="117">
      <c r="A117" s="23">
        <f>IF('05 Simple Returns'!A117="","",'05 Simple Returns'!A117)</f>
        <v/>
      </c>
      <c r="B117" s="25">
        <f>IF($A117="","",SUM(MMULT('05 Simple Returns'!B117:G117,'08 Optimisation'!$B$36:$B$41)))</f>
        <v/>
      </c>
      <c r="C117" s="25">
        <f>IF($A117="","",SUM(MMULT('06 Log Returns'!B117:G117,'08 Optimisation'!$B$36:$B$41)))</f>
        <v/>
      </c>
      <c r="D117" s="37">
        <f>IF($A117="","",IF(D116="","",D116*(1+B117)))</f>
        <v/>
      </c>
      <c r="E117" s="37">
        <f>IF($A117="","",MAX($D$5:D117))</f>
        <v/>
      </c>
      <c r="F117" s="25">
        <f>IF($A117="","",(E117-D117)/E117)</f>
        <v/>
      </c>
    </row>
    <row r="118">
      <c r="A118" s="23">
        <f>IF('05 Simple Returns'!A118="","",'05 Simple Returns'!A118)</f>
        <v/>
      </c>
      <c r="B118" s="25">
        <f>IF($A118="","",SUM(MMULT('05 Simple Returns'!B118:G118,'08 Optimisation'!$B$36:$B$41)))</f>
        <v/>
      </c>
      <c r="C118" s="25">
        <f>IF($A118="","",SUM(MMULT('06 Log Returns'!B118:G118,'08 Optimisation'!$B$36:$B$41)))</f>
        <v/>
      </c>
      <c r="D118" s="37">
        <f>IF($A118="","",IF(D117="","",D117*(1+B118)))</f>
        <v/>
      </c>
      <c r="E118" s="37">
        <f>IF($A118="","",MAX($D$5:D118))</f>
        <v/>
      </c>
      <c r="F118" s="25">
        <f>IF($A118="","",(E118-D118)/E118)</f>
        <v/>
      </c>
    </row>
    <row r="119">
      <c r="A119" s="23">
        <f>IF('05 Simple Returns'!A119="","",'05 Simple Returns'!A119)</f>
        <v/>
      </c>
      <c r="B119" s="25">
        <f>IF($A119="","",SUM(MMULT('05 Simple Returns'!B119:G119,'08 Optimisation'!$B$36:$B$41)))</f>
        <v/>
      </c>
      <c r="C119" s="25">
        <f>IF($A119="","",SUM(MMULT('06 Log Returns'!B119:G119,'08 Optimisation'!$B$36:$B$41)))</f>
        <v/>
      </c>
      <c r="D119" s="37">
        <f>IF($A119="","",IF(D118="","",D118*(1+B119)))</f>
        <v/>
      </c>
      <c r="E119" s="37">
        <f>IF($A119="","",MAX($D$5:D119))</f>
        <v/>
      </c>
      <c r="F119" s="25">
        <f>IF($A119="","",(E119-D119)/E119)</f>
        <v/>
      </c>
    </row>
    <row r="120">
      <c r="A120" s="23">
        <f>IF('05 Simple Returns'!A120="","",'05 Simple Returns'!A120)</f>
        <v/>
      </c>
      <c r="B120" s="25">
        <f>IF($A120="","",SUM(MMULT('05 Simple Returns'!B120:G120,'08 Optimisation'!$B$36:$B$41)))</f>
        <v/>
      </c>
      <c r="C120" s="25">
        <f>IF($A120="","",SUM(MMULT('06 Log Returns'!B120:G120,'08 Optimisation'!$B$36:$B$41)))</f>
        <v/>
      </c>
      <c r="D120" s="37">
        <f>IF($A120="","",IF(D119="","",D119*(1+B120)))</f>
        <v/>
      </c>
      <c r="E120" s="37">
        <f>IF($A120="","",MAX($D$5:D120))</f>
        <v/>
      </c>
      <c r="F120" s="25">
        <f>IF($A120="","",(E120-D120)/E120)</f>
        <v/>
      </c>
    </row>
    <row r="121">
      <c r="A121" s="23">
        <f>IF('05 Simple Returns'!A121="","",'05 Simple Returns'!A121)</f>
        <v/>
      </c>
      <c r="B121" s="25">
        <f>IF($A121="","",SUM(MMULT('05 Simple Returns'!B121:G121,'08 Optimisation'!$B$36:$B$41)))</f>
        <v/>
      </c>
      <c r="C121" s="25">
        <f>IF($A121="","",SUM(MMULT('06 Log Returns'!B121:G121,'08 Optimisation'!$B$36:$B$41)))</f>
        <v/>
      </c>
      <c r="D121" s="37">
        <f>IF($A121="","",IF(D120="","",D120*(1+B121)))</f>
        <v/>
      </c>
      <c r="E121" s="37">
        <f>IF($A121="","",MAX($D$5:D121))</f>
        <v/>
      </c>
      <c r="F121" s="25">
        <f>IF($A121="","",(E121-D121)/E121)</f>
        <v/>
      </c>
    </row>
    <row r="122">
      <c r="A122" s="23">
        <f>IF('05 Simple Returns'!A122="","",'05 Simple Returns'!A122)</f>
        <v/>
      </c>
      <c r="B122" s="25">
        <f>IF($A122="","",SUM(MMULT('05 Simple Returns'!B122:G122,'08 Optimisation'!$B$36:$B$41)))</f>
        <v/>
      </c>
      <c r="C122" s="25">
        <f>IF($A122="","",SUM(MMULT('06 Log Returns'!B122:G122,'08 Optimisation'!$B$36:$B$41)))</f>
        <v/>
      </c>
      <c r="D122" s="37">
        <f>IF($A122="","",IF(D121="","",D121*(1+B122)))</f>
        <v/>
      </c>
      <c r="E122" s="37">
        <f>IF($A122="","",MAX($D$5:D122))</f>
        <v/>
      </c>
      <c r="F122" s="25">
        <f>IF($A122="","",(E122-D122)/E122)</f>
        <v/>
      </c>
    </row>
    <row r="123">
      <c r="A123" s="23">
        <f>IF('05 Simple Returns'!A123="","",'05 Simple Returns'!A123)</f>
        <v/>
      </c>
      <c r="B123" s="25">
        <f>IF($A123="","",SUM(MMULT('05 Simple Returns'!B123:G123,'08 Optimisation'!$B$36:$B$41)))</f>
        <v/>
      </c>
      <c r="C123" s="25">
        <f>IF($A123="","",SUM(MMULT('06 Log Returns'!B123:G123,'08 Optimisation'!$B$36:$B$41)))</f>
        <v/>
      </c>
      <c r="D123" s="37">
        <f>IF($A123="","",IF(D122="","",D122*(1+B123)))</f>
        <v/>
      </c>
      <c r="E123" s="37">
        <f>IF($A123="","",MAX($D$5:D123))</f>
        <v/>
      </c>
      <c r="F123" s="25">
        <f>IF($A123="","",(E123-D123)/E123)</f>
        <v/>
      </c>
    </row>
    <row r="124">
      <c r="A124" s="23">
        <f>IF('05 Simple Returns'!A124="","",'05 Simple Returns'!A124)</f>
        <v/>
      </c>
      <c r="B124" s="25">
        <f>IF($A124="","",SUM(MMULT('05 Simple Returns'!B124:G124,'08 Optimisation'!$B$36:$B$41)))</f>
        <v/>
      </c>
      <c r="C124" s="25">
        <f>IF($A124="","",SUM(MMULT('06 Log Returns'!B124:G124,'08 Optimisation'!$B$36:$B$41)))</f>
        <v/>
      </c>
      <c r="D124" s="37">
        <f>IF($A124="","",IF(D123="","",D123*(1+B124)))</f>
        <v/>
      </c>
      <c r="E124" s="37">
        <f>IF($A124="","",MAX($D$5:D124))</f>
        <v/>
      </c>
      <c r="F124" s="25">
        <f>IF($A124="","",(E124-D124)/E124)</f>
        <v/>
      </c>
    </row>
    <row r="125">
      <c r="A125" s="23">
        <f>IF('05 Simple Returns'!A125="","",'05 Simple Returns'!A125)</f>
        <v/>
      </c>
      <c r="B125" s="25">
        <f>IF($A125="","",SUM(MMULT('05 Simple Returns'!B125:G125,'08 Optimisation'!$B$36:$B$41)))</f>
        <v/>
      </c>
      <c r="C125" s="25">
        <f>IF($A125="","",SUM(MMULT('06 Log Returns'!B125:G125,'08 Optimisation'!$B$36:$B$41)))</f>
        <v/>
      </c>
      <c r="D125" s="37">
        <f>IF($A125="","",IF(D124="","",D124*(1+B125)))</f>
        <v/>
      </c>
      <c r="E125" s="37">
        <f>IF($A125="","",MAX($D$5:D125))</f>
        <v/>
      </c>
      <c r="F125" s="25">
        <f>IF($A125="","",(E125-D125)/E125)</f>
        <v/>
      </c>
    </row>
    <row r="126">
      <c r="A126" s="23">
        <f>IF('05 Simple Returns'!A126="","",'05 Simple Returns'!A126)</f>
        <v/>
      </c>
      <c r="B126" s="25">
        <f>IF($A126="","",SUM(MMULT('05 Simple Returns'!B126:G126,'08 Optimisation'!$B$36:$B$41)))</f>
        <v/>
      </c>
      <c r="C126" s="25">
        <f>IF($A126="","",SUM(MMULT('06 Log Returns'!B126:G126,'08 Optimisation'!$B$36:$B$41)))</f>
        <v/>
      </c>
      <c r="D126" s="37">
        <f>IF($A126="","",IF(D125="","",D125*(1+B126)))</f>
        <v/>
      </c>
      <c r="E126" s="37">
        <f>IF($A126="","",MAX($D$5:D126))</f>
        <v/>
      </c>
      <c r="F126" s="25">
        <f>IF($A126="","",(E126-D126)/E126)</f>
        <v/>
      </c>
    </row>
    <row r="127">
      <c r="A127" s="23">
        <f>IF('05 Simple Returns'!A127="","",'05 Simple Returns'!A127)</f>
        <v/>
      </c>
      <c r="B127" s="25">
        <f>IF($A127="","",SUM(MMULT('05 Simple Returns'!B127:G127,'08 Optimisation'!$B$36:$B$41)))</f>
        <v/>
      </c>
      <c r="C127" s="25">
        <f>IF($A127="","",SUM(MMULT('06 Log Returns'!B127:G127,'08 Optimisation'!$B$36:$B$41)))</f>
        <v/>
      </c>
      <c r="D127" s="37">
        <f>IF($A127="","",IF(D126="","",D126*(1+B127)))</f>
        <v/>
      </c>
      <c r="E127" s="37">
        <f>IF($A127="","",MAX($D$5:D127))</f>
        <v/>
      </c>
      <c r="F127" s="25">
        <f>IF($A127="","",(E127-D127)/E127)</f>
        <v/>
      </c>
    </row>
    <row r="128">
      <c r="A128" s="23">
        <f>IF('05 Simple Returns'!A128="","",'05 Simple Returns'!A128)</f>
        <v/>
      </c>
      <c r="B128" s="25">
        <f>IF($A128="","",SUM(MMULT('05 Simple Returns'!B128:G128,'08 Optimisation'!$B$36:$B$41)))</f>
        <v/>
      </c>
      <c r="C128" s="25">
        <f>IF($A128="","",SUM(MMULT('06 Log Returns'!B128:G128,'08 Optimisation'!$B$36:$B$41)))</f>
        <v/>
      </c>
      <c r="D128" s="37">
        <f>IF($A128="","",IF(D127="","",D127*(1+B128)))</f>
        <v/>
      </c>
      <c r="E128" s="37">
        <f>IF($A128="","",MAX($D$5:D128))</f>
        <v/>
      </c>
      <c r="F128" s="25">
        <f>IF($A128="","",(E128-D128)/E128)</f>
        <v/>
      </c>
    </row>
    <row r="129">
      <c r="A129" s="23">
        <f>IF('05 Simple Returns'!A129="","",'05 Simple Returns'!A129)</f>
        <v/>
      </c>
      <c r="B129" s="25">
        <f>IF($A129="","",SUM(MMULT('05 Simple Returns'!B129:G129,'08 Optimisation'!$B$36:$B$41)))</f>
        <v/>
      </c>
      <c r="C129" s="25">
        <f>IF($A129="","",SUM(MMULT('06 Log Returns'!B129:G129,'08 Optimisation'!$B$36:$B$41)))</f>
        <v/>
      </c>
      <c r="D129" s="37">
        <f>IF($A129="","",IF(D128="","",D128*(1+B129)))</f>
        <v/>
      </c>
      <c r="E129" s="37">
        <f>IF($A129="","",MAX($D$5:D129))</f>
        <v/>
      </c>
      <c r="F129" s="25">
        <f>IF($A129="","",(E129-D129)/E129)</f>
        <v/>
      </c>
    </row>
    <row r="130">
      <c r="A130" s="23">
        <f>IF('05 Simple Returns'!A130="","",'05 Simple Returns'!A130)</f>
        <v/>
      </c>
      <c r="B130" s="25">
        <f>IF($A130="","",SUM(MMULT('05 Simple Returns'!B130:G130,'08 Optimisation'!$B$36:$B$41)))</f>
        <v/>
      </c>
      <c r="C130" s="25">
        <f>IF($A130="","",SUM(MMULT('06 Log Returns'!B130:G130,'08 Optimisation'!$B$36:$B$41)))</f>
        <v/>
      </c>
      <c r="D130" s="37">
        <f>IF($A130="","",IF(D129="","",D129*(1+B130)))</f>
        <v/>
      </c>
      <c r="E130" s="37">
        <f>IF($A130="","",MAX($D$5:D130))</f>
        <v/>
      </c>
      <c r="F130" s="25">
        <f>IF($A130="","",(E130-D130)/E130)</f>
        <v/>
      </c>
    </row>
    <row r="131">
      <c r="A131" s="23">
        <f>IF('05 Simple Returns'!A131="","",'05 Simple Returns'!A131)</f>
        <v/>
      </c>
      <c r="B131" s="25">
        <f>IF($A131="","",SUM(MMULT('05 Simple Returns'!B131:G131,'08 Optimisation'!$B$36:$B$41)))</f>
        <v/>
      </c>
      <c r="C131" s="25">
        <f>IF($A131="","",SUM(MMULT('06 Log Returns'!B131:G131,'08 Optimisation'!$B$36:$B$41)))</f>
        <v/>
      </c>
      <c r="D131" s="37">
        <f>IF($A131="","",IF(D130="","",D130*(1+B131)))</f>
        <v/>
      </c>
      <c r="E131" s="37">
        <f>IF($A131="","",MAX($D$5:D131))</f>
        <v/>
      </c>
      <c r="F131" s="25">
        <f>IF($A131="","",(E131-D131)/E131)</f>
        <v/>
      </c>
    </row>
    <row r="132">
      <c r="A132" s="23">
        <f>IF('05 Simple Returns'!A132="","",'05 Simple Returns'!A132)</f>
        <v/>
      </c>
      <c r="B132" s="25">
        <f>IF($A132="","",SUM(MMULT('05 Simple Returns'!B132:G132,'08 Optimisation'!$B$36:$B$41)))</f>
        <v/>
      </c>
      <c r="C132" s="25">
        <f>IF($A132="","",SUM(MMULT('06 Log Returns'!B132:G132,'08 Optimisation'!$B$36:$B$41)))</f>
        <v/>
      </c>
      <c r="D132" s="37">
        <f>IF($A132="","",IF(D131="","",D131*(1+B132)))</f>
        <v/>
      </c>
      <c r="E132" s="37">
        <f>IF($A132="","",MAX($D$5:D132))</f>
        <v/>
      </c>
      <c r="F132" s="25">
        <f>IF($A132="","",(E132-D132)/E132)</f>
        <v/>
      </c>
    </row>
    <row r="133">
      <c r="A133" s="23">
        <f>IF('05 Simple Returns'!A133="","",'05 Simple Returns'!A133)</f>
        <v/>
      </c>
      <c r="B133" s="25">
        <f>IF($A133="","",SUM(MMULT('05 Simple Returns'!B133:G133,'08 Optimisation'!$B$36:$B$41)))</f>
        <v/>
      </c>
      <c r="C133" s="25">
        <f>IF($A133="","",SUM(MMULT('06 Log Returns'!B133:G133,'08 Optimisation'!$B$36:$B$41)))</f>
        <v/>
      </c>
      <c r="D133" s="37">
        <f>IF($A133="","",IF(D132="","",D132*(1+B133)))</f>
        <v/>
      </c>
      <c r="E133" s="37">
        <f>IF($A133="","",MAX($D$5:D133))</f>
        <v/>
      </c>
      <c r="F133" s="25">
        <f>IF($A133="","",(E133-D133)/E133)</f>
        <v/>
      </c>
    </row>
    <row r="134">
      <c r="A134" s="23">
        <f>IF('05 Simple Returns'!A134="","",'05 Simple Returns'!A134)</f>
        <v/>
      </c>
      <c r="B134" s="25">
        <f>IF($A134="","",SUM(MMULT('05 Simple Returns'!B134:G134,'08 Optimisation'!$B$36:$B$41)))</f>
        <v/>
      </c>
      <c r="C134" s="25">
        <f>IF($A134="","",SUM(MMULT('06 Log Returns'!B134:G134,'08 Optimisation'!$B$36:$B$41)))</f>
        <v/>
      </c>
      <c r="D134" s="37">
        <f>IF($A134="","",IF(D133="","",D133*(1+B134)))</f>
        <v/>
      </c>
      <c r="E134" s="37">
        <f>IF($A134="","",MAX($D$5:D134))</f>
        <v/>
      </c>
      <c r="F134" s="25">
        <f>IF($A134="","",(E134-D134)/E134)</f>
        <v/>
      </c>
    </row>
    <row r="135">
      <c r="A135" s="23">
        <f>IF('05 Simple Returns'!A135="","",'05 Simple Returns'!A135)</f>
        <v/>
      </c>
      <c r="B135" s="25">
        <f>IF($A135="","",SUM(MMULT('05 Simple Returns'!B135:G135,'08 Optimisation'!$B$36:$B$41)))</f>
        <v/>
      </c>
      <c r="C135" s="25">
        <f>IF($A135="","",SUM(MMULT('06 Log Returns'!B135:G135,'08 Optimisation'!$B$36:$B$41)))</f>
        <v/>
      </c>
      <c r="D135" s="37">
        <f>IF($A135="","",IF(D134="","",D134*(1+B135)))</f>
        <v/>
      </c>
      <c r="E135" s="37">
        <f>IF($A135="","",MAX($D$5:D135))</f>
        <v/>
      </c>
      <c r="F135" s="25">
        <f>IF($A135="","",(E135-D135)/E135)</f>
        <v/>
      </c>
    </row>
    <row r="136">
      <c r="A136" s="23">
        <f>IF('05 Simple Returns'!A136="","",'05 Simple Returns'!A136)</f>
        <v/>
      </c>
      <c r="B136" s="25">
        <f>IF($A136="","",SUM(MMULT('05 Simple Returns'!B136:G136,'08 Optimisation'!$B$36:$B$41)))</f>
        <v/>
      </c>
      <c r="C136" s="25">
        <f>IF($A136="","",SUM(MMULT('06 Log Returns'!B136:G136,'08 Optimisation'!$B$36:$B$41)))</f>
        <v/>
      </c>
      <c r="D136" s="37">
        <f>IF($A136="","",IF(D135="","",D135*(1+B136)))</f>
        <v/>
      </c>
      <c r="E136" s="37">
        <f>IF($A136="","",MAX($D$5:D136))</f>
        <v/>
      </c>
      <c r="F136" s="25">
        <f>IF($A136="","",(E136-D136)/E136)</f>
        <v/>
      </c>
    </row>
    <row r="137">
      <c r="A137" s="23">
        <f>IF('05 Simple Returns'!A137="","",'05 Simple Returns'!A137)</f>
        <v/>
      </c>
      <c r="B137" s="25">
        <f>IF($A137="","",SUM(MMULT('05 Simple Returns'!B137:G137,'08 Optimisation'!$B$36:$B$41)))</f>
        <v/>
      </c>
      <c r="C137" s="25">
        <f>IF($A137="","",SUM(MMULT('06 Log Returns'!B137:G137,'08 Optimisation'!$B$36:$B$41)))</f>
        <v/>
      </c>
      <c r="D137" s="37">
        <f>IF($A137="","",IF(D136="","",D136*(1+B137)))</f>
        <v/>
      </c>
      <c r="E137" s="37">
        <f>IF($A137="","",MAX($D$5:D137))</f>
        <v/>
      </c>
      <c r="F137" s="25">
        <f>IF($A137="","",(E137-D137)/E137)</f>
        <v/>
      </c>
    </row>
    <row r="138">
      <c r="A138" s="23">
        <f>IF('05 Simple Returns'!A138="","",'05 Simple Returns'!A138)</f>
        <v/>
      </c>
      <c r="B138" s="25">
        <f>IF($A138="","",SUM(MMULT('05 Simple Returns'!B138:G138,'08 Optimisation'!$B$36:$B$41)))</f>
        <v/>
      </c>
      <c r="C138" s="25">
        <f>IF($A138="","",SUM(MMULT('06 Log Returns'!B138:G138,'08 Optimisation'!$B$36:$B$41)))</f>
        <v/>
      </c>
      <c r="D138" s="37">
        <f>IF($A138="","",IF(D137="","",D137*(1+B138)))</f>
        <v/>
      </c>
      <c r="E138" s="37">
        <f>IF($A138="","",MAX($D$5:D138))</f>
        <v/>
      </c>
      <c r="F138" s="25">
        <f>IF($A138="","",(E138-D138)/E138)</f>
        <v/>
      </c>
    </row>
    <row r="139">
      <c r="A139" s="23">
        <f>IF('05 Simple Returns'!A139="","",'05 Simple Returns'!A139)</f>
        <v/>
      </c>
      <c r="B139" s="25">
        <f>IF($A139="","",SUM(MMULT('05 Simple Returns'!B139:G139,'08 Optimisation'!$B$36:$B$41)))</f>
        <v/>
      </c>
      <c r="C139" s="25">
        <f>IF($A139="","",SUM(MMULT('06 Log Returns'!B139:G139,'08 Optimisation'!$B$36:$B$41)))</f>
        <v/>
      </c>
      <c r="D139" s="37">
        <f>IF($A139="","",IF(D138="","",D138*(1+B139)))</f>
        <v/>
      </c>
      <c r="E139" s="37">
        <f>IF($A139="","",MAX($D$5:D139))</f>
        <v/>
      </c>
      <c r="F139" s="25">
        <f>IF($A139="","",(E139-D139)/E139)</f>
        <v/>
      </c>
    </row>
    <row r="140">
      <c r="A140" s="23">
        <f>IF('05 Simple Returns'!A140="","",'05 Simple Returns'!A140)</f>
        <v/>
      </c>
      <c r="B140" s="25">
        <f>IF($A140="","",SUM(MMULT('05 Simple Returns'!B140:G140,'08 Optimisation'!$B$36:$B$41)))</f>
        <v/>
      </c>
      <c r="C140" s="25">
        <f>IF($A140="","",SUM(MMULT('06 Log Returns'!B140:G140,'08 Optimisation'!$B$36:$B$41)))</f>
        <v/>
      </c>
      <c r="D140" s="37">
        <f>IF($A140="","",IF(D139="","",D139*(1+B140)))</f>
        <v/>
      </c>
      <c r="E140" s="37">
        <f>IF($A140="","",MAX($D$5:D140))</f>
        <v/>
      </c>
      <c r="F140" s="25">
        <f>IF($A140="","",(E140-D140)/E140)</f>
        <v/>
      </c>
    </row>
    <row r="141">
      <c r="A141" s="23">
        <f>IF('05 Simple Returns'!A141="","",'05 Simple Returns'!A141)</f>
        <v/>
      </c>
      <c r="B141" s="25">
        <f>IF($A141="","",SUM(MMULT('05 Simple Returns'!B141:G141,'08 Optimisation'!$B$36:$B$41)))</f>
        <v/>
      </c>
      <c r="C141" s="25">
        <f>IF($A141="","",SUM(MMULT('06 Log Returns'!B141:G141,'08 Optimisation'!$B$36:$B$41)))</f>
        <v/>
      </c>
      <c r="D141" s="37">
        <f>IF($A141="","",IF(D140="","",D140*(1+B141)))</f>
        <v/>
      </c>
      <c r="E141" s="37">
        <f>IF($A141="","",MAX($D$5:D141))</f>
        <v/>
      </c>
      <c r="F141" s="25">
        <f>IF($A141="","",(E141-D141)/E141)</f>
        <v/>
      </c>
    </row>
    <row r="142">
      <c r="A142" s="23">
        <f>IF('05 Simple Returns'!A142="","",'05 Simple Returns'!A142)</f>
        <v/>
      </c>
      <c r="B142" s="25">
        <f>IF($A142="","",SUM(MMULT('05 Simple Returns'!B142:G142,'08 Optimisation'!$B$36:$B$41)))</f>
        <v/>
      </c>
      <c r="C142" s="25">
        <f>IF($A142="","",SUM(MMULT('06 Log Returns'!B142:G142,'08 Optimisation'!$B$36:$B$41)))</f>
        <v/>
      </c>
      <c r="D142" s="37">
        <f>IF($A142="","",IF(D141="","",D141*(1+B142)))</f>
        <v/>
      </c>
      <c r="E142" s="37">
        <f>IF($A142="","",MAX($D$5:D142))</f>
        <v/>
      </c>
      <c r="F142" s="25">
        <f>IF($A142="","",(E142-D142)/E142)</f>
        <v/>
      </c>
    </row>
    <row r="143">
      <c r="A143" s="23">
        <f>IF('05 Simple Returns'!A143="","",'05 Simple Returns'!A143)</f>
        <v/>
      </c>
      <c r="B143" s="25">
        <f>IF($A143="","",SUM(MMULT('05 Simple Returns'!B143:G143,'08 Optimisation'!$B$36:$B$41)))</f>
        <v/>
      </c>
      <c r="C143" s="25">
        <f>IF($A143="","",SUM(MMULT('06 Log Returns'!B143:G143,'08 Optimisation'!$B$36:$B$41)))</f>
        <v/>
      </c>
      <c r="D143" s="37">
        <f>IF($A143="","",IF(D142="","",D142*(1+B143)))</f>
        <v/>
      </c>
      <c r="E143" s="37">
        <f>IF($A143="","",MAX($D$5:D143))</f>
        <v/>
      </c>
      <c r="F143" s="25">
        <f>IF($A143="","",(E143-D143)/E143)</f>
        <v/>
      </c>
    </row>
    <row r="144">
      <c r="A144" s="23">
        <f>IF('05 Simple Returns'!A144="","",'05 Simple Returns'!A144)</f>
        <v/>
      </c>
      <c r="B144" s="25">
        <f>IF($A144="","",SUM(MMULT('05 Simple Returns'!B144:G144,'08 Optimisation'!$B$36:$B$41)))</f>
        <v/>
      </c>
      <c r="C144" s="25">
        <f>IF($A144="","",SUM(MMULT('06 Log Returns'!B144:G144,'08 Optimisation'!$B$36:$B$41)))</f>
        <v/>
      </c>
      <c r="D144" s="37">
        <f>IF($A144="","",IF(D143="","",D143*(1+B144)))</f>
        <v/>
      </c>
      <c r="E144" s="37">
        <f>IF($A144="","",MAX($D$5:D144))</f>
        <v/>
      </c>
      <c r="F144" s="25">
        <f>IF($A144="","",(E144-D144)/E144)</f>
        <v/>
      </c>
    </row>
    <row r="145">
      <c r="A145" s="23">
        <f>IF('05 Simple Returns'!A145="","",'05 Simple Returns'!A145)</f>
        <v/>
      </c>
      <c r="B145" s="25">
        <f>IF($A145="","",SUM(MMULT('05 Simple Returns'!B145:G145,'08 Optimisation'!$B$36:$B$41)))</f>
        <v/>
      </c>
      <c r="C145" s="25">
        <f>IF($A145="","",SUM(MMULT('06 Log Returns'!B145:G145,'08 Optimisation'!$B$36:$B$41)))</f>
        <v/>
      </c>
      <c r="D145" s="37">
        <f>IF($A145="","",IF(D144="","",D144*(1+B145)))</f>
        <v/>
      </c>
      <c r="E145" s="37">
        <f>IF($A145="","",MAX($D$5:D145))</f>
        <v/>
      </c>
      <c r="F145" s="25">
        <f>IF($A145="","",(E145-D145)/E145)</f>
        <v/>
      </c>
    </row>
    <row r="146">
      <c r="A146" s="23">
        <f>IF('05 Simple Returns'!A146="","",'05 Simple Returns'!A146)</f>
        <v/>
      </c>
      <c r="B146" s="25">
        <f>IF($A146="","",SUM(MMULT('05 Simple Returns'!B146:G146,'08 Optimisation'!$B$36:$B$41)))</f>
        <v/>
      </c>
      <c r="C146" s="25">
        <f>IF($A146="","",SUM(MMULT('06 Log Returns'!B146:G146,'08 Optimisation'!$B$36:$B$41)))</f>
        <v/>
      </c>
      <c r="D146" s="37">
        <f>IF($A146="","",IF(D145="","",D145*(1+B146)))</f>
        <v/>
      </c>
      <c r="E146" s="37">
        <f>IF($A146="","",MAX($D$5:D146))</f>
        <v/>
      </c>
      <c r="F146" s="25">
        <f>IF($A146="","",(E146-D146)/E146)</f>
        <v/>
      </c>
    </row>
    <row r="147">
      <c r="A147" s="23">
        <f>IF('05 Simple Returns'!A147="","",'05 Simple Returns'!A147)</f>
        <v/>
      </c>
      <c r="B147" s="25">
        <f>IF($A147="","",SUM(MMULT('05 Simple Returns'!B147:G147,'08 Optimisation'!$B$36:$B$41)))</f>
        <v/>
      </c>
      <c r="C147" s="25">
        <f>IF($A147="","",SUM(MMULT('06 Log Returns'!B147:G147,'08 Optimisation'!$B$36:$B$41)))</f>
        <v/>
      </c>
      <c r="D147" s="37">
        <f>IF($A147="","",IF(D146="","",D146*(1+B147)))</f>
        <v/>
      </c>
      <c r="E147" s="37">
        <f>IF($A147="","",MAX($D$5:D147))</f>
        <v/>
      </c>
      <c r="F147" s="25">
        <f>IF($A147="","",(E147-D147)/E147)</f>
        <v/>
      </c>
    </row>
    <row r="148">
      <c r="A148" s="23">
        <f>IF('05 Simple Returns'!A148="","",'05 Simple Returns'!A148)</f>
        <v/>
      </c>
      <c r="B148" s="25">
        <f>IF($A148="","",SUM(MMULT('05 Simple Returns'!B148:G148,'08 Optimisation'!$B$36:$B$41)))</f>
        <v/>
      </c>
      <c r="C148" s="25">
        <f>IF($A148="","",SUM(MMULT('06 Log Returns'!B148:G148,'08 Optimisation'!$B$36:$B$41)))</f>
        <v/>
      </c>
      <c r="D148" s="37">
        <f>IF($A148="","",IF(D147="","",D147*(1+B148)))</f>
        <v/>
      </c>
      <c r="E148" s="37">
        <f>IF($A148="","",MAX($D$5:D148))</f>
        <v/>
      </c>
      <c r="F148" s="25">
        <f>IF($A148="","",(E148-D148)/E148)</f>
        <v/>
      </c>
    </row>
    <row r="149">
      <c r="A149" s="23">
        <f>IF('05 Simple Returns'!A149="","",'05 Simple Returns'!A149)</f>
        <v/>
      </c>
      <c r="B149" s="25">
        <f>IF($A149="","",SUM(MMULT('05 Simple Returns'!B149:G149,'08 Optimisation'!$B$36:$B$41)))</f>
        <v/>
      </c>
      <c r="C149" s="25">
        <f>IF($A149="","",SUM(MMULT('06 Log Returns'!B149:G149,'08 Optimisation'!$B$36:$B$41)))</f>
        <v/>
      </c>
      <c r="D149" s="37">
        <f>IF($A149="","",IF(D148="","",D148*(1+B149)))</f>
        <v/>
      </c>
      <c r="E149" s="37">
        <f>IF($A149="","",MAX($D$5:D149))</f>
        <v/>
      </c>
      <c r="F149" s="25">
        <f>IF($A149="","",(E149-D149)/E149)</f>
        <v/>
      </c>
    </row>
    <row r="150">
      <c r="A150" s="23">
        <f>IF('05 Simple Returns'!A150="","",'05 Simple Returns'!A150)</f>
        <v/>
      </c>
      <c r="B150" s="25">
        <f>IF($A150="","",SUM(MMULT('05 Simple Returns'!B150:G150,'08 Optimisation'!$B$36:$B$41)))</f>
        <v/>
      </c>
      <c r="C150" s="25">
        <f>IF($A150="","",SUM(MMULT('06 Log Returns'!B150:G150,'08 Optimisation'!$B$36:$B$41)))</f>
        <v/>
      </c>
      <c r="D150" s="37">
        <f>IF($A150="","",IF(D149="","",D149*(1+B150)))</f>
        <v/>
      </c>
      <c r="E150" s="37">
        <f>IF($A150="","",MAX($D$5:D150))</f>
        <v/>
      </c>
      <c r="F150" s="25">
        <f>IF($A150="","",(E150-D150)/E150)</f>
        <v/>
      </c>
    </row>
    <row r="151">
      <c r="A151" s="23">
        <f>IF('05 Simple Returns'!A151="","",'05 Simple Returns'!A151)</f>
        <v/>
      </c>
      <c r="B151" s="25">
        <f>IF($A151="","",SUM(MMULT('05 Simple Returns'!B151:G151,'08 Optimisation'!$B$36:$B$41)))</f>
        <v/>
      </c>
      <c r="C151" s="25">
        <f>IF($A151="","",SUM(MMULT('06 Log Returns'!B151:G151,'08 Optimisation'!$B$36:$B$41)))</f>
        <v/>
      </c>
      <c r="D151" s="37">
        <f>IF($A151="","",IF(D150="","",D150*(1+B151)))</f>
        <v/>
      </c>
      <c r="E151" s="37">
        <f>IF($A151="","",MAX($D$5:D151))</f>
        <v/>
      </c>
      <c r="F151" s="25">
        <f>IF($A151="","",(E151-D151)/E151)</f>
        <v/>
      </c>
    </row>
    <row r="152">
      <c r="A152" s="23">
        <f>IF('05 Simple Returns'!A152="","",'05 Simple Returns'!A152)</f>
        <v/>
      </c>
      <c r="B152" s="25">
        <f>IF($A152="","",SUM(MMULT('05 Simple Returns'!B152:G152,'08 Optimisation'!$B$36:$B$41)))</f>
        <v/>
      </c>
      <c r="C152" s="25">
        <f>IF($A152="","",SUM(MMULT('06 Log Returns'!B152:G152,'08 Optimisation'!$B$36:$B$41)))</f>
        <v/>
      </c>
      <c r="D152" s="37">
        <f>IF($A152="","",IF(D151="","",D151*(1+B152)))</f>
        <v/>
      </c>
      <c r="E152" s="37">
        <f>IF($A152="","",MAX($D$5:D152))</f>
        <v/>
      </c>
      <c r="F152" s="25">
        <f>IF($A152="","",(E152-D152)/E152)</f>
        <v/>
      </c>
    </row>
    <row r="153">
      <c r="A153" s="23">
        <f>IF('05 Simple Returns'!A153="","",'05 Simple Returns'!A153)</f>
        <v/>
      </c>
      <c r="B153" s="25">
        <f>IF($A153="","",SUM(MMULT('05 Simple Returns'!B153:G153,'08 Optimisation'!$B$36:$B$41)))</f>
        <v/>
      </c>
      <c r="C153" s="25">
        <f>IF($A153="","",SUM(MMULT('06 Log Returns'!B153:G153,'08 Optimisation'!$B$36:$B$41)))</f>
        <v/>
      </c>
      <c r="D153" s="37">
        <f>IF($A153="","",IF(D152="","",D152*(1+B153)))</f>
        <v/>
      </c>
      <c r="E153" s="37">
        <f>IF($A153="","",MAX($D$5:D153))</f>
        <v/>
      </c>
      <c r="F153" s="25">
        <f>IF($A153="","",(E153-D153)/E153)</f>
        <v/>
      </c>
    </row>
    <row r="154">
      <c r="A154" s="23">
        <f>IF('05 Simple Returns'!A154="","",'05 Simple Returns'!A154)</f>
        <v/>
      </c>
      <c r="B154" s="25">
        <f>IF($A154="","",SUM(MMULT('05 Simple Returns'!B154:G154,'08 Optimisation'!$B$36:$B$41)))</f>
        <v/>
      </c>
      <c r="C154" s="25">
        <f>IF($A154="","",SUM(MMULT('06 Log Returns'!B154:G154,'08 Optimisation'!$B$36:$B$41)))</f>
        <v/>
      </c>
      <c r="D154" s="37">
        <f>IF($A154="","",IF(D153="","",D153*(1+B154)))</f>
        <v/>
      </c>
      <c r="E154" s="37">
        <f>IF($A154="","",MAX($D$5:D154))</f>
        <v/>
      </c>
      <c r="F154" s="25">
        <f>IF($A154="","",(E154-D154)/E154)</f>
        <v/>
      </c>
    </row>
    <row r="155">
      <c r="A155" s="23">
        <f>IF('05 Simple Returns'!A155="","",'05 Simple Returns'!A155)</f>
        <v/>
      </c>
      <c r="B155" s="25">
        <f>IF($A155="","",SUM(MMULT('05 Simple Returns'!B155:G155,'08 Optimisation'!$B$36:$B$41)))</f>
        <v/>
      </c>
      <c r="C155" s="25">
        <f>IF($A155="","",SUM(MMULT('06 Log Returns'!B155:G155,'08 Optimisation'!$B$36:$B$41)))</f>
        <v/>
      </c>
      <c r="D155" s="37">
        <f>IF($A155="","",IF(D154="","",D154*(1+B155)))</f>
        <v/>
      </c>
      <c r="E155" s="37">
        <f>IF($A155="","",MAX($D$5:D155))</f>
        <v/>
      </c>
      <c r="F155" s="25">
        <f>IF($A155="","",(E155-D155)/E155)</f>
        <v/>
      </c>
    </row>
    <row r="156">
      <c r="A156" s="23">
        <f>IF('05 Simple Returns'!A156="","",'05 Simple Returns'!A156)</f>
        <v/>
      </c>
      <c r="B156" s="25">
        <f>IF($A156="","",SUM(MMULT('05 Simple Returns'!B156:G156,'08 Optimisation'!$B$36:$B$41)))</f>
        <v/>
      </c>
      <c r="C156" s="25">
        <f>IF($A156="","",SUM(MMULT('06 Log Returns'!B156:G156,'08 Optimisation'!$B$36:$B$41)))</f>
        <v/>
      </c>
      <c r="D156" s="37">
        <f>IF($A156="","",IF(D155="","",D155*(1+B156)))</f>
        <v/>
      </c>
      <c r="E156" s="37">
        <f>IF($A156="","",MAX($D$5:D156))</f>
        <v/>
      </c>
      <c r="F156" s="25">
        <f>IF($A156="","",(E156-D156)/E156)</f>
        <v/>
      </c>
    </row>
    <row r="157">
      <c r="A157" s="23">
        <f>IF('05 Simple Returns'!A157="","",'05 Simple Returns'!A157)</f>
        <v/>
      </c>
      <c r="B157" s="25">
        <f>IF($A157="","",SUM(MMULT('05 Simple Returns'!B157:G157,'08 Optimisation'!$B$36:$B$41)))</f>
        <v/>
      </c>
      <c r="C157" s="25">
        <f>IF($A157="","",SUM(MMULT('06 Log Returns'!B157:G157,'08 Optimisation'!$B$36:$B$41)))</f>
        <v/>
      </c>
      <c r="D157" s="37">
        <f>IF($A157="","",IF(D156="","",D156*(1+B157)))</f>
        <v/>
      </c>
      <c r="E157" s="37">
        <f>IF($A157="","",MAX($D$5:D157))</f>
        <v/>
      </c>
      <c r="F157" s="25">
        <f>IF($A157="","",(E157-D157)/E157)</f>
        <v/>
      </c>
    </row>
    <row r="158">
      <c r="A158" s="23">
        <f>IF('05 Simple Returns'!A158="","",'05 Simple Returns'!A158)</f>
        <v/>
      </c>
      <c r="B158" s="25">
        <f>IF($A158="","",SUM(MMULT('05 Simple Returns'!B158:G158,'08 Optimisation'!$B$36:$B$41)))</f>
        <v/>
      </c>
      <c r="C158" s="25">
        <f>IF($A158="","",SUM(MMULT('06 Log Returns'!B158:G158,'08 Optimisation'!$B$36:$B$41)))</f>
        <v/>
      </c>
      <c r="D158" s="37">
        <f>IF($A158="","",IF(D157="","",D157*(1+B158)))</f>
        <v/>
      </c>
      <c r="E158" s="37">
        <f>IF($A158="","",MAX($D$5:D158))</f>
        <v/>
      </c>
      <c r="F158" s="25">
        <f>IF($A158="","",(E158-D158)/E158)</f>
        <v/>
      </c>
    </row>
    <row r="159">
      <c r="A159" s="23">
        <f>IF('05 Simple Returns'!A159="","",'05 Simple Returns'!A159)</f>
        <v/>
      </c>
      <c r="B159" s="25">
        <f>IF($A159="","",SUM(MMULT('05 Simple Returns'!B159:G159,'08 Optimisation'!$B$36:$B$41)))</f>
        <v/>
      </c>
      <c r="C159" s="25">
        <f>IF($A159="","",SUM(MMULT('06 Log Returns'!B159:G159,'08 Optimisation'!$B$36:$B$41)))</f>
        <v/>
      </c>
      <c r="D159" s="37">
        <f>IF($A159="","",IF(D158="","",D158*(1+B159)))</f>
        <v/>
      </c>
      <c r="E159" s="37">
        <f>IF($A159="","",MAX($D$5:D159))</f>
        <v/>
      </c>
      <c r="F159" s="25">
        <f>IF($A159="","",(E159-D159)/E159)</f>
        <v/>
      </c>
    </row>
    <row r="160">
      <c r="A160" s="23">
        <f>IF('05 Simple Returns'!A160="","",'05 Simple Returns'!A160)</f>
        <v/>
      </c>
      <c r="B160" s="25">
        <f>IF($A160="","",SUM(MMULT('05 Simple Returns'!B160:G160,'08 Optimisation'!$B$36:$B$41)))</f>
        <v/>
      </c>
      <c r="C160" s="25">
        <f>IF($A160="","",SUM(MMULT('06 Log Returns'!B160:G160,'08 Optimisation'!$B$36:$B$41)))</f>
        <v/>
      </c>
      <c r="D160" s="37">
        <f>IF($A160="","",IF(D159="","",D159*(1+B160)))</f>
        <v/>
      </c>
      <c r="E160" s="37">
        <f>IF($A160="","",MAX($D$5:D160))</f>
        <v/>
      </c>
      <c r="F160" s="25">
        <f>IF($A160="","",(E160-D160)/E160)</f>
        <v/>
      </c>
    </row>
    <row r="161">
      <c r="A161" s="23">
        <f>IF('05 Simple Returns'!A161="","",'05 Simple Returns'!A161)</f>
        <v/>
      </c>
      <c r="B161" s="25">
        <f>IF($A161="","",SUM(MMULT('05 Simple Returns'!B161:G161,'08 Optimisation'!$B$36:$B$41)))</f>
        <v/>
      </c>
      <c r="C161" s="25">
        <f>IF($A161="","",SUM(MMULT('06 Log Returns'!B161:G161,'08 Optimisation'!$B$36:$B$41)))</f>
        <v/>
      </c>
      <c r="D161" s="37">
        <f>IF($A161="","",IF(D160="","",D160*(1+B161)))</f>
        <v/>
      </c>
      <c r="E161" s="37">
        <f>IF($A161="","",MAX($D$5:D161))</f>
        <v/>
      </c>
      <c r="F161" s="25">
        <f>IF($A161="","",(E161-D161)/E161)</f>
        <v/>
      </c>
    </row>
    <row r="162">
      <c r="A162" s="23">
        <f>IF('05 Simple Returns'!A162="","",'05 Simple Returns'!A162)</f>
        <v/>
      </c>
      <c r="B162" s="25">
        <f>IF($A162="","",SUM(MMULT('05 Simple Returns'!B162:G162,'08 Optimisation'!$B$36:$B$41)))</f>
        <v/>
      </c>
      <c r="C162" s="25">
        <f>IF($A162="","",SUM(MMULT('06 Log Returns'!B162:G162,'08 Optimisation'!$B$36:$B$41)))</f>
        <v/>
      </c>
      <c r="D162" s="37">
        <f>IF($A162="","",IF(D161="","",D161*(1+B162)))</f>
        <v/>
      </c>
      <c r="E162" s="37">
        <f>IF($A162="","",MAX($D$5:D162))</f>
        <v/>
      </c>
      <c r="F162" s="25">
        <f>IF($A162="","",(E162-D162)/E162)</f>
        <v/>
      </c>
    </row>
    <row r="163">
      <c r="A163" s="23">
        <f>IF('05 Simple Returns'!A163="","",'05 Simple Returns'!A163)</f>
        <v/>
      </c>
      <c r="B163" s="25">
        <f>IF($A163="","",SUM(MMULT('05 Simple Returns'!B163:G163,'08 Optimisation'!$B$36:$B$41)))</f>
        <v/>
      </c>
      <c r="C163" s="25">
        <f>IF($A163="","",SUM(MMULT('06 Log Returns'!B163:G163,'08 Optimisation'!$B$36:$B$41)))</f>
        <v/>
      </c>
      <c r="D163" s="37">
        <f>IF($A163="","",IF(D162="","",D162*(1+B163)))</f>
        <v/>
      </c>
      <c r="E163" s="37">
        <f>IF($A163="","",MAX($D$5:D163))</f>
        <v/>
      </c>
      <c r="F163" s="25">
        <f>IF($A163="","",(E163-D163)/E163)</f>
        <v/>
      </c>
    </row>
    <row r="164">
      <c r="A164" s="23">
        <f>IF('05 Simple Returns'!A164="","",'05 Simple Returns'!A164)</f>
        <v/>
      </c>
      <c r="B164" s="25">
        <f>IF($A164="","",SUM(MMULT('05 Simple Returns'!B164:G164,'08 Optimisation'!$B$36:$B$41)))</f>
        <v/>
      </c>
      <c r="C164" s="25">
        <f>IF($A164="","",SUM(MMULT('06 Log Returns'!B164:G164,'08 Optimisation'!$B$36:$B$41)))</f>
        <v/>
      </c>
      <c r="D164" s="37">
        <f>IF($A164="","",IF(D163="","",D163*(1+B164)))</f>
        <v/>
      </c>
      <c r="E164" s="37">
        <f>IF($A164="","",MAX($D$5:D164))</f>
        <v/>
      </c>
      <c r="F164" s="25">
        <f>IF($A164="","",(E164-D164)/E164)</f>
        <v/>
      </c>
    </row>
    <row r="165">
      <c r="A165" s="23">
        <f>IF('05 Simple Returns'!A165="","",'05 Simple Returns'!A165)</f>
        <v/>
      </c>
      <c r="B165" s="25">
        <f>IF($A165="","",SUM(MMULT('05 Simple Returns'!B165:G165,'08 Optimisation'!$B$36:$B$41)))</f>
        <v/>
      </c>
      <c r="C165" s="25">
        <f>IF($A165="","",SUM(MMULT('06 Log Returns'!B165:G165,'08 Optimisation'!$B$36:$B$41)))</f>
        <v/>
      </c>
      <c r="D165" s="37">
        <f>IF($A165="","",IF(D164="","",D164*(1+B165)))</f>
        <v/>
      </c>
      <c r="E165" s="37">
        <f>IF($A165="","",MAX($D$5:D165))</f>
        <v/>
      </c>
      <c r="F165" s="25">
        <f>IF($A165="","",(E165-D165)/E165)</f>
        <v/>
      </c>
    </row>
    <row r="166">
      <c r="A166" s="23">
        <f>IF('05 Simple Returns'!A166="","",'05 Simple Returns'!A166)</f>
        <v/>
      </c>
      <c r="B166" s="25">
        <f>IF($A166="","",SUM(MMULT('05 Simple Returns'!B166:G166,'08 Optimisation'!$B$36:$B$41)))</f>
        <v/>
      </c>
      <c r="C166" s="25">
        <f>IF($A166="","",SUM(MMULT('06 Log Returns'!B166:G166,'08 Optimisation'!$B$36:$B$41)))</f>
        <v/>
      </c>
      <c r="D166" s="37">
        <f>IF($A166="","",IF(D165="","",D165*(1+B166)))</f>
        <v/>
      </c>
      <c r="E166" s="37">
        <f>IF($A166="","",MAX($D$5:D166))</f>
        <v/>
      </c>
      <c r="F166" s="25">
        <f>IF($A166="","",(E166-D166)/E166)</f>
        <v/>
      </c>
    </row>
    <row r="167">
      <c r="A167" s="23">
        <f>IF('05 Simple Returns'!A167="","",'05 Simple Returns'!A167)</f>
        <v/>
      </c>
      <c r="B167" s="25">
        <f>IF($A167="","",SUM(MMULT('05 Simple Returns'!B167:G167,'08 Optimisation'!$B$36:$B$41)))</f>
        <v/>
      </c>
      <c r="C167" s="25">
        <f>IF($A167="","",SUM(MMULT('06 Log Returns'!B167:G167,'08 Optimisation'!$B$36:$B$41)))</f>
        <v/>
      </c>
      <c r="D167" s="37">
        <f>IF($A167="","",IF(D166="","",D166*(1+B167)))</f>
        <v/>
      </c>
      <c r="E167" s="37">
        <f>IF($A167="","",MAX($D$5:D167))</f>
        <v/>
      </c>
      <c r="F167" s="25">
        <f>IF($A167="","",(E167-D167)/E167)</f>
        <v/>
      </c>
    </row>
    <row r="168">
      <c r="A168" s="23">
        <f>IF('05 Simple Returns'!A168="","",'05 Simple Returns'!A168)</f>
        <v/>
      </c>
      <c r="B168" s="25">
        <f>IF($A168="","",SUM(MMULT('05 Simple Returns'!B168:G168,'08 Optimisation'!$B$36:$B$41)))</f>
        <v/>
      </c>
      <c r="C168" s="25">
        <f>IF($A168="","",SUM(MMULT('06 Log Returns'!B168:G168,'08 Optimisation'!$B$36:$B$41)))</f>
        <v/>
      </c>
      <c r="D168" s="37">
        <f>IF($A168="","",IF(D167="","",D167*(1+B168)))</f>
        <v/>
      </c>
      <c r="E168" s="37">
        <f>IF($A168="","",MAX($D$5:D168))</f>
        <v/>
      </c>
      <c r="F168" s="25">
        <f>IF($A168="","",(E168-D168)/E168)</f>
        <v/>
      </c>
    </row>
    <row r="169">
      <c r="A169" s="23">
        <f>IF('05 Simple Returns'!A169="","",'05 Simple Returns'!A169)</f>
        <v/>
      </c>
      <c r="B169" s="25">
        <f>IF($A169="","",SUM(MMULT('05 Simple Returns'!B169:G169,'08 Optimisation'!$B$36:$B$41)))</f>
        <v/>
      </c>
      <c r="C169" s="25">
        <f>IF($A169="","",SUM(MMULT('06 Log Returns'!B169:G169,'08 Optimisation'!$B$36:$B$41)))</f>
        <v/>
      </c>
      <c r="D169" s="37">
        <f>IF($A169="","",IF(D168="","",D168*(1+B169)))</f>
        <v/>
      </c>
      <c r="E169" s="37">
        <f>IF($A169="","",MAX($D$5:D169))</f>
        <v/>
      </c>
      <c r="F169" s="25">
        <f>IF($A169="","",(E169-D169)/E169)</f>
        <v/>
      </c>
    </row>
    <row r="170">
      <c r="A170" s="23">
        <f>IF('05 Simple Returns'!A170="","",'05 Simple Returns'!A170)</f>
        <v/>
      </c>
      <c r="B170" s="25">
        <f>IF($A170="","",SUM(MMULT('05 Simple Returns'!B170:G170,'08 Optimisation'!$B$36:$B$41)))</f>
        <v/>
      </c>
      <c r="C170" s="25">
        <f>IF($A170="","",SUM(MMULT('06 Log Returns'!B170:G170,'08 Optimisation'!$B$36:$B$41)))</f>
        <v/>
      </c>
      <c r="D170" s="37">
        <f>IF($A170="","",IF(D169="","",D169*(1+B170)))</f>
        <v/>
      </c>
      <c r="E170" s="37">
        <f>IF($A170="","",MAX($D$5:D170))</f>
        <v/>
      </c>
      <c r="F170" s="25">
        <f>IF($A170="","",(E170-D170)/E170)</f>
        <v/>
      </c>
    </row>
    <row r="171">
      <c r="A171" s="23">
        <f>IF('05 Simple Returns'!A171="","",'05 Simple Returns'!A171)</f>
        <v/>
      </c>
      <c r="B171" s="25">
        <f>IF($A171="","",SUM(MMULT('05 Simple Returns'!B171:G171,'08 Optimisation'!$B$36:$B$41)))</f>
        <v/>
      </c>
      <c r="C171" s="25">
        <f>IF($A171="","",SUM(MMULT('06 Log Returns'!B171:G171,'08 Optimisation'!$B$36:$B$41)))</f>
        <v/>
      </c>
      <c r="D171" s="37">
        <f>IF($A171="","",IF(D170="","",D170*(1+B171)))</f>
        <v/>
      </c>
      <c r="E171" s="37">
        <f>IF($A171="","",MAX($D$5:D171))</f>
        <v/>
      </c>
      <c r="F171" s="25">
        <f>IF($A171="","",(E171-D171)/E171)</f>
        <v/>
      </c>
    </row>
    <row r="172">
      <c r="A172" s="23">
        <f>IF('05 Simple Returns'!A172="","",'05 Simple Returns'!A172)</f>
        <v/>
      </c>
      <c r="B172" s="25">
        <f>IF($A172="","",SUM(MMULT('05 Simple Returns'!B172:G172,'08 Optimisation'!$B$36:$B$41)))</f>
        <v/>
      </c>
      <c r="C172" s="25">
        <f>IF($A172="","",SUM(MMULT('06 Log Returns'!B172:G172,'08 Optimisation'!$B$36:$B$41)))</f>
        <v/>
      </c>
      <c r="D172" s="37">
        <f>IF($A172="","",IF(D171="","",D171*(1+B172)))</f>
        <v/>
      </c>
      <c r="E172" s="37">
        <f>IF($A172="","",MAX($D$5:D172))</f>
        <v/>
      </c>
      <c r="F172" s="25">
        <f>IF($A172="","",(E172-D172)/E172)</f>
        <v/>
      </c>
    </row>
    <row r="173">
      <c r="A173" s="23">
        <f>IF('05 Simple Returns'!A173="","",'05 Simple Returns'!A173)</f>
        <v/>
      </c>
      <c r="B173" s="25">
        <f>IF($A173="","",SUM(MMULT('05 Simple Returns'!B173:G173,'08 Optimisation'!$B$36:$B$41)))</f>
        <v/>
      </c>
      <c r="C173" s="25">
        <f>IF($A173="","",SUM(MMULT('06 Log Returns'!B173:G173,'08 Optimisation'!$B$36:$B$41)))</f>
        <v/>
      </c>
      <c r="D173" s="37">
        <f>IF($A173="","",IF(D172="","",D172*(1+B173)))</f>
        <v/>
      </c>
      <c r="E173" s="37">
        <f>IF($A173="","",MAX($D$5:D173))</f>
        <v/>
      </c>
      <c r="F173" s="25">
        <f>IF($A173="","",(E173-D173)/E173)</f>
        <v/>
      </c>
    </row>
    <row r="174">
      <c r="A174" s="23">
        <f>IF('05 Simple Returns'!A174="","",'05 Simple Returns'!A174)</f>
        <v/>
      </c>
      <c r="B174" s="25">
        <f>IF($A174="","",SUM(MMULT('05 Simple Returns'!B174:G174,'08 Optimisation'!$B$36:$B$41)))</f>
        <v/>
      </c>
      <c r="C174" s="25">
        <f>IF($A174="","",SUM(MMULT('06 Log Returns'!B174:G174,'08 Optimisation'!$B$36:$B$41)))</f>
        <v/>
      </c>
      <c r="D174" s="37">
        <f>IF($A174="","",IF(D173="","",D173*(1+B174)))</f>
        <v/>
      </c>
      <c r="E174" s="37">
        <f>IF($A174="","",MAX($D$5:D174))</f>
        <v/>
      </c>
      <c r="F174" s="25">
        <f>IF($A174="","",(E174-D174)/E174)</f>
        <v/>
      </c>
    </row>
    <row r="175">
      <c r="A175" s="23">
        <f>IF('05 Simple Returns'!A175="","",'05 Simple Returns'!A175)</f>
        <v/>
      </c>
      <c r="B175" s="25">
        <f>IF($A175="","",SUM(MMULT('05 Simple Returns'!B175:G175,'08 Optimisation'!$B$36:$B$41)))</f>
        <v/>
      </c>
      <c r="C175" s="25">
        <f>IF($A175="","",SUM(MMULT('06 Log Returns'!B175:G175,'08 Optimisation'!$B$36:$B$41)))</f>
        <v/>
      </c>
      <c r="D175" s="37">
        <f>IF($A175="","",IF(D174="","",D174*(1+B175)))</f>
        <v/>
      </c>
      <c r="E175" s="37">
        <f>IF($A175="","",MAX($D$5:D175))</f>
        <v/>
      </c>
      <c r="F175" s="25">
        <f>IF($A175="","",(E175-D175)/E175)</f>
        <v/>
      </c>
    </row>
    <row r="176">
      <c r="A176" s="23">
        <f>IF('05 Simple Returns'!A176="","",'05 Simple Returns'!A176)</f>
        <v/>
      </c>
      <c r="B176" s="25">
        <f>IF($A176="","",SUM(MMULT('05 Simple Returns'!B176:G176,'08 Optimisation'!$B$36:$B$41)))</f>
        <v/>
      </c>
      <c r="C176" s="25">
        <f>IF($A176="","",SUM(MMULT('06 Log Returns'!B176:G176,'08 Optimisation'!$B$36:$B$41)))</f>
        <v/>
      </c>
      <c r="D176" s="37">
        <f>IF($A176="","",IF(D175="","",D175*(1+B176)))</f>
        <v/>
      </c>
      <c r="E176" s="37">
        <f>IF($A176="","",MAX($D$5:D176))</f>
        <v/>
      </c>
      <c r="F176" s="25">
        <f>IF($A176="","",(E176-D176)/E176)</f>
        <v/>
      </c>
    </row>
    <row r="177">
      <c r="A177" s="23">
        <f>IF('05 Simple Returns'!A177="","",'05 Simple Returns'!A177)</f>
        <v/>
      </c>
      <c r="B177" s="25">
        <f>IF($A177="","",SUM(MMULT('05 Simple Returns'!B177:G177,'08 Optimisation'!$B$36:$B$41)))</f>
        <v/>
      </c>
      <c r="C177" s="25">
        <f>IF($A177="","",SUM(MMULT('06 Log Returns'!B177:G177,'08 Optimisation'!$B$36:$B$41)))</f>
        <v/>
      </c>
      <c r="D177" s="37">
        <f>IF($A177="","",IF(D176="","",D176*(1+B177)))</f>
        <v/>
      </c>
      <c r="E177" s="37">
        <f>IF($A177="","",MAX($D$5:D177))</f>
        <v/>
      </c>
      <c r="F177" s="25">
        <f>IF($A177="","",(E177-D177)/E177)</f>
        <v/>
      </c>
    </row>
    <row r="178">
      <c r="A178" s="23">
        <f>IF('05 Simple Returns'!A178="","",'05 Simple Returns'!A178)</f>
        <v/>
      </c>
      <c r="B178" s="25">
        <f>IF($A178="","",SUM(MMULT('05 Simple Returns'!B178:G178,'08 Optimisation'!$B$36:$B$41)))</f>
        <v/>
      </c>
      <c r="C178" s="25">
        <f>IF($A178="","",SUM(MMULT('06 Log Returns'!B178:G178,'08 Optimisation'!$B$36:$B$41)))</f>
        <v/>
      </c>
      <c r="D178" s="37">
        <f>IF($A178="","",IF(D177="","",D177*(1+B178)))</f>
        <v/>
      </c>
      <c r="E178" s="37">
        <f>IF($A178="","",MAX($D$5:D178))</f>
        <v/>
      </c>
      <c r="F178" s="25">
        <f>IF($A178="","",(E178-D178)/E178)</f>
        <v/>
      </c>
    </row>
    <row r="179">
      <c r="A179" s="23">
        <f>IF('05 Simple Returns'!A179="","",'05 Simple Returns'!A179)</f>
        <v/>
      </c>
      <c r="B179" s="25">
        <f>IF($A179="","",SUM(MMULT('05 Simple Returns'!B179:G179,'08 Optimisation'!$B$36:$B$41)))</f>
        <v/>
      </c>
      <c r="C179" s="25">
        <f>IF($A179="","",SUM(MMULT('06 Log Returns'!B179:G179,'08 Optimisation'!$B$36:$B$41)))</f>
        <v/>
      </c>
      <c r="D179" s="37">
        <f>IF($A179="","",IF(D178="","",D178*(1+B179)))</f>
        <v/>
      </c>
      <c r="E179" s="37">
        <f>IF($A179="","",MAX($D$5:D179))</f>
        <v/>
      </c>
      <c r="F179" s="25">
        <f>IF($A179="","",(E179-D179)/E179)</f>
        <v/>
      </c>
    </row>
    <row r="180">
      <c r="A180" s="23">
        <f>IF('05 Simple Returns'!A180="","",'05 Simple Returns'!A180)</f>
        <v/>
      </c>
      <c r="B180" s="25">
        <f>IF($A180="","",SUM(MMULT('05 Simple Returns'!B180:G180,'08 Optimisation'!$B$36:$B$41)))</f>
        <v/>
      </c>
      <c r="C180" s="25">
        <f>IF($A180="","",SUM(MMULT('06 Log Returns'!B180:G180,'08 Optimisation'!$B$36:$B$41)))</f>
        <v/>
      </c>
      <c r="D180" s="37">
        <f>IF($A180="","",IF(D179="","",D179*(1+B180)))</f>
        <v/>
      </c>
      <c r="E180" s="37">
        <f>IF($A180="","",MAX($D$5:D180))</f>
        <v/>
      </c>
      <c r="F180" s="25">
        <f>IF($A180="","",(E180-D180)/E180)</f>
        <v/>
      </c>
    </row>
    <row r="181">
      <c r="A181" s="23">
        <f>IF('05 Simple Returns'!A181="","",'05 Simple Returns'!A181)</f>
        <v/>
      </c>
      <c r="B181" s="25">
        <f>IF($A181="","",SUM(MMULT('05 Simple Returns'!B181:G181,'08 Optimisation'!$B$36:$B$41)))</f>
        <v/>
      </c>
      <c r="C181" s="25">
        <f>IF($A181="","",SUM(MMULT('06 Log Returns'!B181:G181,'08 Optimisation'!$B$36:$B$41)))</f>
        <v/>
      </c>
      <c r="D181" s="37">
        <f>IF($A181="","",IF(D180="","",D180*(1+B181)))</f>
        <v/>
      </c>
      <c r="E181" s="37">
        <f>IF($A181="","",MAX($D$5:D181))</f>
        <v/>
      </c>
      <c r="F181" s="25">
        <f>IF($A181="","",(E181-D181)/E181)</f>
        <v/>
      </c>
    </row>
    <row r="182">
      <c r="A182" s="23">
        <f>IF('05 Simple Returns'!A182="","",'05 Simple Returns'!A182)</f>
        <v/>
      </c>
      <c r="B182" s="25">
        <f>IF($A182="","",SUM(MMULT('05 Simple Returns'!B182:G182,'08 Optimisation'!$B$36:$B$41)))</f>
        <v/>
      </c>
      <c r="C182" s="25">
        <f>IF($A182="","",SUM(MMULT('06 Log Returns'!B182:G182,'08 Optimisation'!$B$36:$B$41)))</f>
        <v/>
      </c>
      <c r="D182" s="37">
        <f>IF($A182="","",IF(D181="","",D181*(1+B182)))</f>
        <v/>
      </c>
      <c r="E182" s="37">
        <f>IF($A182="","",MAX($D$5:D182))</f>
        <v/>
      </c>
      <c r="F182" s="25">
        <f>IF($A182="","",(E182-D182)/E182)</f>
        <v/>
      </c>
    </row>
    <row r="183">
      <c r="A183" s="23">
        <f>IF('05 Simple Returns'!A183="","",'05 Simple Returns'!A183)</f>
        <v/>
      </c>
      <c r="B183" s="25">
        <f>IF($A183="","",SUM(MMULT('05 Simple Returns'!B183:G183,'08 Optimisation'!$B$36:$B$41)))</f>
        <v/>
      </c>
      <c r="C183" s="25">
        <f>IF($A183="","",SUM(MMULT('06 Log Returns'!B183:G183,'08 Optimisation'!$B$36:$B$41)))</f>
        <v/>
      </c>
      <c r="D183" s="37">
        <f>IF($A183="","",IF(D182="","",D182*(1+B183)))</f>
        <v/>
      </c>
      <c r="E183" s="37">
        <f>IF($A183="","",MAX($D$5:D183))</f>
        <v/>
      </c>
      <c r="F183" s="25">
        <f>IF($A183="","",(E183-D183)/E183)</f>
        <v/>
      </c>
    </row>
    <row r="184">
      <c r="A184" s="23">
        <f>IF('05 Simple Returns'!A184="","",'05 Simple Returns'!A184)</f>
        <v/>
      </c>
      <c r="B184" s="25">
        <f>IF($A184="","",SUM(MMULT('05 Simple Returns'!B184:G184,'08 Optimisation'!$B$36:$B$41)))</f>
        <v/>
      </c>
      <c r="C184" s="25">
        <f>IF($A184="","",SUM(MMULT('06 Log Returns'!B184:G184,'08 Optimisation'!$B$36:$B$41)))</f>
        <v/>
      </c>
      <c r="D184" s="37">
        <f>IF($A184="","",IF(D183="","",D183*(1+B184)))</f>
        <v/>
      </c>
      <c r="E184" s="37">
        <f>IF($A184="","",MAX($D$5:D184))</f>
        <v/>
      </c>
      <c r="F184" s="25">
        <f>IF($A184="","",(E184-D184)/E184)</f>
        <v/>
      </c>
    </row>
    <row r="185">
      <c r="A185" s="23">
        <f>IF('05 Simple Returns'!A185="","",'05 Simple Returns'!A185)</f>
        <v/>
      </c>
      <c r="B185" s="25">
        <f>IF($A185="","",SUM(MMULT('05 Simple Returns'!B185:G185,'08 Optimisation'!$B$36:$B$41)))</f>
        <v/>
      </c>
      <c r="C185" s="25">
        <f>IF($A185="","",SUM(MMULT('06 Log Returns'!B185:G185,'08 Optimisation'!$B$36:$B$41)))</f>
        <v/>
      </c>
      <c r="D185" s="37">
        <f>IF($A185="","",IF(D184="","",D184*(1+B185)))</f>
        <v/>
      </c>
      <c r="E185" s="37">
        <f>IF($A185="","",MAX($D$5:D185))</f>
        <v/>
      </c>
      <c r="F185" s="25">
        <f>IF($A185="","",(E185-D185)/E185)</f>
        <v/>
      </c>
    </row>
    <row r="186">
      <c r="A186" s="23">
        <f>IF('05 Simple Returns'!A186="","",'05 Simple Returns'!A186)</f>
        <v/>
      </c>
      <c r="B186" s="25">
        <f>IF($A186="","",SUM(MMULT('05 Simple Returns'!B186:G186,'08 Optimisation'!$B$36:$B$41)))</f>
        <v/>
      </c>
      <c r="C186" s="25">
        <f>IF($A186="","",SUM(MMULT('06 Log Returns'!B186:G186,'08 Optimisation'!$B$36:$B$41)))</f>
        <v/>
      </c>
      <c r="D186" s="37">
        <f>IF($A186="","",IF(D185="","",D185*(1+B186)))</f>
        <v/>
      </c>
      <c r="E186" s="37">
        <f>IF($A186="","",MAX($D$5:D186))</f>
        <v/>
      </c>
      <c r="F186" s="25">
        <f>IF($A186="","",(E186-D186)/E186)</f>
        <v/>
      </c>
    </row>
    <row r="187">
      <c r="A187" s="23">
        <f>IF('05 Simple Returns'!A187="","",'05 Simple Returns'!A187)</f>
        <v/>
      </c>
      <c r="B187" s="25">
        <f>IF($A187="","",SUM(MMULT('05 Simple Returns'!B187:G187,'08 Optimisation'!$B$36:$B$41)))</f>
        <v/>
      </c>
      <c r="C187" s="25">
        <f>IF($A187="","",SUM(MMULT('06 Log Returns'!B187:G187,'08 Optimisation'!$B$36:$B$41)))</f>
        <v/>
      </c>
      <c r="D187" s="37">
        <f>IF($A187="","",IF(D186="","",D186*(1+B187)))</f>
        <v/>
      </c>
      <c r="E187" s="37">
        <f>IF($A187="","",MAX($D$5:D187))</f>
        <v/>
      </c>
      <c r="F187" s="25">
        <f>IF($A187="","",(E187-D187)/E187)</f>
        <v/>
      </c>
    </row>
    <row r="188">
      <c r="A188" s="23">
        <f>IF('05 Simple Returns'!A188="","",'05 Simple Returns'!A188)</f>
        <v/>
      </c>
      <c r="B188" s="25">
        <f>IF($A188="","",SUM(MMULT('05 Simple Returns'!B188:G188,'08 Optimisation'!$B$36:$B$41)))</f>
        <v/>
      </c>
      <c r="C188" s="25">
        <f>IF($A188="","",SUM(MMULT('06 Log Returns'!B188:G188,'08 Optimisation'!$B$36:$B$41)))</f>
        <v/>
      </c>
      <c r="D188" s="37">
        <f>IF($A188="","",IF(D187="","",D187*(1+B188)))</f>
        <v/>
      </c>
      <c r="E188" s="37">
        <f>IF($A188="","",MAX($D$5:D188))</f>
        <v/>
      </c>
      <c r="F188" s="25">
        <f>IF($A188="","",(E188-D188)/E188)</f>
        <v/>
      </c>
    </row>
    <row r="189">
      <c r="A189" s="23">
        <f>IF('05 Simple Returns'!A189="","",'05 Simple Returns'!A189)</f>
        <v/>
      </c>
      <c r="B189" s="25">
        <f>IF($A189="","",SUM(MMULT('05 Simple Returns'!B189:G189,'08 Optimisation'!$B$36:$B$41)))</f>
        <v/>
      </c>
      <c r="C189" s="25">
        <f>IF($A189="","",SUM(MMULT('06 Log Returns'!B189:G189,'08 Optimisation'!$B$36:$B$41)))</f>
        <v/>
      </c>
      <c r="D189" s="37">
        <f>IF($A189="","",IF(D188="","",D188*(1+B189)))</f>
        <v/>
      </c>
      <c r="E189" s="37">
        <f>IF($A189="","",MAX($D$5:D189))</f>
        <v/>
      </c>
      <c r="F189" s="25">
        <f>IF($A189="","",(E189-D189)/E189)</f>
        <v/>
      </c>
    </row>
    <row r="190">
      <c r="A190" s="23">
        <f>IF('05 Simple Returns'!A190="","",'05 Simple Returns'!A190)</f>
        <v/>
      </c>
      <c r="B190" s="25">
        <f>IF($A190="","",SUM(MMULT('05 Simple Returns'!B190:G190,'08 Optimisation'!$B$36:$B$41)))</f>
        <v/>
      </c>
      <c r="C190" s="25">
        <f>IF($A190="","",SUM(MMULT('06 Log Returns'!B190:G190,'08 Optimisation'!$B$36:$B$41)))</f>
        <v/>
      </c>
      <c r="D190" s="37">
        <f>IF($A190="","",IF(D189="","",D189*(1+B190)))</f>
        <v/>
      </c>
      <c r="E190" s="37">
        <f>IF($A190="","",MAX($D$5:D190))</f>
        <v/>
      </c>
      <c r="F190" s="25">
        <f>IF($A190="","",(E190-D190)/E190)</f>
        <v/>
      </c>
    </row>
    <row r="191">
      <c r="A191" s="23">
        <f>IF('05 Simple Returns'!A191="","",'05 Simple Returns'!A191)</f>
        <v/>
      </c>
      <c r="B191" s="25">
        <f>IF($A191="","",SUM(MMULT('05 Simple Returns'!B191:G191,'08 Optimisation'!$B$36:$B$41)))</f>
        <v/>
      </c>
      <c r="C191" s="25">
        <f>IF($A191="","",SUM(MMULT('06 Log Returns'!B191:G191,'08 Optimisation'!$B$36:$B$41)))</f>
        <v/>
      </c>
      <c r="D191" s="37">
        <f>IF($A191="","",IF(D190="","",D190*(1+B191)))</f>
        <v/>
      </c>
      <c r="E191" s="37">
        <f>IF($A191="","",MAX($D$5:D191))</f>
        <v/>
      </c>
      <c r="F191" s="25">
        <f>IF($A191="","",(E191-D191)/E191)</f>
        <v/>
      </c>
    </row>
    <row r="192">
      <c r="A192" s="23">
        <f>IF('05 Simple Returns'!A192="","",'05 Simple Returns'!A192)</f>
        <v/>
      </c>
      <c r="B192" s="25">
        <f>IF($A192="","",SUM(MMULT('05 Simple Returns'!B192:G192,'08 Optimisation'!$B$36:$B$41)))</f>
        <v/>
      </c>
      <c r="C192" s="25">
        <f>IF($A192="","",SUM(MMULT('06 Log Returns'!B192:G192,'08 Optimisation'!$B$36:$B$41)))</f>
        <v/>
      </c>
      <c r="D192" s="37">
        <f>IF($A192="","",IF(D191="","",D191*(1+B192)))</f>
        <v/>
      </c>
      <c r="E192" s="37">
        <f>IF($A192="","",MAX($D$5:D192))</f>
        <v/>
      </c>
      <c r="F192" s="25">
        <f>IF($A192="","",(E192-D192)/E192)</f>
        <v/>
      </c>
    </row>
    <row r="193">
      <c r="A193" s="23">
        <f>IF('05 Simple Returns'!A193="","",'05 Simple Returns'!A193)</f>
        <v/>
      </c>
      <c r="B193" s="25">
        <f>IF($A193="","",SUM(MMULT('05 Simple Returns'!B193:G193,'08 Optimisation'!$B$36:$B$41)))</f>
        <v/>
      </c>
      <c r="C193" s="25">
        <f>IF($A193="","",SUM(MMULT('06 Log Returns'!B193:G193,'08 Optimisation'!$B$36:$B$41)))</f>
        <v/>
      </c>
      <c r="D193" s="37">
        <f>IF($A193="","",IF(D192="","",D192*(1+B193)))</f>
        <v/>
      </c>
      <c r="E193" s="37">
        <f>IF($A193="","",MAX($D$5:D193))</f>
        <v/>
      </c>
      <c r="F193" s="25">
        <f>IF($A193="","",(E193-D193)/E193)</f>
        <v/>
      </c>
    </row>
    <row r="194">
      <c r="A194" s="23">
        <f>IF('05 Simple Returns'!A194="","",'05 Simple Returns'!A194)</f>
        <v/>
      </c>
      <c r="B194" s="25">
        <f>IF($A194="","",SUM(MMULT('05 Simple Returns'!B194:G194,'08 Optimisation'!$B$36:$B$41)))</f>
        <v/>
      </c>
      <c r="C194" s="25">
        <f>IF($A194="","",SUM(MMULT('06 Log Returns'!B194:G194,'08 Optimisation'!$B$36:$B$41)))</f>
        <v/>
      </c>
      <c r="D194" s="37">
        <f>IF($A194="","",IF(D193="","",D193*(1+B194)))</f>
        <v/>
      </c>
      <c r="E194" s="37">
        <f>IF($A194="","",MAX($D$5:D194))</f>
        <v/>
      </c>
      <c r="F194" s="25">
        <f>IF($A194="","",(E194-D194)/E194)</f>
        <v/>
      </c>
    </row>
    <row r="195">
      <c r="A195" s="23">
        <f>IF('05 Simple Returns'!A195="","",'05 Simple Returns'!A195)</f>
        <v/>
      </c>
      <c r="B195" s="25">
        <f>IF($A195="","",SUM(MMULT('05 Simple Returns'!B195:G195,'08 Optimisation'!$B$36:$B$41)))</f>
        <v/>
      </c>
      <c r="C195" s="25">
        <f>IF($A195="","",SUM(MMULT('06 Log Returns'!B195:G195,'08 Optimisation'!$B$36:$B$41)))</f>
        <v/>
      </c>
      <c r="D195" s="37">
        <f>IF($A195="","",IF(D194="","",D194*(1+B195)))</f>
        <v/>
      </c>
      <c r="E195" s="37">
        <f>IF($A195="","",MAX($D$5:D195))</f>
        <v/>
      </c>
      <c r="F195" s="25">
        <f>IF($A195="","",(E195-D195)/E195)</f>
        <v/>
      </c>
    </row>
    <row r="196">
      <c r="A196" s="23">
        <f>IF('05 Simple Returns'!A196="","",'05 Simple Returns'!A196)</f>
        <v/>
      </c>
      <c r="B196" s="25">
        <f>IF($A196="","",SUM(MMULT('05 Simple Returns'!B196:G196,'08 Optimisation'!$B$36:$B$41)))</f>
        <v/>
      </c>
      <c r="C196" s="25">
        <f>IF($A196="","",SUM(MMULT('06 Log Returns'!B196:G196,'08 Optimisation'!$B$36:$B$41)))</f>
        <v/>
      </c>
      <c r="D196" s="37">
        <f>IF($A196="","",IF(D195="","",D195*(1+B196)))</f>
        <v/>
      </c>
      <c r="E196" s="37">
        <f>IF($A196="","",MAX($D$5:D196))</f>
        <v/>
      </c>
      <c r="F196" s="25">
        <f>IF($A196="","",(E196-D196)/E196)</f>
        <v/>
      </c>
    </row>
    <row r="197">
      <c r="A197" s="23">
        <f>IF('05 Simple Returns'!A197="","",'05 Simple Returns'!A197)</f>
        <v/>
      </c>
      <c r="B197" s="25">
        <f>IF($A197="","",SUM(MMULT('05 Simple Returns'!B197:G197,'08 Optimisation'!$B$36:$B$41)))</f>
        <v/>
      </c>
      <c r="C197" s="25">
        <f>IF($A197="","",SUM(MMULT('06 Log Returns'!B197:G197,'08 Optimisation'!$B$36:$B$41)))</f>
        <v/>
      </c>
      <c r="D197" s="37">
        <f>IF($A197="","",IF(D196="","",D196*(1+B197)))</f>
        <v/>
      </c>
      <c r="E197" s="37">
        <f>IF($A197="","",MAX($D$5:D197))</f>
        <v/>
      </c>
      <c r="F197" s="25">
        <f>IF($A197="","",(E197-D197)/E197)</f>
        <v/>
      </c>
    </row>
    <row r="198">
      <c r="A198" s="23">
        <f>IF('05 Simple Returns'!A198="","",'05 Simple Returns'!A198)</f>
        <v/>
      </c>
      <c r="B198" s="25">
        <f>IF($A198="","",SUM(MMULT('05 Simple Returns'!B198:G198,'08 Optimisation'!$B$36:$B$41)))</f>
        <v/>
      </c>
      <c r="C198" s="25">
        <f>IF($A198="","",SUM(MMULT('06 Log Returns'!B198:G198,'08 Optimisation'!$B$36:$B$41)))</f>
        <v/>
      </c>
      <c r="D198" s="37">
        <f>IF($A198="","",IF(D197="","",D197*(1+B198)))</f>
        <v/>
      </c>
      <c r="E198" s="37">
        <f>IF($A198="","",MAX($D$5:D198))</f>
        <v/>
      </c>
      <c r="F198" s="25">
        <f>IF($A198="","",(E198-D198)/E198)</f>
        <v/>
      </c>
    </row>
    <row r="199">
      <c r="A199" s="23">
        <f>IF('05 Simple Returns'!A199="","",'05 Simple Returns'!A199)</f>
        <v/>
      </c>
      <c r="B199" s="25">
        <f>IF($A199="","",SUM(MMULT('05 Simple Returns'!B199:G199,'08 Optimisation'!$B$36:$B$41)))</f>
        <v/>
      </c>
      <c r="C199" s="25">
        <f>IF($A199="","",SUM(MMULT('06 Log Returns'!B199:G199,'08 Optimisation'!$B$36:$B$41)))</f>
        <v/>
      </c>
      <c r="D199" s="37">
        <f>IF($A199="","",IF(D198="","",D198*(1+B199)))</f>
        <v/>
      </c>
      <c r="E199" s="37">
        <f>IF($A199="","",MAX($D$5:D199))</f>
        <v/>
      </c>
      <c r="F199" s="25">
        <f>IF($A199="","",(E199-D199)/E199)</f>
        <v/>
      </c>
    </row>
    <row r="200">
      <c r="A200" s="23">
        <f>IF('05 Simple Returns'!A200="","",'05 Simple Returns'!A200)</f>
        <v/>
      </c>
      <c r="B200" s="25">
        <f>IF($A200="","",SUM(MMULT('05 Simple Returns'!B200:G200,'08 Optimisation'!$B$36:$B$41)))</f>
        <v/>
      </c>
      <c r="C200" s="25">
        <f>IF($A200="","",SUM(MMULT('06 Log Returns'!B200:G200,'08 Optimisation'!$B$36:$B$41)))</f>
        <v/>
      </c>
      <c r="D200" s="37">
        <f>IF($A200="","",IF(D199="","",D199*(1+B200)))</f>
        <v/>
      </c>
      <c r="E200" s="37">
        <f>IF($A200="","",MAX($D$5:D200))</f>
        <v/>
      </c>
      <c r="F200" s="25">
        <f>IF($A200="","",(E200-D200)/E200)</f>
        <v/>
      </c>
    </row>
    <row r="201">
      <c r="A201" s="23">
        <f>IF('05 Simple Returns'!A201="","",'05 Simple Returns'!A201)</f>
        <v/>
      </c>
      <c r="B201" s="25">
        <f>IF($A201="","",SUM(MMULT('05 Simple Returns'!B201:G201,'08 Optimisation'!$B$36:$B$41)))</f>
        <v/>
      </c>
      <c r="C201" s="25">
        <f>IF($A201="","",SUM(MMULT('06 Log Returns'!B201:G201,'08 Optimisation'!$B$36:$B$41)))</f>
        <v/>
      </c>
      <c r="D201" s="37">
        <f>IF($A201="","",IF(D200="","",D200*(1+B201)))</f>
        <v/>
      </c>
      <c r="E201" s="37">
        <f>IF($A201="","",MAX($D$5:D201))</f>
        <v/>
      </c>
      <c r="F201" s="25">
        <f>IF($A201="","",(E201-D201)/E201)</f>
        <v/>
      </c>
    </row>
    <row r="202">
      <c r="A202" s="23">
        <f>IF('05 Simple Returns'!A202="","",'05 Simple Returns'!A202)</f>
        <v/>
      </c>
      <c r="B202" s="25">
        <f>IF($A202="","",SUM(MMULT('05 Simple Returns'!B202:G202,'08 Optimisation'!$B$36:$B$41)))</f>
        <v/>
      </c>
      <c r="C202" s="25">
        <f>IF($A202="","",SUM(MMULT('06 Log Returns'!B202:G202,'08 Optimisation'!$B$36:$B$41)))</f>
        <v/>
      </c>
      <c r="D202" s="37">
        <f>IF($A202="","",IF(D201="","",D201*(1+B202)))</f>
        <v/>
      </c>
      <c r="E202" s="37">
        <f>IF($A202="","",MAX($D$5:D202))</f>
        <v/>
      </c>
      <c r="F202" s="25">
        <f>IF($A202="","",(E202-D202)/E202)</f>
        <v/>
      </c>
    </row>
    <row r="203">
      <c r="A203" s="23">
        <f>IF('05 Simple Returns'!A203="","",'05 Simple Returns'!A203)</f>
        <v/>
      </c>
      <c r="B203" s="25">
        <f>IF($A203="","",SUM(MMULT('05 Simple Returns'!B203:G203,'08 Optimisation'!$B$36:$B$41)))</f>
        <v/>
      </c>
      <c r="C203" s="25">
        <f>IF($A203="","",SUM(MMULT('06 Log Returns'!B203:G203,'08 Optimisation'!$B$36:$B$41)))</f>
        <v/>
      </c>
      <c r="D203" s="37">
        <f>IF($A203="","",IF(D202="","",D202*(1+B203)))</f>
        <v/>
      </c>
      <c r="E203" s="37">
        <f>IF($A203="","",MAX($D$5:D203))</f>
        <v/>
      </c>
      <c r="F203" s="25">
        <f>IF($A203="","",(E203-D203)/E203)</f>
        <v/>
      </c>
    </row>
    <row r="204">
      <c r="A204" s="23">
        <f>IF('05 Simple Returns'!A204="","",'05 Simple Returns'!A204)</f>
        <v/>
      </c>
      <c r="B204" s="25">
        <f>IF($A204="","",SUM(MMULT('05 Simple Returns'!B204:G204,'08 Optimisation'!$B$36:$B$41)))</f>
        <v/>
      </c>
      <c r="C204" s="25">
        <f>IF($A204="","",SUM(MMULT('06 Log Returns'!B204:G204,'08 Optimisation'!$B$36:$B$41)))</f>
        <v/>
      </c>
      <c r="D204" s="37">
        <f>IF($A204="","",IF(D203="","",D203*(1+B204)))</f>
        <v/>
      </c>
      <c r="E204" s="37">
        <f>IF($A204="","",MAX($D$5:D204))</f>
        <v/>
      </c>
      <c r="F204" s="25">
        <f>IF($A204="","",(E204-D204)/E204)</f>
        <v/>
      </c>
    </row>
    <row r="205">
      <c r="A205" s="23">
        <f>IF('05 Simple Returns'!A205="","",'05 Simple Returns'!A205)</f>
        <v/>
      </c>
      <c r="B205" s="25">
        <f>IF($A205="","",SUM(MMULT('05 Simple Returns'!B205:G205,'08 Optimisation'!$B$36:$B$41)))</f>
        <v/>
      </c>
      <c r="C205" s="25">
        <f>IF($A205="","",SUM(MMULT('06 Log Returns'!B205:G205,'08 Optimisation'!$B$36:$B$41)))</f>
        <v/>
      </c>
      <c r="D205" s="37">
        <f>IF($A205="","",IF(D204="","",D204*(1+B205)))</f>
        <v/>
      </c>
      <c r="E205" s="37">
        <f>IF($A205="","",MAX($D$5:D205))</f>
        <v/>
      </c>
      <c r="F205" s="25">
        <f>IF($A205="","",(E205-D205)/E205)</f>
        <v/>
      </c>
    </row>
    <row r="206">
      <c r="A206" s="23">
        <f>IF('05 Simple Returns'!A206="","",'05 Simple Returns'!A206)</f>
        <v/>
      </c>
      <c r="B206" s="25">
        <f>IF($A206="","",SUM(MMULT('05 Simple Returns'!B206:G206,'08 Optimisation'!$B$36:$B$41)))</f>
        <v/>
      </c>
      <c r="C206" s="25">
        <f>IF($A206="","",SUM(MMULT('06 Log Returns'!B206:G206,'08 Optimisation'!$B$36:$B$41)))</f>
        <v/>
      </c>
      <c r="D206" s="37">
        <f>IF($A206="","",IF(D205="","",D205*(1+B206)))</f>
        <v/>
      </c>
      <c r="E206" s="37">
        <f>IF($A206="","",MAX($D$5:D206))</f>
        <v/>
      </c>
      <c r="F206" s="25">
        <f>IF($A206="","",(E206-D206)/E206)</f>
        <v/>
      </c>
    </row>
    <row r="207">
      <c r="A207" s="23">
        <f>IF('05 Simple Returns'!A207="","",'05 Simple Returns'!A207)</f>
        <v/>
      </c>
      <c r="B207" s="25">
        <f>IF($A207="","",SUM(MMULT('05 Simple Returns'!B207:G207,'08 Optimisation'!$B$36:$B$41)))</f>
        <v/>
      </c>
      <c r="C207" s="25">
        <f>IF($A207="","",SUM(MMULT('06 Log Returns'!B207:G207,'08 Optimisation'!$B$36:$B$41)))</f>
        <v/>
      </c>
      <c r="D207" s="37">
        <f>IF($A207="","",IF(D206="","",D206*(1+B207)))</f>
        <v/>
      </c>
      <c r="E207" s="37">
        <f>IF($A207="","",MAX($D$5:D207))</f>
        <v/>
      </c>
      <c r="F207" s="25">
        <f>IF($A207="","",(E207-D207)/E207)</f>
        <v/>
      </c>
    </row>
    <row r="208">
      <c r="A208" s="23">
        <f>IF('05 Simple Returns'!A208="","",'05 Simple Returns'!A208)</f>
        <v/>
      </c>
      <c r="B208" s="25">
        <f>IF($A208="","",SUM(MMULT('05 Simple Returns'!B208:G208,'08 Optimisation'!$B$36:$B$41)))</f>
        <v/>
      </c>
      <c r="C208" s="25">
        <f>IF($A208="","",SUM(MMULT('06 Log Returns'!B208:G208,'08 Optimisation'!$B$36:$B$41)))</f>
        <v/>
      </c>
      <c r="D208" s="37">
        <f>IF($A208="","",IF(D207="","",D207*(1+B208)))</f>
        <v/>
      </c>
      <c r="E208" s="37">
        <f>IF($A208="","",MAX($D$5:D208))</f>
        <v/>
      </c>
      <c r="F208" s="25">
        <f>IF($A208="","",(E208-D208)/E208)</f>
        <v/>
      </c>
    </row>
    <row r="209">
      <c r="A209" s="23">
        <f>IF('05 Simple Returns'!A209="","",'05 Simple Returns'!A209)</f>
        <v/>
      </c>
      <c r="B209" s="25">
        <f>IF($A209="","",SUM(MMULT('05 Simple Returns'!B209:G209,'08 Optimisation'!$B$36:$B$41)))</f>
        <v/>
      </c>
      <c r="C209" s="25">
        <f>IF($A209="","",SUM(MMULT('06 Log Returns'!B209:G209,'08 Optimisation'!$B$36:$B$41)))</f>
        <v/>
      </c>
      <c r="D209" s="37">
        <f>IF($A209="","",IF(D208="","",D208*(1+B209)))</f>
        <v/>
      </c>
      <c r="E209" s="37">
        <f>IF($A209="","",MAX($D$5:D209))</f>
        <v/>
      </c>
      <c r="F209" s="25">
        <f>IF($A209="","",(E209-D209)/E209)</f>
        <v/>
      </c>
    </row>
    <row r="210">
      <c r="A210" s="23">
        <f>IF('05 Simple Returns'!A210="","",'05 Simple Returns'!A210)</f>
        <v/>
      </c>
      <c r="B210" s="25">
        <f>IF($A210="","",SUM(MMULT('05 Simple Returns'!B210:G210,'08 Optimisation'!$B$36:$B$41)))</f>
        <v/>
      </c>
      <c r="C210" s="25">
        <f>IF($A210="","",SUM(MMULT('06 Log Returns'!B210:G210,'08 Optimisation'!$B$36:$B$41)))</f>
        <v/>
      </c>
      <c r="D210" s="37">
        <f>IF($A210="","",IF(D209="","",D209*(1+B210)))</f>
        <v/>
      </c>
      <c r="E210" s="37">
        <f>IF($A210="","",MAX($D$5:D210))</f>
        <v/>
      </c>
      <c r="F210" s="25">
        <f>IF($A210="","",(E210-D210)/E210)</f>
        <v/>
      </c>
    </row>
    <row r="211">
      <c r="A211" s="23">
        <f>IF('05 Simple Returns'!A211="","",'05 Simple Returns'!A211)</f>
        <v/>
      </c>
      <c r="B211" s="25">
        <f>IF($A211="","",SUM(MMULT('05 Simple Returns'!B211:G211,'08 Optimisation'!$B$36:$B$41)))</f>
        <v/>
      </c>
      <c r="C211" s="25">
        <f>IF($A211="","",SUM(MMULT('06 Log Returns'!B211:G211,'08 Optimisation'!$B$36:$B$41)))</f>
        <v/>
      </c>
      <c r="D211" s="37">
        <f>IF($A211="","",IF(D210="","",D210*(1+B211)))</f>
        <v/>
      </c>
      <c r="E211" s="37">
        <f>IF($A211="","",MAX($D$5:D211))</f>
        <v/>
      </c>
      <c r="F211" s="25">
        <f>IF($A211="","",(E211-D211)/E211)</f>
        <v/>
      </c>
    </row>
    <row r="212">
      <c r="A212" s="23">
        <f>IF('05 Simple Returns'!A212="","",'05 Simple Returns'!A212)</f>
        <v/>
      </c>
      <c r="B212" s="25">
        <f>IF($A212="","",SUM(MMULT('05 Simple Returns'!B212:G212,'08 Optimisation'!$B$36:$B$41)))</f>
        <v/>
      </c>
      <c r="C212" s="25">
        <f>IF($A212="","",SUM(MMULT('06 Log Returns'!B212:G212,'08 Optimisation'!$B$36:$B$41)))</f>
        <v/>
      </c>
      <c r="D212" s="37">
        <f>IF($A212="","",IF(D211="","",D211*(1+B212)))</f>
        <v/>
      </c>
      <c r="E212" s="37">
        <f>IF($A212="","",MAX($D$5:D212))</f>
        <v/>
      </c>
      <c r="F212" s="25">
        <f>IF($A212="","",(E212-D212)/E212)</f>
        <v/>
      </c>
    </row>
    <row r="213">
      <c r="A213" s="23">
        <f>IF('05 Simple Returns'!A213="","",'05 Simple Returns'!A213)</f>
        <v/>
      </c>
      <c r="B213" s="25">
        <f>IF($A213="","",SUM(MMULT('05 Simple Returns'!B213:G213,'08 Optimisation'!$B$36:$B$41)))</f>
        <v/>
      </c>
      <c r="C213" s="25">
        <f>IF($A213="","",SUM(MMULT('06 Log Returns'!B213:G213,'08 Optimisation'!$B$36:$B$41)))</f>
        <v/>
      </c>
      <c r="D213" s="37">
        <f>IF($A213="","",IF(D212="","",D212*(1+B213)))</f>
        <v/>
      </c>
      <c r="E213" s="37">
        <f>IF($A213="","",MAX($D$5:D213))</f>
        <v/>
      </c>
      <c r="F213" s="25">
        <f>IF($A213="","",(E213-D213)/E213)</f>
        <v/>
      </c>
    </row>
    <row r="214">
      <c r="A214" s="23">
        <f>IF('05 Simple Returns'!A214="","",'05 Simple Returns'!A214)</f>
        <v/>
      </c>
      <c r="B214" s="25">
        <f>IF($A214="","",SUM(MMULT('05 Simple Returns'!B214:G214,'08 Optimisation'!$B$36:$B$41)))</f>
        <v/>
      </c>
      <c r="C214" s="25">
        <f>IF($A214="","",SUM(MMULT('06 Log Returns'!B214:G214,'08 Optimisation'!$B$36:$B$41)))</f>
        <v/>
      </c>
      <c r="D214" s="37">
        <f>IF($A214="","",IF(D213="","",D213*(1+B214)))</f>
        <v/>
      </c>
      <c r="E214" s="37">
        <f>IF($A214="","",MAX($D$5:D214))</f>
        <v/>
      </c>
      <c r="F214" s="25">
        <f>IF($A214="","",(E214-D214)/E214)</f>
        <v/>
      </c>
    </row>
    <row r="215">
      <c r="A215" s="23">
        <f>IF('05 Simple Returns'!A215="","",'05 Simple Returns'!A215)</f>
        <v/>
      </c>
      <c r="B215" s="25">
        <f>IF($A215="","",SUM(MMULT('05 Simple Returns'!B215:G215,'08 Optimisation'!$B$36:$B$41)))</f>
        <v/>
      </c>
      <c r="C215" s="25">
        <f>IF($A215="","",SUM(MMULT('06 Log Returns'!B215:G215,'08 Optimisation'!$B$36:$B$41)))</f>
        <v/>
      </c>
      <c r="D215" s="37">
        <f>IF($A215="","",IF(D214="","",D214*(1+B215)))</f>
        <v/>
      </c>
      <c r="E215" s="37">
        <f>IF($A215="","",MAX($D$5:D215))</f>
        <v/>
      </c>
      <c r="F215" s="25">
        <f>IF($A215="","",(E215-D215)/E215)</f>
        <v/>
      </c>
    </row>
    <row r="216">
      <c r="A216" s="23">
        <f>IF('05 Simple Returns'!A216="","",'05 Simple Returns'!A216)</f>
        <v/>
      </c>
      <c r="B216" s="25">
        <f>IF($A216="","",SUM(MMULT('05 Simple Returns'!B216:G216,'08 Optimisation'!$B$36:$B$41)))</f>
        <v/>
      </c>
      <c r="C216" s="25">
        <f>IF($A216="","",SUM(MMULT('06 Log Returns'!B216:G216,'08 Optimisation'!$B$36:$B$41)))</f>
        <v/>
      </c>
      <c r="D216" s="37">
        <f>IF($A216="","",IF(D215="","",D215*(1+B216)))</f>
        <v/>
      </c>
      <c r="E216" s="37">
        <f>IF($A216="","",MAX($D$5:D216))</f>
        <v/>
      </c>
      <c r="F216" s="25">
        <f>IF($A216="","",(E216-D216)/E216)</f>
        <v/>
      </c>
    </row>
    <row r="217">
      <c r="A217" s="23">
        <f>IF('05 Simple Returns'!A217="","",'05 Simple Returns'!A217)</f>
        <v/>
      </c>
      <c r="B217" s="25">
        <f>IF($A217="","",SUM(MMULT('05 Simple Returns'!B217:G217,'08 Optimisation'!$B$36:$B$41)))</f>
        <v/>
      </c>
      <c r="C217" s="25">
        <f>IF($A217="","",SUM(MMULT('06 Log Returns'!B217:G217,'08 Optimisation'!$B$36:$B$41)))</f>
        <v/>
      </c>
      <c r="D217" s="37">
        <f>IF($A217="","",IF(D216="","",D216*(1+B217)))</f>
        <v/>
      </c>
      <c r="E217" s="37">
        <f>IF($A217="","",MAX($D$5:D217))</f>
        <v/>
      </c>
      <c r="F217" s="25">
        <f>IF($A217="","",(E217-D217)/E217)</f>
        <v/>
      </c>
    </row>
    <row r="218">
      <c r="A218" s="23">
        <f>IF('05 Simple Returns'!A218="","",'05 Simple Returns'!A218)</f>
        <v/>
      </c>
      <c r="B218" s="25">
        <f>IF($A218="","",SUM(MMULT('05 Simple Returns'!B218:G218,'08 Optimisation'!$B$36:$B$41)))</f>
        <v/>
      </c>
      <c r="C218" s="25">
        <f>IF($A218="","",SUM(MMULT('06 Log Returns'!B218:G218,'08 Optimisation'!$B$36:$B$41)))</f>
        <v/>
      </c>
      <c r="D218" s="37">
        <f>IF($A218="","",IF(D217="","",D217*(1+B218)))</f>
        <v/>
      </c>
      <c r="E218" s="37">
        <f>IF($A218="","",MAX($D$5:D218))</f>
        <v/>
      </c>
      <c r="F218" s="25">
        <f>IF($A218="","",(E218-D218)/E218)</f>
        <v/>
      </c>
    </row>
    <row r="219">
      <c r="A219" s="23">
        <f>IF('05 Simple Returns'!A219="","",'05 Simple Returns'!A219)</f>
        <v/>
      </c>
      <c r="B219" s="25">
        <f>IF($A219="","",SUM(MMULT('05 Simple Returns'!B219:G219,'08 Optimisation'!$B$36:$B$41)))</f>
        <v/>
      </c>
      <c r="C219" s="25">
        <f>IF($A219="","",SUM(MMULT('06 Log Returns'!B219:G219,'08 Optimisation'!$B$36:$B$41)))</f>
        <v/>
      </c>
      <c r="D219" s="37">
        <f>IF($A219="","",IF(D218="","",D218*(1+B219)))</f>
        <v/>
      </c>
      <c r="E219" s="37">
        <f>IF($A219="","",MAX($D$5:D219))</f>
        <v/>
      </c>
      <c r="F219" s="25">
        <f>IF($A219="","",(E219-D219)/E219)</f>
        <v/>
      </c>
    </row>
    <row r="220">
      <c r="A220" s="23">
        <f>IF('05 Simple Returns'!A220="","",'05 Simple Returns'!A220)</f>
        <v/>
      </c>
      <c r="B220" s="25">
        <f>IF($A220="","",SUM(MMULT('05 Simple Returns'!B220:G220,'08 Optimisation'!$B$36:$B$41)))</f>
        <v/>
      </c>
      <c r="C220" s="25">
        <f>IF($A220="","",SUM(MMULT('06 Log Returns'!B220:G220,'08 Optimisation'!$B$36:$B$41)))</f>
        <v/>
      </c>
      <c r="D220" s="37">
        <f>IF($A220="","",IF(D219="","",D219*(1+B220)))</f>
        <v/>
      </c>
      <c r="E220" s="37">
        <f>IF($A220="","",MAX($D$5:D220))</f>
        <v/>
      </c>
      <c r="F220" s="25">
        <f>IF($A220="","",(E220-D220)/E220)</f>
        <v/>
      </c>
    </row>
    <row r="221">
      <c r="A221" s="23">
        <f>IF('05 Simple Returns'!A221="","",'05 Simple Returns'!A221)</f>
        <v/>
      </c>
      <c r="B221" s="25">
        <f>IF($A221="","",SUM(MMULT('05 Simple Returns'!B221:G221,'08 Optimisation'!$B$36:$B$41)))</f>
        <v/>
      </c>
      <c r="C221" s="25">
        <f>IF($A221="","",SUM(MMULT('06 Log Returns'!B221:G221,'08 Optimisation'!$B$36:$B$41)))</f>
        <v/>
      </c>
      <c r="D221" s="37">
        <f>IF($A221="","",IF(D220="","",D220*(1+B221)))</f>
        <v/>
      </c>
      <c r="E221" s="37">
        <f>IF($A221="","",MAX($D$5:D221))</f>
        <v/>
      </c>
      <c r="F221" s="25">
        <f>IF($A221="","",(E221-D221)/E221)</f>
        <v/>
      </c>
    </row>
    <row r="222">
      <c r="A222" s="23">
        <f>IF('05 Simple Returns'!A222="","",'05 Simple Returns'!A222)</f>
        <v/>
      </c>
      <c r="B222" s="25">
        <f>IF($A222="","",SUM(MMULT('05 Simple Returns'!B222:G222,'08 Optimisation'!$B$36:$B$41)))</f>
        <v/>
      </c>
      <c r="C222" s="25">
        <f>IF($A222="","",SUM(MMULT('06 Log Returns'!B222:G222,'08 Optimisation'!$B$36:$B$41)))</f>
        <v/>
      </c>
      <c r="D222" s="37">
        <f>IF($A222="","",IF(D221="","",D221*(1+B222)))</f>
        <v/>
      </c>
      <c r="E222" s="37">
        <f>IF($A222="","",MAX($D$5:D222))</f>
        <v/>
      </c>
      <c r="F222" s="25">
        <f>IF($A222="","",(E222-D222)/E222)</f>
        <v/>
      </c>
    </row>
    <row r="223">
      <c r="A223" s="23">
        <f>IF('05 Simple Returns'!A223="","",'05 Simple Returns'!A223)</f>
        <v/>
      </c>
      <c r="B223" s="25">
        <f>IF($A223="","",SUM(MMULT('05 Simple Returns'!B223:G223,'08 Optimisation'!$B$36:$B$41)))</f>
        <v/>
      </c>
      <c r="C223" s="25">
        <f>IF($A223="","",SUM(MMULT('06 Log Returns'!B223:G223,'08 Optimisation'!$B$36:$B$41)))</f>
        <v/>
      </c>
      <c r="D223" s="37">
        <f>IF($A223="","",IF(D222="","",D222*(1+B223)))</f>
        <v/>
      </c>
      <c r="E223" s="37">
        <f>IF($A223="","",MAX($D$5:D223))</f>
        <v/>
      </c>
      <c r="F223" s="25">
        <f>IF($A223="","",(E223-D223)/E223)</f>
        <v/>
      </c>
    </row>
    <row r="224">
      <c r="A224" s="23">
        <f>IF('05 Simple Returns'!A224="","",'05 Simple Returns'!A224)</f>
        <v/>
      </c>
      <c r="B224" s="25">
        <f>IF($A224="","",SUM(MMULT('05 Simple Returns'!B224:G224,'08 Optimisation'!$B$36:$B$41)))</f>
        <v/>
      </c>
      <c r="C224" s="25">
        <f>IF($A224="","",SUM(MMULT('06 Log Returns'!B224:G224,'08 Optimisation'!$B$36:$B$41)))</f>
        <v/>
      </c>
      <c r="D224" s="37">
        <f>IF($A224="","",IF(D223="","",D223*(1+B224)))</f>
        <v/>
      </c>
      <c r="E224" s="37">
        <f>IF($A224="","",MAX($D$5:D224))</f>
        <v/>
      </c>
      <c r="F224" s="25">
        <f>IF($A224="","",(E224-D224)/E224)</f>
        <v/>
      </c>
    </row>
    <row r="225">
      <c r="A225" s="23">
        <f>IF('05 Simple Returns'!A225="","",'05 Simple Returns'!A225)</f>
        <v/>
      </c>
      <c r="B225" s="25">
        <f>IF($A225="","",SUM(MMULT('05 Simple Returns'!B225:G225,'08 Optimisation'!$B$36:$B$41)))</f>
        <v/>
      </c>
      <c r="C225" s="25">
        <f>IF($A225="","",SUM(MMULT('06 Log Returns'!B225:G225,'08 Optimisation'!$B$36:$B$41)))</f>
        <v/>
      </c>
      <c r="D225" s="37">
        <f>IF($A225="","",IF(D224="","",D224*(1+B225)))</f>
        <v/>
      </c>
      <c r="E225" s="37">
        <f>IF($A225="","",MAX($D$5:D225))</f>
        <v/>
      </c>
      <c r="F225" s="25">
        <f>IF($A225="","",(E225-D225)/E225)</f>
        <v/>
      </c>
    </row>
    <row r="226">
      <c r="A226" s="23">
        <f>IF('05 Simple Returns'!A226="","",'05 Simple Returns'!A226)</f>
        <v/>
      </c>
      <c r="B226" s="25">
        <f>IF($A226="","",SUM(MMULT('05 Simple Returns'!B226:G226,'08 Optimisation'!$B$36:$B$41)))</f>
        <v/>
      </c>
      <c r="C226" s="25">
        <f>IF($A226="","",SUM(MMULT('06 Log Returns'!B226:G226,'08 Optimisation'!$B$36:$B$41)))</f>
        <v/>
      </c>
      <c r="D226" s="37">
        <f>IF($A226="","",IF(D225="","",D225*(1+B226)))</f>
        <v/>
      </c>
      <c r="E226" s="37">
        <f>IF($A226="","",MAX($D$5:D226))</f>
        <v/>
      </c>
      <c r="F226" s="25">
        <f>IF($A226="","",(E226-D226)/E226)</f>
        <v/>
      </c>
    </row>
    <row r="227">
      <c r="A227" s="23">
        <f>IF('05 Simple Returns'!A227="","",'05 Simple Returns'!A227)</f>
        <v/>
      </c>
      <c r="B227" s="25">
        <f>IF($A227="","",SUM(MMULT('05 Simple Returns'!B227:G227,'08 Optimisation'!$B$36:$B$41)))</f>
        <v/>
      </c>
      <c r="C227" s="25">
        <f>IF($A227="","",SUM(MMULT('06 Log Returns'!B227:G227,'08 Optimisation'!$B$36:$B$41)))</f>
        <v/>
      </c>
      <c r="D227" s="37">
        <f>IF($A227="","",IF(D226="","",D226*(1+B227)))</f>
        <v/>
      </c>
      <c r="E227" s="37">
        <f>IF($A227="","",MAX($D$5:D227))</f>
        <v/>
      </c>
      <c r="F227" s="25">
        <f>IF($A227="","",(E227-D227)/E227)</f>
        <v/>
      </c>
    </row>
    <row r="228">
      <c r="A228" s="23">
        <f>IF('05 Simple Returns'!A228="","",'05 Simple Returns'!A228)</f>
        <v/>
      </c>
      <c r="B228" s="25">
        <f>IF($A228="","",SUM(MMULT('05 Simple Returns'!B228:G228,'08 Optimisation'!$B$36:$B$41)))</f>
        <v/>
      </c>
      <c r="C228" s="25">
        <f>IF($A228="","",SUM(MMULT('06 Log Returns'!B228:G228,'08 Optimisation'!$B$36:$B$41)))</f>
        <v/>
      </c>
      <c r="D228" s="37">
        <f>IF($A228="","",IF(D227="","",D227*(1+B228)))</f>
        <v/>
      </c>
      <c r="E228" s="37">
        <f>IF($A228="","",MAX($D$5:D228))</f>
        <v/>
      </c>
      <c r="F228" s="25">
        <f>IF($A228="","",(E228-D228)/E228)</f>
        <v/>
      </c>
    </row>
    <row r="229">
      <c r="A229" s="23">
        <f>IF('05 Simple Returns'!A229="","",'05 Simple Returns'!A229)</f>
        <v/>
      </c>
      <c r="B229" s="25">
        <f>IF($A229="","",SUM(MMULT('05 Simple Returns'!B229:G229,'08 Optimisation'!$B$36:$B$41)))</f>
        <v/>
      </c>
      <c r="C229" s="25">
        <f>IF($A229="","",SUM(MMULT('06 Log Returns'!B229:G229,'08 Optimisation'!$B$36:$B$41)))</f>
        <v/>
      </c>
      <c r="D229" s="37">
        <f>IF($A229="","",IF(D228="","",D228*(1+B229)))</f>
        <v/>
      </c>
      <c r="E229" s="37">
        <f>IF($A229="","",MAX($D$5:D229))</f>
        <v/>
      </c>
      <c r="F229" s="25">
        <f>IF($A229="","",(E229-D229)/E229)</f>
        <v/>
      </c>
    </row>
    <row r="230">
      <c r="A230" s="23">
        <f>IF('05 Simple Returns'!A230="","",'05 Simple Returns'!A230)</f>
        <v/>
      </c>
      <c r="B230" s="25">
        <f>IF($A230="","",SUM(MMULT('05 Simple Returns'!B230:G230,'08 Optimisation'!$B$36:$B$41)))</f>
        <v/>
      </c>
      <c r="C230" s="25">
        <f>IF($A230="","",SUM(MMULT('06 Log Returns'!B230:G230,'08 Optimisation'!$B$36:$B$41)))</f>
        <v/>
      </c>
      <c r="D230" s="37">
        <f>IF($A230="","",IF(D229="","",D229*(1+B230)))</f>
        <v/>
      </c>
      <c r="E230" s="37">
        <f>IF($A230="","",MAX($D$5:D230))</f>
        <v/>
      </c>
      <c r="F230" s="25">
        <f>IF($A230="","",(E230-D230)/E230)</f>
        <v/>
      </c>
    </row>
    <row r="231">
      <c r="A231" s="23">
        <f>IF('05 Simple Returns'!A231="","",'05 Simple Returns'!A231)</f>
        <v/>
      </c>
      <c r="B231" s="25">
        <f>IF($A231="","",SUM(MMULT('05 Simple Returns'!B231:G231,'08 Optimisation'!$B$36:$B$41)))</f>
        <v/>
      </c>
      <c r="C231" s="25">
        <f>IF($A231="","",SUM(MMULT('06 Log Returns'!B231:G231,'08 Optimisation'!$B$36:$B$41)))</f>
        <v/>
      </c>
      <c r="D231" s="37">
        <f>IF($A231="","",IF(D230="","",D230*(1+B231)))</f>
        <v/>
      </c>
      <c r="E231" s="37">
        <f>IF($A231="","",MAX($D$5:D231))</f>
        <v/>
      </c>
      <c r="F231" s="25">
        <f>IF($A231="","",(E231-D231)/E231)</f>
        <v/>
      </c>
    </row>
    <row r="232">
      <c r="A232" s="23">
        <f>IF('05 Simple Returns'!A232="","",'05 Simple Returns'!A232)</f>
        <v/>
      </c>
      <c r="B232" s="25">
        <f>IF($A232="","",SUM(MMULT('05 Simple Returns'!B232:G232,'08 Optimisation'!$B$36:$B$41)))</f>
        <v/>
      </c>
      <c r="C232" s="25">
        <f>IF($A232="","",SUM(MMULT('06 Log Returns'!B232:G232,'08 Optimisation'!$B$36:$B$41)))</f>
        <v/>
      </c>
      <c r="D232" s="37">
        <f>IF($A232="","",IF(D231="","",D231*(1+B232)))</f>
        <v/>
      </c>
      <c r="E232" s="37">
        <f>IF($A232="","",MAX($D$5:D232))</f>
        <v/>
      </c>
      <c r="F232" s="25">
        <f>IF($A232="","",(E232-D232)/E232)</f>
        <v/>
      </c>
    </row>
    <row r="233">
      <c r="A233" s="23">
        <f>IF('05 Simple Returns'!A233="","",'05 Simple Returns'!A233)</f>
        <v/>
      </c>
      <c r="B233" s="25">
        <f>IF($A233="","",SUM(MMULT('05 Simple Returns'!B233:G233,'08 Optimisation'!$B$36:$B$41)))</f>
        <v/>
      </c>
      <c r="C233" s="25">
        <f>IF($A233="","",SUM(MMULT('06 Log Returns'!B233:G233,'08 Optimisation'!$B$36:$B$41)))</f>
        <v/>
      </c>
      <c r="D233" s="37">
        <f>IF($A233="","",IF(D232="","",D232*(1+B233)))</f>
        <v/>
      </c>
      <c r="E233" s="37">
        <f>IF($A233="","",MAX($D$5:D233))</f>
        <v/>
      </c>
      <c r="F233" s="25">
        <f>IF($A233="","",(E233-D233)/E233)</f>
        <v/>
      </c>
    </row>
    <row r="234">
      <c r="A234" s="23">
        <f>IF('05 Simple Returns'!A234="","",'05 Simple Returns'!A234)</f>
        <v/>
      </c>
      <c r="B234" s="25">
        <f>IF($A234="","",SUM(MMULT('05 Simple Returns'!B234:G234,'08 Optimisation'!$B$36:$B$41)))</f>
        <v/>
      </c>
      <c r="C234" s="25">
        <f>IF($A234="","",SUM(MMULT('06 Log Returns'!B234:G234,'08 Optimisation'!$B$36:$B$41)))</f>
        <v/>
      </c>
      <c r="D234" s="37">
        <f>IF($A234="","",IF(D233="","",D233*(1+B234)))</f>
        <v/>
      </c>
      <c r="E234" s="37">
        <f>IF($A234="","",MAX($D$5:D234))</f>
        <v/>
      </c>
      <c r="F234" s="25">
        <f>IF($A234="","",(E234-D234)/E234)</f>
        <v/>
      </c>
    </row>
    <row r="235">
      <c r="A235" s="23">
        <f>IF('05 Simple Returns'!A235="","",'05 Simple Returns'!A235)</f>
        <v/>
      </c>
      <c r="B235" s="25">
        <f>IF($A235="","",SUM(MMULT('05 Simple Returns'!B235:G235,'08 Optimisation'!$B$36:$B$41)))</f>
        <v/>
      </c>
      <c r="C235" s="25">
        <f>IF($A235="","",SUM(MMULT('06 Log Returns'!B235:G235,'08 Optimisation'!$B$36:$B$41)))</f>
        <v/>
      </c>
      <c r="D235" s="37">
        <f>IF($A235="","",IF(D234="","",D234*(1+B235)))</f>
        <v/>
      </c>
      <c r="E235" s="37">
        <f>IF($A235="","",MAX($D$5:D235))</f>
        <v/>
      </c>
      <c r="F235" s="25">
        <f>IF($A235="","",(E235-D235)/E235)</f>
        <v/>
      </c>
    </row>
    <row r="236">
      <c r="A236" s="23">
        <f>IF('05 Simple Returns'!A236="","",'05 Simple Returns'!A236)</f>
        <v/>
      </c>
      <c r="B236" s="25">
        <f>IF($A236="","",SUM(MMULT('05 Simple Returns'!B236:G236,'08 Optimisation'!$B$36:$B$41)))</f>
        <v/>
      </c>
      <c r="C236" s="25">
        <f>IF($A236="","",SUM(MMULT('06 Log Returns'!B236:G236,'08 Optimisation'!$B$36:$B$41)))</f>
        <v/>
      </c>
      <c r="D236" s="37">
        <f>IF($A236="","",IF(D235="","",D235*(1+B236)))</f>
        <v/>
      </c>
      <c r="E236" s="37">
        <f>IF($A236="","",MAX($D$5:D236))</f>
        <v/>
      </c>
      <c r="F236" s="25">
        <f>IF($A236="","",(E236-D236)/E236)</f>
        <v/>
      </c>
    </row>
    <row r="237">
      <c r="A237" s="23">
        <f>IF('05 Simple Returns'!A237="","",'05 Simple Returns'!A237)</f>
        <v/>
      </c>
      <c r="B237" s="25">
        <f>IF($A237="","",SUM(MMULT('05 Simple Returns'!B237:G237,'08 Optimisation'!$B$36:$B$41)))</f>
        <v/>
      </c>
      <c r="C237" s="25">
        <f>IF($A237="","",SUM(MMULT('06 Log Returns'!B237:G237,'08 Optimisation'!$B$36:$B$41)))</f>
        <v/>
      </c>
      <c r="D237" s="37">
        <f>IF($A237="","",IF(D236="","",D236*(1+B237)))</f>
        <v/>
      </c>
      <c r="E237" s="37">
        <f>IF($A237="","",MAX($D$5:D237))</f>
        <v/>
      </c>
      <c r="F237" s="25">
        <f>IF($A237="","",(E237-D237)/E237)</f>
        <v/>
      </c>
    </row>
    <row r="238">
      <c r="A238" s="23">
        <f>IF('05 Simple Returns'!A238="","",'05 Simple Returns'!A238)</f>
        <v/>
      </c>
      <c r="B238" s="25">
        <f>IF($A238="","",SUM(MMULT('05 Simple Returns'!B238:G238,'08 Optimisation'!$B$36:$B$41)))</f>
        <v/>
      </c>
      <c r="C238" s="25">
        <f>IF($A238="","",SUM(MMULT('06 Log Returns'!B238:G238,'08 Optimisation'!$B$36:$B$41)))</f>
        <v/>
      </c>
      <c r="D238" s="37">
        <f>IF($A238="","",IF(D237="","",D237*(1+B238)))</f>
        <v/>
      </c>
      <c r="E238" s="37">
        <f>IF($A238="","",MAX($D$5:D238))</f>
        <v/>
      </c>
      <c r="F238" s="25">
        <f>IF($A238="","",(E238-D238)/E238)</f>
        <v/>
      </c>
    </row>
    <row r="239">
      <c r="A239" s="23">
        <f>IF('05 Simple Returns'!A239="","",'05 Simple Returns'!A239)</f>
        <v/>
      </c>
      <c r="B239" s="25">
        <f>IF($A239="","",SUM(MMULT('05 Simple Returns'!B239:G239,'08 Optimisation'!$B$36:$B$41)))</f>
        <v/>
      </c>
      <c r="C239" s="25">
        <f>IF($A239="","",SUM(MMULT('06 Log Returns'!B239:G239,'08 Optimisation'!$B$36:$B$41)))</f>
        <v/>
      </c>
      <c r="D239" s="37">
        <f>IF($A239="","",IF(D238="","",D238*(1+B239)))</f>
        <v/>
      </c>
      <c r="E239" s="37">
        <f>IF($A239="","",MAX($D$5:D239))</f>
        <v/>
      </c>
      <c r="F239" s="25">
        <f>IF($A239="","",(E239-D239)/E239)</f>
        <v/>
      </c>
    </row>
    <row r="240">
      <c r="A240" s="23">
        <f>IF('05 Simple Returns'!A240="","",'05 Simple Returns'!A240)</f>
        <v/>
      </c>
      <c r="B240" s="25">
        <f>IF($A240="","",SUM(MMULT('05 Simple Returns'!B240:G240,'08 Optimisation'!$B$36:$B$41)))</f>
        <v/>
      </c>
      <c r="C240" s="25">
        <f>IF($A240="","",SUM(MMULT('06 Log Returns'!B240:G240,'08 Optimisation'!$B$36:$B$41)))</f>
        <v/>
      </c>
      <c r="D240" s="37">
        <f>IF($A240="","",IF(D239="","",D239*(1+B240)))</f>
        <v/>
      </c>
      <c r="E240" s="37">
        <f>IF($A240="","",MAX($D$5:D240))</f>
        <v/>
      </c>
      <c r="F240" s="25">
        <f>IF($A240="","",(E240-D240)/E240)</f>
        <v/>
      </c>
    </row>
    <row r="241">
      <c r="A241" s="23">
        <f>IF('05 Simple Returns'!A241="","",'05 Simple Returns'!A241)</f>
        <v/>
      </c>
      <c r="B241" s="25">
        <f>IF($A241="","",SUM(MMULT('05 Simple Returns'!B241:G241,'08 Optimisation'!$B$36:$B$41)))</f>
        <v/>
      </c>
      <c r="C241" s="25">
        <f>IF($A241="","",SUM(MMULT('06 Log Returns'!B241:G241,'08 Optimisation'!$B$36:$B$41)))</f>
        <v/>
      </c>
      <c r="D241" s="37">
        <f>IF($A241="","",IF(D240="","",D240*(1+B241)))</f>
        <v/>
      </c>
      <c r="E241" s="37">
        <f>IF($A241="","",MAX($D$5:D241))</f>
        <v/>
      </c>
      <c r="F241" s="25">
        <f>IF($A241="","",(E241-D241)/E241)</f>
        <v/>
      </c>
    </row>
    <row r="242">
      <c r="A242" s="23">
        <f>IF('05 Simple Returns'!A242="","",'05 Simple Returns'!A242)</f>
        <v/>
      </c>
      <c r="B242" s="25">
        <f>IF($A242="","",SUM(MMULT('05 Simple Returns'!B242:G242,'08 Optimisation'!$B$36:$B$41)))</f>
        <v/>
      </c>
      <c r="C242" s="25">
        <f>IF($A242="","",SUM(MMULT('06 Log Returns'!B242:G242,'08 Optimisation'!$B$36:$B$41)))</f>
        <v/>
      </c>
      <c r="D242" s="37">
        <f>IF($A242="","",IF(D241="","",D241*(1+B242)))</f>
        <v/>
      </c>
      <c r="E242" s="37">
        <f>IF($A242="","",MAX($D$5:D242))</f>
        <v/>
      </c>
      <c r="F242" s="25">
        <f>IF($A242="","",(E242-D242)/E242)</f>
        <v/>
      </c>
    </row>
    <row r="243">
      <c r="A243" s="23">
        <f>IF('05 Simple Returns'!A243="","",'05 Simple Returns'!A243)</f>
        <v/>
      </c>
      <c r="B243" s="25">
        <f>IF($A243="","",SUM(MMULT('05 Simple Returns'!B243:G243,'08 Optimisation'!$B$36:$B$41)))</f>
        <v/>
      </c>
      <c r="C243" s="25">
        <f>IF($A243="","",SUM(MMULT('06 Log Returns'!B243:G243,'08 Optimisation'!$B$36:$B$41)))</f>
        <v/>
      </c>
      <c r="D243" s="37">
        <f>IF($A243="","",IF(D242="","",D242*(1+B243)))</f>
        <v/>
      </c>
      <c r="E243" s="37">
        <f>IF($A243="","",MAX($D$5:D243))</f>
        <v/>
      </c>
      <c r="F243" s="25">
        <f>IF($A243="","",(E243-D243)/E243)</f>
        <v/>
      </c>
    </row>
    <row r="244">
      <c r="A244" s="23">
        <f>IF('05 Simple Returns'!A244="","",'05 Simple Returns'!A244)</f>
        <v/>
      </c>
      <c r="B244" s="25">
        <f>IF($A244="","",SUM(MMULT('05 Simple Returns'!B244:G244,'08 Optimisation'!$B$36:$B$41)))</f>
        <v/>
      </c>
      <c r="C244" s="25">
        <f>IF($A244="","",SUM(MMULT('06 Log Returns'!B244:G244,'08 Optimisation'!$B$36:$B$41)))</f>
        <v/>
      </c>
      <c r="D244" s="37">
        <f>IF($A244="","",IF(D243="","",D243*(1+B244)))</f>
        <v/>
      </c>
      <c r="E244" s="37">
        <f>IF($A244="","",MAX($D$5:D244))</f>
        <v/>
      </c>
      <c r="F244" s="25">
        <f>IF($A244="","",(E244-D244)/E244)</f>
        <v/>
      </c>
    </row>
    <row r="245">
      <c r="A245" s="23">
        <f>IF('05 Simple Returns'!A245="","",'05 Simple Returns'!A245)</f>
        <v/>
      </c>
      <c r="B245" s="25">
        <f>IF($A245="","",SUM(MMULT('05 Simple Returns'!B245:G245,'08 Optimisation'!$B$36:$B$41)))</f>
        <v/>
      </c>
      <c r="C245" s="25">
        <f>IF($A245="","",SUM(MMULT('06 Log Returns'!B245:G245,'08 Optimisation'!$B$36:$B$41)))</f>
        <v/>
      </c>
      <c r="D245" s="37">
        <f>IF($A245="","",IF(D244="","",D244*(1+B245)))</f>
        <v/>
      </c>
      <c r="E245" s="37">
        <f>IF($A245="","",MAX($D$5:D245))</f>
        <v/>
      </c>
      <c r="F245" s="25">
        <f>IF($A245="","",(E245-D245)/E245)</f>
        <v/>
      </c>
    </row>
    <row r="246">
      <c r="A246" s="23">
        <f>IF('05 Simple Returns'!A246="","",'05 Simple Returns'!A246)</f>
        <v/>
      </c>
      <c r="B246" s="25">
        <f>IF($A246="","",SUM(MMULT('05 Simple Returns'!B246:G246,'08 Optimisation'!$B$36:$B$41)))</f>
        <v/>
      </c>
      <c r="C246" s="25">
        <f>IF($A246="","",SUM(MMULT('06 Log Returns'!B246:G246,'08 Optimisation'!$B$36:$B$41)))</f>
        <v/>
      </c>
      <c r="D246" s="37">
        <f>IF($A246="","",IF(D245="","",D245*(1+B246)))</f>
        <v/>
      </c>
      <c r="E246" s="37">
        <f>IF($A246="","",MAX($D$5:D246))</f>
        <v/>
      </c>
      <c r="F246" s="25">
        <f>IF($A246="","",(E246-D246)/E246)</f>
        <v/>
      </c>
    </row>
    <row r="247">
      <c r="A247" s="23">
        <f>IF('05 Simple Returns'!A247="","",'05 Simple Returns'!A247)</f>
        <v/>
      </c>
      <c r="B247" s="25">
        <f>IF($A247="","",SUM(MMULT('05 Simple Returns'!B247:G247,'08 Optimisation'!$B$36:$B$41)))</f>
        <v/>
      </c>
      <c r="C247" s="25">
        <f>IF($A247="","",SUM(MMULT('06 Log Returns'!B247:G247,'08 Optimisation'!$B$36:$B$41)))</f>
        <v/>
      </c>
      <c r="D247" s="37">
        <f>IF($A247="","",IF(D246="","",D246*(1+B247)))</f>
        <v/>
      </c>
      <c r="E247" s="37">
        <f>IF($A247="","",MAX($D$5:D247))</f>
        <v/>
      </c>
      <c r="F247" s="25">
        <f>IF($A247="","",(E247-D247)/E247)</f>
        <v/>
      </c>
    </row>
    <row r="248">
      <c r="A248" s="23">
        <f>IF('05 Simple Returns'!A248="","",'05 Simple Returns'!A248)</f>
        <v/>
      </c>
      <c r="B248" s="25">
        <f>IF($A248="","",SUM(MMULT('05 Simple Returns'!B248:G248,'08 Optimisation'!$B$36:$B$41)))</f>
        <v/>
      </c>
      <c r="C248" s="25">
        <f>IF($A248="","",SUM(MMULT('06 Log Returns'!B248:G248,'08 Optimisation'!$B$36:$B$41)))</f>
        <v/>
      </c>
      <c r="D248" s="37">
        <f>IF($A248="","",IF(D247="","",D247*(1+B248)))</f>
        <v/>
      </c>
      <c r="E248" s="37">
        <f>IF($A248="","",MAX($D$5:D248))</f>
        <v/>
      </c>
      <c r="F248" s="25">
        <f>IF($A248="","",(E248-D248)/E248)</f>
        <v/>
      </c>
    </row>
    <row r="249">
      <c r="A249" s="23">
        <f>IF('05 Simple Returns'!A249="","",'05 Simple Returns'!A249)</f>
        <v/>
      </c>
      <c r="B249" s="25">
        <f>IF($A249="","",SUM(MMULT('05 Simple Returns'!B249:G249,'08 Optimisation'!$B$36:$B$41)))</f>
        <v/>
      </c>
      <c r="C249" s="25">
        <f>IF($A249="","",SUM(MMULT('06 Log Returns'!B249:G249,'08 Optimisation'!$B$36:$B$41)))</f>
        <v/>
      </c>
      <c r="D249" s="37">
        <f>IF($A249="","",IF(D248="","",D248*(1+B249)))</f>
        <v/>
      </c>
      <c r="E249" s="37">
        <f>IF($A249="","",MAX($D$5:D249))</f>
        <v/>
      </c>
      <c r="F249" s="25">
        <f>IF($A249="","",(E249-D249)/E249)</f>
        <v/>
      </c>
    </row>
    <row r="250">
      <c r="A250" s="23">
        <f>IF('05 Simple Returns'!A250="","",'05 Simple Returns'!A250)</f>
        <v/>
      </c>
      <c r="B250" s="25">
        <f>IF($A250="","",SUM(MMULT('05 Simple Returns'!B250:G250,'08 Optimisation'!$B$36:$B$41)))</f>
        <v/>
      </c>
      <c r="C250" s="25">
        <f>IF($A250="","",SUM(MMULT('06 Log Returns'!B250:G250,'08 Optimisation'!$B$36:$B$41)))</f>
        <v/>
      </c>
      <c r="D250" s="37">
        <f>IF($A250="","",IF(D249="","",D249*(1+B250)))</f>
        <v/>
      </c>
      <c r="E250" s="37">
        <f>IF($A250="","",MAX($D$5:D250))</f>
        <v/>
      </c>
      <c r="F250" s="25">
        <f>IF($A250="","",(E250-D250)/E250)</f>
        <v/>
      </c>
    </row>
    <row r="251">
      <c r="A251" s="23">
        <f>IF('05 Simple Returns'!A251="","",'05 Simple Returns'!A251)</f>
        <v/>
      </c>
      <c r="B251" s="25">
        <f>IF($A251="","",SUM(MMULT('05 Simple Returns'!B251:G251,'08 Optimisation'!$B$36:$B$41)))</f>
        <v/>
      </c>
      <c r="C251" s="25">
        <f>IF($A251="","",SUM(MMULT('06 Log Returns'!B251:G251,'08 Optimisation'!$B$36:$B$41)))</f>
        <v/>
      </c>
      <c r="D251" s="37">
        <f>IF($A251="","",IF(D250="","",D250*(1+B251)))</f>
        <v/>
      </c>
      <c r="E251" s="37">
        <f>IF($A251="","",MAX($D$5:D251))</f>
        <v/>
      </c>
      <c r="F251" s="25">
        <f>IF($A251="","",(E251-D251)/E251)</f>
        <v/>
      </c>
    </row>
    <row r="252">
      <c r="A252" s="23">
        <f>IF('05 Simple Returns'!A252="","",'05 Simple Returns'!A252)</f>
        <v/>
      </c>
      <c r="B252" s="25">
        <f>IF($A252="","",SUM(MMULT('05 Simple Returns'!B252:G252,'08 Optimisation'!$B$36:$B$41)))</f>
        <v/>
      </c>
      <c r="C252" s="25">
        <f>IF($A252="","",SUM(MMULT('06 Log Returns'!B252:G252,'08 Optimisation'!$B$36:$B$41)))</f>
        <v/>
      </c>
      <c r="D252" s="37">
        <f>IF($A252="","",IF(D251="","",D251*(1+B252)))</f>
        <v/>
      </c>
      <c r="E252" s="37">
        <f>IF($A252="","",MAX($D$5:D252))</f>
        <v/>
      </c>
      <c r="F252" s="25">
        <f>IF($A252="","",(E252-D252)/E252)</f>
        <v/>
      </c>
    </row>
    <row r="253">
      <c r="A253" s="23">
        <f>IF('05 Simple Returns'!A253="","",'05 Simple Returns'!A253)</f>
        <v/>
      </c>
      <c r="B253" s="25">
        <f>IF($A253="","",SUM(MMULT('05 Simple Returns'!B253:G253,'08 Optimisation'!$B$36:$B$41)))</f>
        <v/>
      </c>
      <c r="C253" s="25">
        <f>IF($A253="","",SUM(MMULT('06 Log Returns'!B253:G253,'08 Optimisation'!$B$36:$B$41)))</f>
        <v/>
      </c>
      <c r="D253" s="37">
        <f>IF($A253="","",IF(D252="","",D252*(1+B253)))</f>
        <v/>
      </c>
      <c r="E253" s="37">
        <f>IF($A253="","",MAX($D$5:D253))</f>
        <v/>
      </c>
      <c r="F253" s="25">
        <f>IF($A253="","",(E253-D253)/E253)</f>
        <v/>
      </c>
    </row>
    <row r="254">
      <c r="A254" s="23">
        <f>IF('05 Simple Returns'!A254="","",'05 Simple Returns'!A254)</f>
        <v/>
      </c>
      <c r="B254" s="25">
        <f>IF($A254="","",SUM(MMULT('05 Simple Returns'!B254:G254,'08 Optimisation'!$B$36:$B$41)))</f>
        <v/>
      </c>
      <c r="C254" s="25">
        <f>IF($A254="","",SUM(MMULT('06 Log Returns'!B254:G254,'08 Optimisation'!$B$36:$B$41)))</f>
        <v/>
      </c>
      <c r="D254" s="37">
        <f>IF($A254="","",IF(D253="","",D253*(1+B254)))</f>
        <v/>
      </c>
      <c r="E254" s="37">
        <f>IF($A254="","",MAX($D$5:D254))</f>
        <v/>
      </c>
      <c r="F254" s="25">
        <f>IF($A254="","",(E254-D254)/E254)</f>
        <v/>
      </c>
    </row>
    <row r="255">
      <c r="A255" s="23">
        <f>IF('05 Simple Returns'!A255="","",'05 Simple Returns'!A255)</f>
        <v/>
      </c>
      <c r="B255" s="25">
        <f>IF($A255="","",SUM(MMULT('05 Simple Returns'!B255:G255,'08 Optimisation'!$B$36:$B$41)))</f>
        <v/>
      </c>
      <c r="C255" s="25">
        <f>IF($A255="","",SUM(MMULT('06 Log Returns'!B255:G255,'08 Optimisation'!$B$36:$B$41)))</f>
        <v/>
      </c>
      <c r="D255" s="37">
        <f>IF($A255="","",IF(D254="","",D254*(1+B255)))</f>
        <v/>
      </c>
      <c r="E255" s="37">
        <f>IF($A255="","",MAX($D$5:D255))</f>
        <v/>
      </c>
      <c r="F255" s="25">
        <f>IF($A255="","",(E255-D255)/E255)</f>
        <v/>
      </c>
    </row>
    <row r="256">
      <c r="A256" s="23">
        <f>IF('05 Simple Returns'!A256="","",'05 Simple Returns'!A256)</f>
        <v/>
      </c>
      <c r="B256" s="25">
        <f>IF($A256="","",SUM(MMULT('05 Simple Returns'!B256:G256,'08 Optimisation'!$B$36:$B$41)))</f>
        <v/>
      </c>
      <c r="C256" s="25">
        <f>IF($A256="","",SUM(MMULT('06 Log Returns'!B256:G256,'08 Optimisation'!$B$36:$B$41)))</f>
        <v/>
      </c>
      <c r="D256" s="37">
        <f>IF($A256="","",IF(D255="","",D255*(1+B256)))</f>
        <v/>
      </c>
      <c r="E256" s="37">
        <f>IF($A256="","",MAX($D$5:D256))</f>
        <v/>
      </c>
      <c r="F256" s="25">
        <f>IF($A256="","",(E256-D256)/E256)</f>
        <v/>
      </c>
    </row>
    <row r="257">
      <c r="A257" s="23">
        <f>IF('05 Simple Returns'!A257="","",'05 Simple Returns'!A257)</f>
        <v/>
      </c>
      <c r="B257" s="25">
        <f>IF($A257="","",SUM(MMULT('05 Simple Returns'!B257:G257,'08 Optimisation'!$B$36:$B$41)))</f>
        <v/>
      </c>
      <c r="C257" s="25">
        <f>IF($A257="","",SUM(MMULT('06 Log Returns'!B257:G257,'08 Optimisation'!$B$36:$B$41)))</f>
        <v/>
      </c>
      <c r="D257" s="37">
        <f>IF($A257="","",IF(D256="","",D256*(1+B257)))</f>
        <v/>
      </c>
      <c r="E257" s="37">
        <f>IF($A257="","",MAX($D$5:D257))</f>
        <v/>
      </c>
      <c r="F257" s="25">
        <f>IF($A257="","",(E257-D257)/E257)</f>
        <v/>
      </c>
    </row>
    <row r="258">
      <c r="A258" s="23">
        <f>IF('05 Simple Returns'!A258="","",'05 Simple Returns'!A258)</f>
        <v/>
      </c>
      <c r="B258" s="25">
        <f>IF($A258="","",SUM(MMULT('05 Simple Returns'!B258:G258,'08 Optimisation'!$B$36:$B$41)))</f>
        <v/>
      </c>
      <c r="C258" s="25">
        <f>IF($A258="","",SUM(MMULT('06 Log Returns'!B258:G258,'08 Optimisation'!$B$36:$B$41)))</f>
        <v/>
      </c>
      <c r="D258" s="37">
        <f>IF($A258="","",IF(D257="","",D257*(1+B258)))</f>
        <v/>
      </c>
      <c r="E258" s="37">
        <f>IF($A258="","",MAX($D$5:D258))</f>
        <v/>
      </c>
      <c r="F258" s="25">
        <f>IF($A258="","",(E258-D258)/E258)</f>
        <v/>
      </c>
    </row>
    <row r="259">
      <c r="A259" s="23">
        <f>IF('05 Simple Returns'!A259="","",'05 Simple Returns'!A259)</f>
        <v/>
      </c>
      <c r="B259" s="25">
        <f>IF($A259="","",SUM(MMULT('05 Simple Returns'!B259:G259,'08 Optimisation'!$B$36:$B$41)))</f>
        <v/>
      </c>
      <c r="C259" s="25">
        <f>IF($A259="","",SUM(MMULT('06 Log Returns'!B259:G259,'08 Optimisation'!$B$36:$B$41)))</f>
        <v/>
      </c>
      <c r="D259" s="37">
        <f>IF($A259="","",IF(D258="","",D258*(1+B259)))</f>
        <v/>
      </c>
      <c r="E259" s="37">
        <f>IF($A259="","",MAX($D$5:D259))</f>
        <v/>
      </c>
      <c r="F259" s="25">
        <f>IF($A259="","",(E259-D259)/E259)</f>
        <v/>
      </c>
    </row>
    <row r="260">
      <c r="A260" s="23">
        <f>IF('05 Simple Returns'!A260="","",'05 Simple Returns'!A260)</f>
        <v/>
      </c>
      <c r="B260" s="25">
        <f>IF($A260="","",SUM(MMULT('05 Simple Returns'!B260:G260,'08 Optimisation'!$B$36:$B$41)))</f>
        <v/>
      </c>
      <c r="C260" s="25">
        <f>IF($A260="","",SUM(MMULT('06 Log Returns'!B260:G260,'08 Optimisation'!$B$36:$B$41)))</f>
        <v/>
      </c>
      <c r="D260" s="37">
        <f>IF($A260="","",IF(D259="","",D259*(1+B260)))</f>
        <v/>
      </c>
      <c r="E260" s="37">
        <f>IF($A260="","",MAX($D$5:D260))</f>
        <v/>
      </c>
      <c r="F260" s="25">
        <f>IF($A260="","",(E260-D260)/E260)</f>
        <v/>
      </c>
    </row>
    <row r="261">
      <c r="A261" s="23">
        <f>IF('05 Simple Returns'!A261="","",'05 Simple Returns'!A261)</f>
        <v/>
      </c>
      <c r="B261" s="25">
        <f>IF($A261="","",SUM(MMULT('05 Simple Returns'!B261:G261,'08 Optimisation'!$B$36:$B$41)))</f>
        <v/>
      </c>
      <c r="C261" s="25">
        <f>IF($A261="","",SUM(MMULT('06 Log Returns'!B261:G261,'08 Optimisation'!$B$36:$B$41)))</f>
        <v/>
      </c>
      <c r="D261" s="37">
        <f>IF($A261="","",IF(D260="","",D260*(1+B261)))</f>
        <v/>
      </c>
      <c r="E261" s="37">
        <f>IF($A261="","",MAX($D$5:D261))</f>
        <v/>
      </c>
      <c r="F261" s="25">
        <f>IF($A261="","",(E261-D261)/E261)</f>
        <v/>
      </c>
    </row>
    <row r="262">
      <c r="A262" s="23">
        <f>IF('05 Simple Returns'!A262="","",'05 Simple Returns'!A262)</f>
        <v/>
      </c>
      <c r="B262" s="25">
        <f>IF($A262="","",SUM(MMULT('05 Simple Returns'!B262:G262,'08 Optimisation'!$B$36:$B$41)))</f>
        <v/>
      </c>
      <c r="C262" s="25">
        <f>IF($A262="","",SUM(MMULT('06 Log Returns'!B262:G262,'08 Optimisation'!$B$36:$B$41)))</f>
        <v/>
      </c>
      <c r="D262" s="37">
        <f>IF($A262="","",IF(D261="","",D261*(1+B262)))</f>
        <v/>
      </c>
      <c r="E262" s="37">
        <f>IF($A262="","",MAX($D$5:D262))</f>
        <v/>
      </c>
      <c r="F262" s="25">
        <f>IF($A262="","",(E262-D262)/E262)</f>
        <v/>
      </c>
    </row>
    <row r="263">
      <c r="A263" s="23">
        <f>IF('05 Simple Returns'!A263="","",'05 Simple Returns'!A263)</f>
        <v/>
      </c>
      <c r="B263" s="25">
        <f>IF($A263="","",SUM(MMULT('05 Simple Returns'!B263:G263,'08 Optimisation'!$B$36:$B$41)))</f>
        <v/>
      </c>
      <c r="C263" s="25">
        <f>IF($A263="","",SUM(MMULT('06 Log Returns'!B263:G263,'08 Optimisation'!$B$36:$B$41)))</f>
        <v/>
      </c>
      <c r="D263" s="37">
        <f>IF($A263="","",IF(D262="","",D262*(1+B263)))</f>
        <v/>
      </c>
      <c r="E263" s="37">
        <f>IF($A263="","",MAX($D$5:D263))</f>
        <v/>
      </c>
      <c r="F263" s="25">
        <f>IF($A263="","",(E263-D263)/E263)</f>
        <v/>
      </c>
    </row>
    <row r="264">
      <c r="A264" s="23">
        <f>IF('05 Simple Returns'!A264="","",'05 Simple Returns'!A264)</f>
        <v/>
      </c>
      <c r="B264" s="25">
        <f>IF($A264="","",SUM(MMULT('05 Simple Returns'!B264:G264,'08 Optimisation'!$B$36:$B$41)))</f>
        <v/>
      </c>
      <c r="C264" s="25">
        <f>IF($A264="","",SUM(MMULT('06 Log Returns'!B264:G264,'08 Optimisation'!$B$36:$B$41)))</f>
        <v/>
      </c>
      <c r="D264" s="37">
        <f>IF($A264="","",IF(D263="","",D263*(1+B264)))</f>
        <v/>
      </c>
      <c r="E264" s="37">
        <f>IF($A264="","",MAX($D$5:D264))</f>
        <v/>
      </c>
      <c r="F264" s="25">
        <f>IF($A264="","",(E264-D264)/E264)</f>
        <v/>
      </c>
    </row>
    <row r="265">
      <c r="A265" s="23">
        <f>IF('05 Simple Returns'!A265="","",'05 Simple Returns'!A265)</f>
        <v/>
      </c>
      <c r="B265" s="25">
        <f>IF($A265="","",SUM(MMULT('05 Simple Returns'!B265:G265,'08 Optimisation'!$B$36:$B$41)))</f>
        <v/>
      </c>
      <c r="C265" s="25">
        <f>IF($A265="","",SUM(MMULT('06 Log Returns'!B265:G265,'08 Optimisation'!$B$36:$B$41)))</f>
        <v/>
      </c>
      <c r="D265" s="37">
        <f>IF($A265="","",IF(D264="","",D264*(1+B265)))</f>
        <v/>
      </c>
      <c r="E265" s="37">
        <f>IF($A265="","",MAX($D$5:D265))</f>
        <v/>
      </c>
      <c r="F265" s="25">
        <f>IF($A265="","",(E265-D265)/E265)</f>
        <v/>
      </c>
    </row>
    <row r="266">
      <c r="A266" s="23">
        <f>IF('05 Simple Returns'!A266="","",'05 Simple Returns'!A266)</f>
        <v/>
      </c>
      <c r="B266" s="25">
        <f>IF($A266="","",SUM(MMULT('05 Simple Returns'!B266:G266,'08 Optimisation'!$B$36:$B$41)))</f>
        <v/>
      </c>
      <c r="C266" s="25">
        <f>IF($A266="","",SUM(MMULT('06 Log Returns'!B266:G266,'08 Optimisation'!$B$36:$B$41)))</f>
        <v/>
      </c>
      <c r="D266" s="37">
        <f>IF($A266="","",IF(D265="","",D265*(1+B266)))</f>
        <v/>
      </c>
      <c r="E266" s="37">
        <f>IF($A266="","",MAX($D$5:D266))</f>
        <v/>
      </c>
      <c r="F266" s="25">
        <f>IF($A266="","",(E266-D266)/E266)</f>
        <v/>
      </c>
    </row>
    <row r="267">
      <c r="A267" s="23">
        <f>IF('05 Simple Returns'!A267="","",'05 Simple Returns'!A267)</f>
        <v/>
      </c>
      <c r="B267" s="25">
        <f>IF($A267="","",SUM(MMULT('05 Simple Returns'!B267:G267,'08 Optimisation'!$B$36:$B$41)))</f>
        <v/>
      </c>
      <c r="C267" s="25">
        <f>IF($A267="","",SUM(MMULT('06 Log Returns'!B267:G267,'08 Optimisation'!$B$36:$B$41)))</f>
        <v/>
      </c>
      <c r="D267" s="37">
        <f>IF($A267="","",IF(D266="","",D266*(1+B267)))</f>
        <v/>
      </c>
      <c r="E267" s="37">
        <f>IF($A267="","",MAX($D$5:D267))</f>
        <v/>
      </c>
      <c r="F267" s="25">
        <f>IF($A267="","",(E267-D267)/E267)</f>
        <v/>
      </c>
    </row>
    <row r="268">
      <c r="A268" s="23">
        <f>IF('05 Simple Returns'!A268="","",'05 Simple Returns'!A268)</f>
        <v/>
      </c>
      <c r="B268" s="25">
        <f>IF($A268="","",SUM(MMULT('05 Simple Returns'!B268:G268,'08 Optimisation'!$B$36:$B$41)))</f>
        <v/>
      </c>
      <c r="C268" s="25">
        <f>IF($A268="","",SUM(MMULT('06 Log Returns'!B268:G268,'08 Optimisation'!$B$36:$B$41)))</f>
        <v/>
      </c>
      <c r="D268" s="37">
        <f>IF($A268="","",IF(D267="","",D267*(1+B268)))</f>
        <v/>
      </c>
      <c r="E268" s="37">
        <f>IF($A268="","",MAX($D$5:D268))</f>
        <v/>
      </c>
      <c r="F268" s="25">
        <f>IF($A268="","",(E268-D268)/E268)</f>
        <v/>
      </c>
    </row>
    <row r="269">
      <c r="A269" s="23">
        <f>IF('05 Simple Returns'!A269="","",'05 Simple Returns'!A269)</f>
        <v/>
      </c>
      <c r="B269" s="25">
        <f>IF($A269="","",SUM(MMULT('05 Simple Returns'!B269:G269,'08 Optimisation'!$B$36:$B$41)))</f>
        <v/>
      </c>
      <c r="C269" s="25">
        <f>IF($A269="","",SUM(MMULT('06 Log Returns'!B269:G269,'08 Optimisation'!$B$36:$B$41)))</f>
        <v/>
      </c>
      <c r="D269" s="37">
        <f>IF($A269="","",IF(D268="","",D268*(1+B269)))</f>
        <v/>
      </c>
      <c r="E269" s="37">
        <f>IF($A269="","",MAX($D$5:D269))</f>
        <v/>
      </c>
      <c r="F269" s="25">
        <f>IF($A269="","",(E269-D269)/E269)</f>
        <v/>
      </c>
    </row>
    <row r="270">
      <c r="A270" s="23">
        <f>IF('05 Simple Returns'!A270="","",'05 Simple Returns'!A270)</f>
        <v/>
      </c>
      <c r="B270" s="25">
        <f>IF($A270="","",SUM(MMULT('05 Simple Returns'!B270:G270,'08 Optimisation'!$B$36:$B$41)))</f>
        <v/>
      </c>
      <c r="C270" s="25">
        <f>IF($A270="","",SUM(MMULT('06 Log Returns'!B270:G270,'08 Optimisation'!$B$36:$B$41)))</f>
        <v/>
      </c>
      <c r="D270" s="37">
        <f>IF($A270="","",IF(D269="","",D269*(1+B270)))</f>
        <v/>
      </c>
      <c r="E270" s="37">
        <f>IF($A270="","",MAX($D$5:D270))</f>
        <v/>
      </c>
      <c r="F270" s="25">
        <f>IF($A270="","",(E270-D270)/E270)</f>
        <v/>
      </c>
    </row>
    <row r="271">
      <c r="A271" s="23">
        <f>IF('05 Simple Returns'!A271="","",'05 Simple Returns'!A271)</f>
        <v/>
      </c>
      <c r="B271" s="25">
        <f>IF($A271="","",SUM(MMULT('05 Simple Returns'!B271:G271,'08 Optimisation'!$B$36:$B$41)))</f>
        <v/>
      </c>
      <c r="C271" s="25">
        <f>IF($A271="","",SUM(MMULT('06 Log Returns'!B271:G271,'08 Optimisation'!$B$36:$B$41)))</f>
        <v/>
      </c>
      <c r="D271" s="37">
        <f>IF($A271="","",IF(D270="","",D270*(1+B271)))</f>
        <v/>
      </c>
      <c r="E271" s="37">
        <f>IF($A271="","",MAX($D$5:D271))</f>
        <v/>
      </c>
      <c r="F271" s="25">
        <f>IF($A271="","",(E271-D271)/E271)</f>
        <v/>
      </c>
    </row>
    <row r="272">
      <c r="A272" s="23">
        <f>IF('05 Simple Returns'!A272="","",'05 Simple Returns'!A272)</f>
        <v/>
      </c>
      <c r="B272" s="25">
        <f>IF($A272="","",SUM(MMULT('05 Simple Returns'!B272:G272,'08 Optimisation'!$B$36:$B$41)))</f>
        <v/>
      </c>
      <c r="C272" s="25">
        <f>IF($A272="","",SUM(MMULT('06 Log Returns'!B272:G272,'08 Optimisation'!$B$36:$B$41)))</f>
        <v/>
      </c>
      <c r="D272" s="37">
        <f>IF($A272="","",IF(D271="","",D271*(1+B272)))</f>
        <v/>
      </c>
      <c r="E272" s="37">
        <f>IF($A272="","",MAX($D$5:D272))</f>
        <v/>
      </c>
      <c r="F272" s="25">
        <f>IF($A272="","",(E272-D272)/E272)</f>
        <v/>
      </c>
    </row>
    <row r="273">
      <c r="A273" s="23">
        <f>IF('05 Simple Returns'!A273="","",'05 Simple Returns'!A273)</f>
        <v/>
      </c>
      <c r="B273" s="25">
        <f>IF($A273="","",SUM(MMULT('05 Simple Returns'!B273:G273,'08 Optimisation'!$B$36:$B$41)))</f>
        <v/>
      </c>
      <c r="C273" s="25">
        <f>IF($A273="","",SUM(MMULT('06 Log Returns'!B273:G273,'08 Optimisation'!$B$36:$B$41)))</f>
        <v/>
      </c>
      <c r="D273" s="37">
        <f>IF($A273="","",IF(D272="","",D272*(1+B273)))</f>
        <v/>
      </c>
      <c r="E273" s="37">
        <f>IF($A273="","",MAX($D$5:D273))</f>
        <v/>
      </c>
      <c r="F273" s="25">
        <f>IF($A273="","",(E273-D273)/E273)</f>
        <v/>
      </c>
    </row>
    <row r="274">
      <c r="A274" s="23">
        <f>IF('05 Simple Returns'!A274="","",'05 Simple Returns'!A274)</f>
        <v/>
      </c>
      <c r="B274" s="25">
        <f>IF($A274="","",SUM(MMULT('05 Simple Returns'!B274:G274,'08 Optimisation'!$B$36:$B$41)))</f>
        <v/>
      </c>
      <c r="C274" s="25">
        <f>IF($A274="","",SUM(MMULT('06 Log Returns'!B274:G274,'08 Optimisation'!$B$36:$B$41)))</f>
        <v/>
      </c>
      <c r="D274" s="37">
        <f>IF($A274="","",IF(D273="","",D273*(1+B274)))</f>
        <v/>
      </c>
      <c r="E274" s="37">
        <f>IF($A274="","",MAX($D$5:D274))</f>
        <v/>
      </c>
      <c r="F274" s="25">
        <f>IF($A274="","",(E274-D274)/E274)</f>
        <v/>
      </c>
    </row>
    <row r="275">
      <c r="A275" s="23">
        <f>IF('05 Simple Returns'!A275="","",'05 Simple Returns'!A275)</f>
        <v/>
      </c>
      <c r="B275" s="25">
        <f>IF($A275="","",SUM(MMULT('05 Simple Returns'!B275:G275,'08 Optimisation'!$B$36:$B$41)))</f>
        <v/>
      </c>
      <c r="C275" s="25">
        <f>IF($A275="","",SUM(MMULT('06 Log Returns'!B275:G275,'08 Optimisation'!$B$36:$B$41)))</f>
        <v/>
      </c>
      <c r="D275" s="37">
        <f>IF($A275="","",IF(D274="","",D274*(1+B275)))</f>
        <v/>
      </c>
      <c r="E275" s="37">
        <f>IF($A275="","",MAX($D$5:D275))</f>
        <v/>
      </c>
      <c r="F275" s="25">
        <f>IF($A275="","",(E275-D275)/E275)</f>
        <v/>
      </c>
    </row>
    <row r="276">
      <c r="A276" s="23">
        <f>IF('05 Simple Returns'!A276="","",'05 Simple Returns'!A276)</f>
        <v/>
      </c>
      <c r="B276" s="25">
        <f>IF($A276="","",SUM(MMULT('05 Simple Returns'!B276:G276,'08 Optimisation'!$B$36:$B$41)))</f>
        <v/>
      </c>
      <c r="C276" s="25">
        <f>IF($A276="","",SUM(MMULT('06 Log Returns'!B276:G276,'08 Optimisation'!$B$36:$B$41)))</f>
        <v/>
      </c>
      <c r="D276" s="37">
        <f>IF($A276="","",IF(D275="","",D275*(1+B276)))</f>
        <v/>
      </c>
      <c r="E276" s="37">
        <f>IF($A276="","",MAX($D$5:D276))</f>
        <v/>
      </c>
      <c r="F276" s="25">
        <f>IF($A276="","",(E276-D276)/E276)</f>
        <v/>
      </c>
    </row>
    <row r="277">
      <c r="A277" s="23">
        <f>IF('05 Simple Returns'!A277="","",'05 Simple Returns'!A277)</f>
        <v/>
      </c>
      <c r="B277" s="25">
        <f>IF($A277="","",SUM(MMULT('05 Simple Returns'!B277:G277,'08 Optimisation'!$B$36:$B$41)))</f>
        <v/>
      </c>
      <c r="C277" s="25">
        <f>IF($A277="","",SUM(MMULT('06 Log Returns'!B277:G277,'08 Optimisation'!$B$36:$B$41)))</f>
        <v/>
      </c>
      <c r="D277" s="37">
        <f>IF($A277="","",IF(D276="","",D276*(1+B277)))</f>
        <v/>
      </c>
      <c r="E277" s="37">
        <f>IF($A277="","",MAX($D$5:D277))</f>
        <v/>
      </c>
      <c r="F277" s="25">
        <f>IF($A277="","",(E277-D277)/E277)</f>
        <v/>
      </c>
    </row>
    <row r="278">
      <c r="A278" s="23">
        <f>IF('05 Simple Returns'!A278="","",'05 Simple Returns'!A278)</f>
        <v/>
      </c>
      <c r="B278" s="25">
        <f>IF($A278="","",SUM(MMULT('05 Simple Returns'!B278:G278,'08 Optimisation'!$B$36:$B$41)))</f>
        <v/>
      </c>
      <c r="C278" s="25">
        <f>IF($A278="","",SUM(MMULT('06 Log Returns'!B278:G278,'08 Optimisation'!$B$36:$B$41)))</f>
        <v/>
      </c>
      <c r="D278" s="37">
        <f>IF($A278="","",IF(D277="","",D277*(1+B278)))</f>
        <v/>
      </c>
      <c r="E278" s="37">
        <f>IF($A278="","",MAX($D$5:D278))</f>
        <v/>
      </c>
      <c r="F278" s="25">
        <f>IF($A278="","",(E278-D278)/E278)</f>
        <v/>
      </c>
    </row>
    <row r="279">
      <c r="A279" s="23">
        <f>IF('05 Simple Returns'!A279="","",'05 Simple Returns'!A279)</f>
        <v/>
      </c>
      <c r="B279" s="25">
        <f>IF($A279="","",SUM(MMULT('05 Simple Returns'!B279:G279,'08 Optimisation'!$B$36:$B$41)))</f>
        <v/>
      </c>
      <c r="C279" s="25">
        <f>IF($A279="","",SUM(MMULT('06 Log Returns'!B279:G279,'08 Optimisation'!$B$36:$B$41)))</f>
        <v/>
      </c>
      <c r="D279" s="37">
        <f>IF($A279="","",IF(D278="","",D278*(1+B279)))</f>
        <v/>
      </c>
      <c r="E279" s="37">
        <f>IF($A279="","",MAX($D$5:D279))</f>
        <v/>
      </c>
      <c r="F279" s="25">
        <f>IF($A279="","",(E279-D279)/E279)</f>
        <v/>
      </c>
    </row>
    <row r="280">
      <c r="A280" s="23">
        <f>IF('05 Simple Returns'!A280="","",'05 Simple Returns'!A280)</f>
        <v/>
      </c>
      <c r="B280" s="25">
        <f>IF($A280="","",SUM(MMULT('05 Simple Returns'!B280:G280,'08 Optimisation'!$B$36:$B$41)))</f>
        <v/>
      </c>
      <c r="C280" s="25">
        <f>IF($A280="","",SUM(MMULT('06 Log Returns'!B280:G280,'08 Optimisation'!$B$36:$B$41)))</f>
        <v/>
      </c>
      <c r="D280" s="37">
        <f>IF($A280="","",IF(D279="","",D279*(1+B280)))</f>
        <v/>
      </c>
      <c r="E280" s="37">
        <f>IF($A280="","",MAX($D$5:D280))</f>
        <v/>
      </c>
      <c r="F280" s="25">
        <f>IF($A280="","",(E280-D280)/E280)</f>
        <v/>
      </c>
    </row>
    <row r="281">
      <c r="A281" s="23">
        <f>IF('05 Simple Returns'!A281="","",'05 Simple Returns'!A281)</f>
        <v/>
      </c>
      <c r="B281" s="25">
        <f>IF($A281="","",SUM(MMULT('05 Simple Returns'!B281:G281,'08 Optimisation'!$B$36:$B$41)))</f>
        <v/>
      </c>
      <c r="C281" s="25">
        <f>IF($A281="","",SUM(MMULT('06 Log Returns'!B281:G281,'08 Optimisation'!$B$36:$B$41)))</f>
        <v/>
      </c>
      <c r="D281" s="37">
        <f>IF($A281="","",IF(D280="","",D280*(1+B281)))</f>
        <v/>
      </c>
      <c r="E281" s="37">
        <f>IF($A281="","",MAX($D$5:D281))</f>
        <v/>
      </c>
      <c r="F281" s="25">
        <f>IF($A281="","",(E281-D281)/E281)</f>
        <v/>
      </c>
    </row>
    <row r="282">
      <c r="A282" s="23">
        <f>IF('05 Simple Returns'!A282="","",'05 Simple Returns'!A282)</f>
        <v/>
      </c>
      <c r="B282" s="25">
        <f>IF($A282="","",SUM(MMULT('05 Simple Returns'!B282:G282,'08 Optimisation'!$B$36:$B$41)))</f>
        <v/>
      </c>
      <c r="C282" s="25">
        <f>IF($A282="","",SUM(MMULT('06 Log Returns'!B282:G282,'08 Optimisation'!$B$36:$B$41)))</f>
        <v/>
      </c>
      <c r="D282" s="37">
        <f>IF($A282="","",IF(D281="","",D281*(1+B282)))</f>
        <v/>
      </c>
      <c r="E282" s="37">
        <f>IF($A282="","",MAX($D$5:D282))</f>
        <v/>
      </c>
      <c r="F282" s="25">
        <f>IF($A282="","",(E282-D282)/E282)</f>
        <v/>
      </c>
    </row>
    <row r="283">
      <c r="A283" s="23">
        <f>IF('05 Simple Returns'!A283="","",'05 Simple Returns'!A283)</f>
        <v/>
      </c>
      <c r="B283" s="25">
        <f>IF($A283="","",SUM(MMULT('05 Simple Returns'!B283:G283,'08 Optimisation'!$B$36:$B$41)))</f>
        <v/>
      </c>
      <c r="C283" s="25">
        <f>IF($A283="","",SUM(MMULT('06 Log Returns'!B283:G283,'08 Optimisation'!$B$36:$B$41)))</f>
        <v/>
      </c>
      <c r="D283" s="37">
        <f>IF($A283="","",IF(D282="","",D282*(1+B283)))</f>
        <v/>
      </c>
      <c r="E283" s="37">
        <f>IF($A283="","",MAX($D$5:D283))</f>
        <v/>
      </c>
      <c r="F283" s="25">
        <f>IF($A283="","",(E283-D283)/E283)</f>
        <v/>
      </c>
    </row>
    <row r="284">
      <c r="A284" s="23">
        <f>IF('05 Simple Returns'!A284="","",'05 Simple Returns'!A284)</f>
        <v/>
      </c>
      <c r="B284" s="25">
        <f>IF($A284="","",SUM(MMULT('05 Simple Returns'!B284:G284,'08 Optimisation'!$B$36:$B$41)))</f>
        <v/>
      </c>
      <c r="C284" s="25">
        <f>IF($A284="","",SUM(MMULT('06 Log Returns'!B284:G284,'08 Optimisation'!$B$36:$B$41)))</f>
        <v/>
      </c>
      <c r="D284" s="37">
        <f>IF($A284="","",IF(D283="","",D283*(1+B284)))</f>
        <v/>
      </c>
      <c r="E284" s="37">
        <f>IF($A284="","",MAX($D$5:D284))</f>
        <v/>
      </c>
      <c r="F284" s="25">
        <f>IF($A284="","",(E284-D284)/E284)</f>
        <v/>
      </c>
    </row>
    <row r="285">
      <c r="A285" s="23">
        <f>IF('05 Simple Returns'!A285="","",'05 Simple Returns'!A285)</f>
        <v/>
      </c>
      <c r="B285" s="25">
        <f>IF($A285="","",SUM(MMULT('05 Simple Returns'!B285:G285,'08 Optimisation'!$B$36:$B$41)))</f>
        <v/>
      </c>
      <c r="C285" s="25">
        <f>IF($A285="","",SUM(MMULT('06 Log Returns'!B285:G285,'08 Optimisation'!$B$36:$B$41)))</f>
        <v/>
      </c>
      <c r="D285" s="37">
        <f>IF($A285="","",IF(D284="","",D284*(1+B285)))</f>
        <v/>
      </c>
      <c r="E285" s="37">
        <f>IF($A285="","",MAX($D$5:D285))</f>
        <v/>
      </c>
      <c r="F285" s="25">
        <f>IF($A285="","",(E285-D285)/E285)</f>
        <v/>
      </c>
    </row>
    <row r="286">
      <c r="A286" s="23">
        <f>IF('05 Simple Returns'!A286="","",'05 Simple Returns'!A286)</f>
        <v/>
      </c>
      <c r="B286" s="25">
        <f>IF($A286="","",SUM(MMULT('05 Simple Returns'!B286:G286,'08 Optimisation'!$B$36:$B$41)))</f>
        <v/>
      </c>
      <c r="C286" s="25">
        <f>IF($A286="","",SUM(MMULT('06 Log Returns'!B286:G286,'08 Optimisation'!$B$36:$B$41)))</f>
        <v/>
      </c>
      <c r="D286" s="37">
        <f>IF($A286="","",IF(D285="","",D285*(1+B286)))</f>
        <v/>
      </c>
      <c r="E286" s="37">
        <f>IF($A286="","",MAX($D$5:D286))</f>
        <v/>
      </c>
      <c r="F286" s="25">
        <f>IF($A286="","",(E286-D286)/E286)</f>
        <v/>
      </c>
    </row>
    <row r="287">
      <c r="A287" s="23">
        <f>IF('05 Simple Returns'!A287="","",'05 Simple Returns'!A287)</f>
        <v/>
      </c>
      <c r="B287" s="25">
        <f>IF($A287="","",SUM(MMULT('05 Simple Returns'!B287:G287,'08 Optimisation'!$B$36:$B$41)))</f>
        <v/>
      </c>
      <c r="C287" s="25">
        <f>IF($A287="","",SUM(MMULT('06 Log Returns'!B287:G287,'08 Optimisation'!$B$36:$B$41)))</f>
        <v/>
      </c>
      <c r="D287" s="37">
        <f>IF($A287="","",IF(D286="","",D286*(1+B287)))</f>
        <v/>
      </c>
      <c r="E287" s="37">
        <f>IF($A287="","",MAX($D$5:D287))</f>
        <v/>
      </c>
      <c r="F287" s="25">
        <f>IF($A287="","",(E287-D287)/E287)</f>
        <v/>
      </c>
    </row>
    <row r="288">
      <c r="A288" s="23">
        <f>IF('05 Simple Returns'!A288="","",'05 Simple Returns'!A288)</f>
        <v/>
      </c>
      <c r="B288" s="25">
        <f>IF($A288="","",SUM(MMULT('05 Simple Returns'!B288:G288,'08 Optimisation'!$B$36:$B$41)))</f>
        <v/>
      </c>
      <c r="C288" s="25">
        <f>IF($A288="","",SUM(MMULT('06 Log Returns'!B288:G288,'08 Optimisation'!$B$36:$B$41)))</f>
        <v/>
      </c>
      <c r="D288" s="37">
        <f>IF($A288="","",IF(D287="","",D287*(1+B288)))</f>
        <v/>
      </c>
      <c r="E288" s="37">
        <f>IF($A288="","",MAX($D$5:D288))</f>
        <v/>
      </c>
      <c r="F288" s="25">
        <f>IF($A288="","",(E288-D288)/E288)</f>
        <v/>
      </c>
    </row>
    <row r="289">
      <c r="A289" s="23">
        <f>IF('05 Simple Returns'!A289="","",'05 Simple Returns'!A289)</f>
        <v/>
      </c>
      <c r="B289" s="25">
        <f>IF($A289="","",SUM(MMULT('05 Simple Returns'!B289:G289,'08 Optimisation'!$B$36:$B$41)))</f>
        <v/>
      </c>
      <c r="C289" s="25">
        <f>IF($A289="","",SUM(MMULT('06 Log Returns'!B289:G289,'08 Optimisation'!$B$36:$B$41)))</f>
        <v/>
      </c>
      <c r="D289" s="37">
        <f>IF($A289="","",IF(D288="","",D288*(1+B289)))</f>
        <v/>
      </c>
      <c r="E289" s="37">
        <f>IF($A289="","",MAX($D$5:D289))</f>
        <v/>
      </c>
      <c r="F289" s="25">
        <f>IF($A289="","",(E289-D289)/E289)</f>
        <v/>
      </c>
    </row>
    <row r="290">
      <c r="A290" s="23">
        <f>IF('05 Simple Returns'!A290="","",'05 Simple Returns'!A290)</f>
        <v/>
      </c>
      <c r="B290" s="25">
        <f>IF($A290="","",SUM(MMULT('05 Simple Returns'!B290:G290,'08 Optimisation'!$B$36:$B$41)))</f>
        <v/>
      </c>
      <c r="C290" s="25">
        <f>IF($A290="","",SUM(MMULT('06 Log Returns'!B290:G290,'08 Optimisation'!$B$36:$B$41)))</f>
        <v/>
      </c>
      <c r="D290" s="37">
        <f>IF($A290="","",IF(D289="","",D289*(1+B290)))</f>
        <v/>
      </c>
      <c r="E290" s="37">
        <f>IF($A290="","",MAX($D$5:D290))</f>
        <v/>
      </c>
      <c r="F290" s="25">
        <f>IF($A290="","",(E290-D290)/E290)</f>
        <v/>
      </c>
    </row>
    <row r="291">
      <c r="A291" s="23">
        <f>IF('05 Simple Returns'!A291="","",'05 Simple Returns'!A291)</f>
        <v/>
      </c>
      <c r="B291" s="25">
        <f>IF($A291="","",SUM(MMULT('05 Simple Returns'!B291:G291,'08 Optimisation'!$B$36:$B$41)))</f>
        <v/>
      </c>
      <c r="C291" s="25">
        <f>IF($A291="","",SUM(MMULT('06 Log Returns'!B291:G291,'08 Optimisation'!$B$36:$B$41)))</f>
        <v/>
      </c>
      <c r="D291" s="37">
        <f>IF($A291="","",IF(D290="","",D290*(1+B291)))</f>
        <v/>
      </c>
      <c r="E291" s="37">
        <f>IF($A291="","",MAX($D$5:D291))</f>
        <v/>
      </c>
      <c r="F291" s="25">
        <f>IF($A291="","",(E291-D291)/E291)</f>
        <v/>
      </c>
    </row>
    <row r="292">
      <c r="A292" s="23">
        <f>IF('05 Simple Returns'!A292="","",'05 Simple Returns'!A292)</f>
        <v/>
      </c>
      <c r="B292" s="25">
        <f>IF($A292="","",SUM(MMULT('05 Simple Returns'!B292:G292,'08 Optimisation'!$B$36:$B$41)))</f>
        <v/>
      </c>
      <c r="C292" s="25">
        <f>IF($A292="","",SUM(MMULT('06 Log Returns'!B292:G292,'08 Optimisation'!$B$36:$B$41)))</f>
        <v/>
      </c>
      <c r="D292" s="37">
        <f>IF($A292="","",IF(D291="","",D291*(1+B292)))</f>
        <v/>
      </c>
      <c r="E292" s="37">
        <f>IF($A292="","",MAX($D$5:D292))</f>
        <v/>
      </c>
      <c r="F292" s="25">
        <f>IF($A292="","",(E292-D292)/E292)</f>
        <v/>
      </c>
    </row>
    <row r="293">
      <c r="A293" s="23">
        <f>IF('05 Simple Returns'!A293="","",'05 Simple Returns'!A293)</f>
        <v/>
      </c>
      <c r="B293" s="25">
        <f>IF($A293="","",SUM(MMULT('05 Simple Returns'!B293:G293,'08 Optimisation'!$B$36:$B$41)))</f>
        <v/>
      </c>
      <c r="C293" s="25">
        <f>IF($A293="","",SUM(MMULT('06 Log Returns'!B293:G293,'08 Optimisation'!$B$36:$B$41)))</f>
        <v/>
      </c>
      <c r="D293" s="37">
        <f>IF($A293="","",IF(D292="","",D292*(1+B293)))</f>
        <v/>
      </c>
      <c r="E293" s="37">
        <f>IF($A293="","",MAX($D$5:D293))</f>
        <v/>
      </c>
      <c r="F293" s="25">
        <f>IF($A293="","",(E293-D293)/E293)</f>
        <v/>
      </c>
    </row>
    <row r="294">
      <c r="A294" s="23">
        <f>IF('05 Simple Returns'!A294="","",'05 Simple Returns'!A294)</f>
        <v/>
      </c>
      <c r="B294" s="25">
        <f>IF($A294="","",SUM(MMULT('05 Simple Returns'!B294:G294,'08 Optimisation'!$B$36:$B$41)))</f>
        <v/>
      </c>
      <c r="C294" s="25">
        <f>IF($A294="","",SUM(MMULT('06 Log Returns'!B294:G294,'08 Optimisation'!$B$36:$B$41)))</f>
        <v/>
      </c>
      <c r="D294" s="37">
        <f>IF($A294="","",IF(D293="","",D293*(1+B294)))</f>
        <v/>
      </c>
      <c r="E294" s="37">
        <f>IF($A294="","",MAX($D$5:D294))</f>
        <v/>
      </c>
      <c r="F294" s="25">
        <f>IF($A294="","",(E294-D294)/E294)</f>
        <v/>
      </c>
    </row>
    <row r="295">
      <c r="A295" s="23">
        <f>IF('05 Simple Returns'!A295="","",'05 Simple Returns'!A295)</f>
        <v/>
      </c>
      <c r="B295" s="25">
        <f>IF($A295="","",SUM(MMULT('05 Simple Returns'!B295:G295,'08 Optimisation'!$B$36:$B$41)))</f>
        <v/>
      </c>
      <c r="C295" s="25">
        <f>IF($A295="","",SUM(MMULT('06 Log Returns'!B295:G295,'08 Optimisation'!$B$36:$B$41)))</f>
        <v/>
      </c>
      <c r="D295" s="37">
        <f>IF($A295="","",IF(D294="","",D294*(1+B295)))</f>
        <v/>
      </c>
      <c r="E295" s="37">
        <f>IF($A295="","",MAX($D$5:D295))</f>
        <v/>
      </c>
      <c r="F295" s="25">
        <f>IF($A295="","",(E295-D295)/E295)</f>
        <v/>
      </c>
    </row>
    <row r="296">
      <c r="A296" s="23">
        <f>IF('05 Simple Returns'!A296="","",'05 Simple Returns'!A296)</f>
        <v/>
      </c>
      <c r="B296" s="25">
        <f>IF($A296="","",SUM(MMULT('05 Simple Returns'!B296:G296,'08 Optimisation'!$B$36:$B$41)))</f>
        <v/>
      </c>
      <c r="C296" s="25">
        <f>IF($A296="","",SUM(MMULT('06 Log Returns'!B296:G296,'08 Optimisation'!$B$36:$B$41)))</f>
        <v/>
      </c>
      <c r="D296" s="37">
        <f>IF($A296="","",IF(D295="","",D295*(1+B296)))</f>
        <v/>
      </c>
      <c r="E296" s="37">
        <f>IF($A296="","",MAX($D$5:D296))</f>
        <v/>
      </c>
      <c r="F296" s="25">
        <f>IF($A296="","",(E296-D296)/E296)</f>
        <v/>
      </c>
    </row>
    <row r="297">
      <c r="A297" s="23">
        <f>IF('05 Simple Returns'!A297="","",'05 Simple Returns'!A297)</f>
        <v/>
      </c>
      <c r="B297" s="25">
        <f>IF($A297="","",SUM(MMULT('05 Simple Returns'!B297:G297,'08 Optimisation'!$B$36:$B$41)))</f>
        <v/>
      </c>
      <c r="C297" s="25">
        <f>IF($A297="","",SUM(MMULT('06 Log Returns'!B297:G297,'08 Optimisation'!$B$36:$B$41)))</f>
        <v/>
      </c>
      <c r="D297" s="37">
        <f>IF($A297="","",IF(D296="","",D296*(1+B297)))</f>
        <v/>
      </c>
      <c r="E297" s="37">
        <f>IF($A297="","",MAX($D$5:D297))</f>
        <v/>
      </c>
      <c r="F297" s="25">
        <f>IF($A297="","",(E297-D297)/E297)</f>
        <v/>
      </c>
    </row>
    <row r="298">
      <c r="A298" s="23">
        <f>IF('05 Simple Returns'!A298="","",'05 Simple Returns'!A298)</f>
        <v/>
      </c>
      <c r="B298" s="25">
        <f>IF($A298="","",SUM(MMULT('05 Simple Returns'!B298:G298,'08 Optimisation'!$B$36:$B$41)))</f>
        <v/>
      </c>
      <c r="C298" s="25">
        <f>IF($A298="","",SUM(MMULT('06 Log Returns'!B298:G298,'08 Optimisation'!$B$36:$B$41)))</f>
        <v/>
      </c>
      <c r="D298" s="37">
        <f>IF($A298="","",IF(D297="","",D297*(1+B298)))</f>
        <v/>
      </c>
      <c r="E298" s="37">
        <f>IF($A298="","",MAX($D$5:D298))</f>
        <v/>
      </c>
      <c r="F298" s="25">
        <f>IF($A298="","",(E298-D298)/E298)</f>
        <v/>
      </c>
    </row>
    <row r="299">
      <c r="A299" s="23">
        <f>IF('05 Simple Returns'!A299="","",'05 Simple Returns'!A299)</f>
        <v/>
      </c>
      <c r="B299" s="25">
        <f>IF($A299="","",SUM(MMULT('05 Simple Returns'!B299:G299,'08 Optimisation'!$B$36:$B$41)))</f>
        <v/>
      </c>
      <c r="C299" s="25">
        <f>IF($A299="","",SUM(MMULT('06 Log Returns'!B299:G299,'08 Optimisation'!$B$36:$B$41)))</f>
        <v/>
      </c>
      <c r="D299" s="37">
        <f>IF($A299="","",IF(D298="","",D298*(1+B299)))</f>
        <v/>
      </c>
      <c r="E299" s="37">
        <f>IF($A299="","",MAX($D$5:D299))</f>
        <v/>
      </c>
      <c r="F299" s="25">
        <f>IF($A299="","",(E299-D299)/E299)</f>
        <v/>
      </c>
    </row>
    <row r="300">
      <c r="A300" s="23">
        <f>IF('05 Simple Returns'!A300="","",'05 Simple Returns'!A300)</f>
        <v/>
      </c>
      <c r="B300" s="25">
        <f>IF($A300="","",SUM(MMULT('05 Simple Returns'!B300:G300,'08 Optimisation'!$B$36:$B$41)))</f>
        <v/>
      </c>
      <c r="C300" s="25">
        <f>IF($A300="","",SUM(MMULT('06 Log Returns'!B300:G300,'08 Optimisation'!$B$36:$B$41)))</f>
        <v/>
      </c>
      <c r="D300" s="37">
        <f>IF($A300="","",IF(D299="","",D299*(1+B300)))</f>
        <v/>
      </c>
      <c r="E300" s="37">
        <f>IF($A300="","",MAX($D$5:D300))</f>
        <v/>
      </c>
      <c r="F300" s="25">
        <f>IF($A300="","",(E300-D300)/E300)</f>
        <v/>
      </c>
    </row>
    <row r="301">
      <c r="A301" s="23">
        <f>IF('05 Simple Returns'!A301="","",'05 Simple Returns'!A301)</f>
        <v/>
      </c>
      <c r="B301" s="25">
        <f>IF($A301="","",SUM(MMULT('05 Simple Returns'!B301:G301,'08 Optimisation'!$B$36:$B$41)))</f>
        <v/>
      </c>
      <c r="C301" s="25">
        <f>IF($A301="","",SUM(MMULT('06 Log Returns'!B301:G301,'08 Optimisation'!$B$36:$B$41)))</f>
        <v/>
      </c>
      <c r="D301" s="37">
        <f>IF($A301="","",IF(D300="","",D300*(1+B301)))</f>
        <v/>
      </c>
      <c r="E301" s="37">
        <f>IF($A301="","",MAX($D$5:D301))</f>
        <v/>
      </c>
      <c r="F301" s="25">
        <f>IF($A301="","",(E301-D301)/E301)</f>
        <v/>
      </c>
    </row>
    <row r="302">
      <c r="A302" s="23">
        <f>IF('05 Simple Returns'!A302="","",'05 Simple Returns'!A302)</f>
        <v/>
      </c>
      <c r="B302" s="25">
        <f>IF($A302="","",SUM(MMULT('05 Simple Returns'!B302:G302,'08 Optimisation'!$B$36:$B$41)))</f>
        <v/>
      </c>
      <c r="C302" s="25">
        <f>IF($A302="","",SUM(MMULT('06 Log Returns'!B302:G302,'08 Optimisation'!$B$36:$B$41)))</f>
        <v/>
      </c>
      <c r="D302" s="37">
        <f>IF($A302="","",IF(D301="","",D301*(1+B302)))</f>
        <v/>
      </c>
      <c r="E302" s="37">
        <f>IF($A302="","",MAX($D$5:D302))</f>
        <v/>
      </c>
      <c r="F302" s="25">
        <f>IF($A302="","",(E302-D302)/E302)</f>
        <v/>
      </c>
    </row>
    <row r="303">
      <c r="A303" s="23">
        <f>IF('05 Simple Returns'!A303="","",'05 Simple Returns'!A303)</f>
        <v/>
      </c>
      <c r="B303" s="25">
        <f>IF($A303="","",SUM(MMULT('05 Simple Returns'!B303:G303,'08 Optimisation'!$B$36:$B$41)))</f>
        <v/>
      </c>
      <c r="C303" s="25">
        <f>IF($A303="","",SUM(MMULT('06 Log Returns'!B303:G303,'08 Optimisation'!$B$36:$B$41)))</f>
        <v/>
      </c>
      <c r="D303" s="37">
        <f>IF($A303="","",IF(D302="","",D302*(1+B303)))</f>
        <v/>
      </c>
      <c r="E303" s="37">
        <f>IF($A303="","",MAX($D$5:D303))</f>
        <v/>
      </c>
      <c r="F303" s="25">
        <f>IF($A303="","",(E303-D303)/E303)</f>
        <v/>
      </c>
    </row>
    <row r="304">
      <c r="A304" s="23">
        <f>IF('05 Simple Returns'!A304="","",'05 Simple Returns'!A304)</f>
        <v/>
      </c>
      <c r="B304" s="25">
        <f>IF($A304="","",SUM(MMULT('05 Simple Returns'!B304:G304,'08 Optimisation'!$B$36:$B$41)))</f>
        <v/>
      </c>
      <c r="C304" s="25">
        <f>IF($A304="","",SUM(MMULT('06 Log Returns'!B304:G304,'08 Optimisation'!$B$36:$B$41)))</f>
        <v/>
      </c>
      <c r="D304" s="37">
        <f>IF($A304="","",IF(D303="","",D303*(1+B304)))</f>
        <v/>
      </c>
      <c r="E304" s="37">
        <f>IF($A304="","",MAX($D$5:D304))</f>
        <v/>
      </c>
      <c r="F304" s="25">
        <f>IF($A304="","",(E304-D304)/E304)</f>
        <v/>
      </c>
    </row>
    <row r="305">
      <c r="A305" s="23">
        <f>IF('05 Simple Returns'!A305="","",'05 Simple Returns'!A305)</f>
        <v/>
      </c>
      <c r="B305" s="25">
        <f>IF($A305="","",SUM(MMULT('05 Simple Returns'!B305:G305,'08 Optimisation'!$B$36:$B$41)))</f>
        <v/>
      </c>
      <c r="C305" s="25">
        <f>IF($A305="","",SUM(MMULT('06 Log Returns'!B305:G305,'08 Optimisation'!$B$36:$B$41)))</f>
        <v/>
      </c>
      <c r="D305" s="37">
        <f>IF($A305="","",IF(D304="","",D304*(1+B305)))</f>
        <v/>
      </c>
      <c r="E305" s="37">
        <f>IF($A305="","",MAX($D$5:D305))</f>
        <v/>
      </c>
      <c r="F305" s="25">
        <f>IF($A305="","",(E305-D305)/E305)</f>
        <v/>
      </c>
    </row>
    <row r="306">
      <c r="A306" s="23">
        <f>IF('05 Simple Returns'!A306="","",'05 Simple Returns'!A306)</f>
        <v/>
      </c>
      <c r="B306" s="25">
        <f>IF($A306="","",SUM(MMULT('05 Simple Returns'!B306:G306,'08 Optimisation'!$B$36:$B$41)))</f>
        <v/>
      </c>
      <c r="C306" s="25">
        <f>IF($A306="","",SUM(MMULT('06 Log Returns'!B306:G306,'08 Optimisation'!$B$36:$B$41)))</f>
        <v/>
      </c>
      <c r="D306" s="37">
        <f>IF($A306="","",IF(D305="","",D305*(1+B306)))</f>
        <v/>
      </c>
      <c r="E306" s="37">
        <f>IF($A306="","",MAX($D$5:D306))</f>
        <v/>
      </c>
      <c r="F306" s="25">
        <f>IF($A306="","",(E306-D306)/E306)</f>
        <v/>
      </c>
    </row>
    <row r="307">
      <c r="A307" s="23">
        <f>IF('05 Simple Returns'!A307="","",'05 Simple Returns'!A307)</f>
        <v/>
      </c>
      <c r="B307" s="25">
        <f>IF($A307="","",SUM(MMULT('05 Simple Returns'!B307:G307,'08 Optimisation'!$B$36:$B$41)))</f>
        <v/>
      </c>
      <c r="C307" s="25">
        <f>IF($A307="","",SUM(MMULT('06 Log Returns'!B307:G307,'08 Optimisation'!$B$36:$B$41)))</f>
        <v/>
      </c>
      <c r="D307" s="37">
        <f>IF($A307="","",IF(D306="","",D306*(1+B307)))</f>
        <v/>
      </c>
      <c r="E307" s="37">
        <f>IF($A307="","",MAX($D$5:D307))</f>
        <v/>
      </c>
      <c r="F307" s="25">
        <f>IF($A307="","",(E307-D307)/E307)</f>
        <v/>
      </c>
    </row>
    <row r="308">
      <c r="A308" s="23">
        <f>IF('05 Simple Returns'!A308="","",'05 Simple Returns'!A308)</f>
        <v/>
      </c>
      <c r="B308" s="25">
        <f>IF($A308="","",SUM(MMULT('05 Simple Returns'!B308:G308,'08 Optimisation'!$B$36:$B$41)))</f>
        <v/>
      </c>
      <c r="C308" s="25">
        <f>IF($A308="","",SUM(MMULT('06 Log Returns'!B308:G308,'08 Optimisation'!$B$36:$B$41)))</f>
        <v/>
      </c>
      <c r="D308" s="37">
        <f>IF($A308="","",IF(D307="","",D307*(1+B308)))</f>
        <v/>
      </c>
      <c r="E308" s="37">
        <f>IF($A308="","",MAX($D$5:D308))</f>
        <v/>
      </c>
      <c r="F308" s="25">
        <f>IF($A308="","",(E308-D308)/E308)</f>
        <v/>
      </c>
    </row>
    <row r="309">
      <c r="A309" s="23">
        <f>IF('05 Simple Returns'!A309="","",'05 Simple Returns'!A309)</f>
        <v/>
      </c>
      <c r="B309" s="25">
        <f>IF($A309="","",SUM(MMULT('05 Simple Returns'!B309:G309,'08 Optimisation'!$B$36:$B$41)))</f>
        <v/>
      </c>
      <c r="C309" s="25">
        <f>IF($A309="","",SUM(MMULT('06 Log Returns'!B309:G309,'08 Optimisation'!$B$36:$B$41)))</f>
        <v/>
      </c>
      <c r="D309" s="37">
        <f>IF($A309="","",IF(D308="","",D308*(1+B309)))</f>
        <v/>
      </c>
      <c r="E309" s="37">
        <f>IF($A309="","",MAX($D$5:D309))</f>
        <v/>
      </c>
      <c r="F309" s="25">
        <f>IF($A309="","",(E309-D309)/E309)</f>
        <v/>
      </c>
    </row>
    <row r="310">
      <c r="A310" s="23">
        <f>IF('05 Simple Returns'!A310="","",'05 Simple Returns'!A310)</f>
        <v/>
      </c>
      <c r="B310" s="25">
        <f>IF($A310="","",SUM(MMULT('05 Simple Returns'!B310:G310,'08 Optimisation'!$B$36:$B$41)))</f>
        <v/>
      </c>
      <c r="C310" s="25">
        <f>IF($A310="","",SUM(MMULT('06 Log Returns'!B310:G310,'08 Optimisation'!$B$36:$B$41)))</f>
        <v/>
      </c>
      <c r="D310" s="37">
        <f>IF($A310="","",IF(D309="","",D309*(1+B310)))</f>
        <v/>
      </c>
      <c r="E310" s="37">
        <f>IF($A310="","",MAX($D$5:D310))</f>
        <v/>
      </c>
      <c r="F310" s="25">
        <f>IF($A310="","",(E310-D310)/E310)</f>
        <v/>
      </c>
    </row>
    <row r="311">
      <c r="A311" s="23">
        <f>IF('05 Simple Returns'!A311="","",'05 Simple Returns'!A311)</f>
        <v/>
      </c>
      <c r="B311" s="25">
        <f>IF($A311="","",SUM(MMULT('05 Simple Returns'!B311:G311,'08 Optimisation'!$B$36:$B$41)))</f>
        <v/>
      </c>
      <c r="C311" s="25">
        <f>IF($A311="","",SUM(MMULT('06 Log Returns'!B311:G311,'08 Optimisation'!$B$36:$B$41)))</f>
        <v/>
      </c>
      <c r="D311" s="37">
        <f>IF($A311="","",IF(D310="","",D310*(1+B311)))</f>
        <v/>
      </c>
      <c r="E311" s="37">
        <f>IF($A311="","",MAX($D$5:D311))</f>
        <v/>
      </c>
      <c r="F311" s="25">
        <f>IF($A311="","",(E311-D311)/E311)</f>
        <v/>
      </c>
    </row>
    <row r="312">
      <c r="A312" s="23">
        <f>IF('05 Simple Returns'!A312="","",'05 Simple Returns'!A312)</f>
        <v/>
      </c>
      <c r="B312" s="25">
        <f>IF($A312="","",SUM(MMULT('05 Simple Returns'!B312:G312,'08 Optimisation'!$B$36:$B$41)))</f>
        <v/>
      </c>
      <c r="C312" s="25">
        <f>IF($A312="","",SUM(MMULT('06 Log Returns'!B312:G312,'08 Optimisation'!$B$36:$B$41)))</f>
        <v/>
      </c>
      <c r="D312" s="37">
        <f>IF($A312="","",IF(D311="","",D311*(1+B312)))</f>
        <v/>
      </c>
      <c r="E312" s="37">
        <f>IF($A312="","",MAX($D$5:D312))</f>
        <v/>
      </c>
      <c r="F312" s="25">
        <f>IF($A312="","",(E312-D312)/E312)</f>
        <v/>
      </c>
    </row>
    <row r="313">
      <c r="A313" s="23">
        <f>IF('05 Simple Returns'!A313="","",'05 Simple Returns'!A313)</f>
        <v/>
      </c>
      <c r="B313" s="25">
        <f>IF($A313="","",SUM(MMULT('05 Simple Returns'!B313:G313,'08 Optimisation'!$B$36:$B$41)))</f>
        <v/>
      </c>
      <c r="C313" s="25">
        <f>IF($A313="","",SUM(MMULT('06 Log Returns'!B313:G313,'08 Optimisation'!$B$36:$B$41)))</f>
        <v/>
      </c>
      <c r="D313" s="37">
        <f>IF($A313="","",IF(D312="","",D312*(1+B313)))</f>
        <v/>
      </c>
      <c r="E313" s="37">
        <f>IF($A313="","",MAX($D$5:D313))</f>
        <v/>
      </c>
      <c r="F313" s="25">
        <f>IF($A313="","",(E313-D313)/E313)</f>
        <v/>
      </c>
    </row>
    <row r="314">
      <c r="A314" s="23">
        <f>IF('05 Simple Returns'!A314="","",'05 Simple Returns'!A314)</f>
        <v/>
      </c>
      <c r="B314" s="25">
        <f>IF($A314="","",SUM(MMULT('05 Simple Returns'!B314:G314,'08 Optimisation'!$B$36:$B$41)))</f>
        <v/>
      </c>
      <c r="C314" s="25">
        <f>IF($A314="","",SUM(MMULT('06 Log Returns'!B314:G314,'08 Optimisation'!$B$36:$B$41)))</f>
        <v/>
      </c>
      <c r="D314" s="37">
        <f>IF($A314="","",IF(D313="","",D313*(1+B314)))</f>
        <v/>
      </c>
      <c r="E314" s="37">
        <f>IF($A314="","",MAX($D$5:D314))</f>
        <v/>
      </c>
      <c r="F314" s="25">
        <f>IF($A314="","",(E314-D314)/E314)</f>
        <v/>
      </c>
    </row>
    <row r="315">
      <c r="A315" s="23">
        <f>IF('05 Simple Returns'!A315="","",'05 Simple Returns'!A315)</f>
        <v/>
      </c>
      <c r="B315" s="25">
        <f>IF($A315="","",SUM(MMULT('05 Simple Returns'!B315:G315,'08 Optimisation'!$B$36:$B$41)))</f>
        <v/>
      </c>
      <c r="C315" s="25">
        <f>IF($A315="","",SUM(MMULT('06 Log Returns'!B315:G315,'08 Optimisation'!$B$36:$B$41)))</f>
        <v/>
      </c>
      <c r="D315" s="37">
        <f>IF($A315="","",IF(D314="","",D314*(1+B315)))</f>
        <v/>
      </c>
      <c r="E315" s="37">
        <f>IF($A315="","",MAX($D$5:D315))</f>
        <v/>
      </c>
      <c r="F315" s="25">
        <f>IF($A315="","",(E315-D315)/E315)</f>
        <v/>
      </c>
    </row>
    <row r="316">
      <c r="A316" s="23">
        <f>IF('05 Simple Returns'!A316="","",'05 Simple Returns'!A316)</f>
        <v/>
      </c>
      <c r="B316" s="25">
        <f>IF($A316="","",SUM(MMULT('05 Simple Returns'!B316:G316,'08 Optimisation'!$B$36:$B$41)))</f>
        <v/>
      </c>
      <c r="C316" s="25">
        <f>IF($A316="","",SUM(MMULT('06 Log Returns'!B316:G316,'08 Optimisation'!$B$36:$B$41)))</f>
        <v/>
      </c>
      <c r="D316" s="37">
        <f>IF($A316="","",IF(D315="","",D315*(1+B316)))</f>
        <v/>
      </c>
      <c r="E316" s="37">
        <f>IF($A316="","",MAX($D$5:D316))</f>
        <v/>
      </c>
      <c r="F316" s="25">
        <f>IF($A316="","",(E316-D316)/E316)</f>
        <v/>
      </c>
    </row>
    <row r="317">
      <c r="A317" s="23">
        <f>IF('05 Simple Returns'!A317="","",'05 Simple Returns'!A317)</f>
        <v/>
      </c>
      <c r="B317" s="25">
        <f>IF($A317="","",SUM(MMULT('05 Simple Returns'!B317:G317,'08 Optimisation'!$B$36:$B$41)))</f>
        <v/>
      </c>
      <c r="C317" s="25">
        <f>IF($A317="","",SUM(MMULT('06 Log Returns'!B317:G317,'08 Optimisation'!$B$36:$B$41)))</f>
        <v/>
      </c>
      <c r="D317" s="37">
        <f>IF($A317="","",IF(D316="","",D316*(1+B317)))</f>
        <v/>
      </c>
      <c r="E317" s="37">
        <f>IF($A317="","",MAX($D$5:D317))</f>
        <v/>
      </c>
      <c r="F317" s="25">
        <f>IF($A317="","",(E317-D317)/E317)</f>
        <v/>
      </c>
    </row>
    <row r="318">
      <c r="A318" s="23">
        <f>IF('05 Simple Returns'!A318="","",'05 Simple Returns'!A318)</f>
        <v/>
      </c>
      <c r="B318" s="25">
        <f>IF($A318="","",SUM(MMULT('05 Simple Returns'!B318:G318,'08 Optimisation'!$B$36:$B$41)))</f>
        <v/>
      </c>
      <c r="C318" s="25">
        <f>IF($A318="","",SUM(MMULT('06 Log Returns'!B318:G318,'08 Optimisation'!$B$36:$B$41)))</f>
        <v/>
      </c>
      <c r="D318" s="37">
        <f>IF($A318="","",IF(D317="","",D317*(1+B318)))</f>
        <v/>
      </c>
      <c r="E318" s="37">
        <f>IF($A318="","",MAX($D$5:D318))</f>
        <v/>
      </c>
      <c r="F318" s="25">
        <f>IF($A318="","",(E318-D318)/E318)</f>
        <v/>
      </c>
    </row>
    <row r="319">
      <c r="A319" s="23">
        <f>IF('05 Simple Returns'!A319="","",'05 Simple Returns'!A319)</f>
        <v/>
      </c>
      <c r="B319" s="25">
        <f>IF($A319="","",SUM(MMULT('05 Simple Returns'!B319:G319,'08 Optimisation'!$B$36:$B$41)))</f>
        <v/>
      </c>
      <c r="C319" s="25">
        <f>IF($A319="","",SUM(MMULT('06 Log Returns'!B319:G319,'08 Optimisation'!$B$36:$B$41)))</f>
        <v/>
      </c>
      <c r="D319" s="37">
        <f>IF($A319="","",IF(D318="","",D318*(1+B319)))</f>
        <v/>
      </c>
      <c r="E319" s="37">
        <f>IF($A319="","",MAX($D$5:D319))</f>
        <v/>
      </c>
      <c r="F319" s="25">
        <f>IF($A319="","",(E319-D319)/E319)</f>
        <v/>
      </c>
    </row>
    <row r="320">
      <c r="A320" s="23">
        <f>IF('05 Simple Returns'!A320="","",'05 Simple Returns'!A320)</f>
        <v/>
      </c>
      <c r="B320" s="25">
        <f>IF($A320="","",SUM(MMULT('05 Simple Returns'!B320:G320,'08 Optimisation'!$B$36:$B$41)))</f>
        <v/>
      </c>
      <c r="C320" s="25">
        <f>IF($A320="","",SUM(MMULT('06 Log Returns'!B320:G320,'08 Optimisation'!$B$36:$B$41)))</f>
        <v/>
      </c>
      <c r="D320" s="37">
        <f>IF($A320="","",IF(D319="","",D319*(1+B320)))</f>
        <v/>
      </c>
      <c r="E320" s="37">
        <f>IF($A320="","",MAX($D$5:D320))</f>
        <v/>
      </c>
      <c r="F320" s="25">
        <f>IF($A320="","",(E320-D320)/E320)</f>
        <v/>
      </c>
    </row>
    <row r="321">
      <c r="A321" s="23">
        <f>IF('05 Simple Returns'!A321="","",'05 Simple Returns'!A321)</f>
        <v/>
      </c>
      <c r="B321" s="25">
        <f>IF($A321="","",SUM(MMULT('05 Simple Returns'!B321:G321,'08 Optimisation'!$B$36:$B$41)))</f>
        <v/>
      </c>
      <c r="C321" s="25">
        <f>IF($A321="","",SUM(MMULT('06 Log Returns'!B321:G321,'08 Optimisation'!$B$36:$B$41)))</f>
        <v/>
      </c>
      <c r="D321" s="37">
        <f>IF($A321="","",IF(D320="","",D320*(1+B321)))</f>
        <v/>
      </c>
      <c r="E321" s="37">
        <f>IF($A321="","",MAX($D$5:D321))</f>
        <v/>
      </c>
      <c r="F321" s="25">
        <f>IF($A321="","",(E321-D321)/E321)</f>
        <v/>
      </c>
    </row>
    <row r="322">
      <c r="A322" s="23">
        <f>IF('05 Simple Returns'!A322="","",'05 Simple Returns'!A322)</f>
        <v/>
      </c>
      <c r="B322" s="25">
        <f>IF($A322="","",SUM(MMULT('05 Simple Returns'!B322:G322,'08 Optimisation'!$B$36:$B$41)))</f>
        <v/>
      </c>
      <c r="C322" s="25">
        <f>IF($A322="","",SUM(MMULT('06 Log Returns'!B322:G322,'08 Optimisation'!$B$36:$B$41)))</f>
        <v/>
      </c>
      <c r="D322" s="37">
        <f>IF($A322="","",IF(D321="","",D321*(1+B322)))</f>
        <v/>
      </c>
      <c r="E322" s="37">
        <f>IF($A322="","",MAX($D$5:D322))</f>
        <v/>
      </c>
      <c r="F322" s="25">
        <f>IF($A322="","",(E322-D322)/E322)</f>
        <v/>
      </c>
    </row>
    <row r="323">
      <c r="A323" s="23">
        <f>IF('05 Simple Returns'!A323="","",'05 Simple Returns'!A323)</f>
        <v/>
      </c>
      <c r="B323" s="25">
        <f>IF($A323="","",SUM(MMULT('05 Simple Returns'!B323:G323,'08 Optimisation'!$B$36:$B$41)))</f>
        <v/>
      </c>
      <c r="C323" s="25">
        <f>IF($A323="","",SUM(MMULT('06 Log Returns'!B323:G323,'08 Optimisation'!$B$36:$B$41)))</f>
        <v/>
      </c>
      <c r="D323" s="37">
        <f>IF($A323="","",IF(D322="","",D322*(1+B323)))</f>
        <v/>
      </c>
      <c r="E323" s="37">
        <f>IF($A323="","",MAX($D$5:D323))</f>
        <v/>
      </c>
      <c r="F323" s="25">
        <f>IF($A323="","",(E323-D323)/E323)</f>
        <v/>
      </c>
    </row>
    <row r="324">
      <c r="A324" s="23">
        <f>IF('05 Simple Returns'!A324="","",'05 Simple Returns'!A324)</f>
        <v/>
      </c>
      <c r="B324" s="25">
        <f>IF($A324="","",SUM(MMULT('05 Simple Returns'!B324:G324,'08 Optimisation'!$B$36:$B$41)))</f>
        <v/>
      </c>
      <c r="C324" s="25">
        <f>IF($A324="","",SUM(MMULT('06 Log Returns'!B324:G324,'08 Optimisation'!$B$36:$B$41)))</f>
        <v/>
      </c>
      <c r="D324" s="37">
        <f>IF($A324="","",IF(D323="","",D323*(1+B324)))</f>
        <v/>
      </c>
      <c r="E324" s="37">
        <f>IF($A324="","",MAX($D$5:D324))</f>
        <v/>
      </c>
      <c r="F324" s="25">
        <f>IF($A324="","",(E324-D324)/E324)</f>
        <v/>
      </c>
    </row>
    <row r="325">
      <c r="A325" s="23">
        <f>IF('05 Simple Returns'!A325="","",'05 Simple Returns'!A325)</f>
        <v/>
      </c>
      <c r="B325" s="25">
        <f>IF($A325="","",SUM(MMULT('05 Simple Returns'!B325:G325,'08 Optimisation'!$B$36:$B$41)))</f>
        <v/>
      </c>
      <c r="C325" s="25">
        <f>IF($A325="","",SUM(MMULT('06 Log Returns'!B325:G325,'08 Optimisation'!$B$36:$B$41)))</f>
        <v/>
      </c>
      <c r="D325" s="37">
        <f>IF($A325="","",IF(D324="","",D324*(1+B325)))</f>
        <v/>
      </c>
      <c r="E325" s="37">
        <f>IF($A325="","",MAX($D$5:D325))</f>
        <v/>
      </c>
      <c r="F325" s="25">
        <f>IF($A325="","",(E325-D325)/E325)</f>
        <v/>
      </c>
    </row>
    <row r="326">
      <c r="A326" s="23">
        <f>IF('05 Simple Returns'!A326="","",'05 Simple Returns'!A326)</f>
        <v/>
      </c>
      <c r="B326" s="25">
        <f>IF($A326="","",SUM(MMULT('05 Simple Returns'!B326:G326,'08 Optimisation'!$B$36:$B$41)))</f>
        <v/>
      </c>
      <c r="C326" s="25">
        <f>IF($A326="","",SUM(MMULT('06 Log Returns'!B326:G326,'08 Optimisation'!$B$36:$B$41)))</f>
        <v/>
      </c>
      <c r="D326" s="37">
        <f>IF($A326="","",IF(D325="","",D325*(1+B326)))</f>
        <v/>
      </c>
      <c r="E326" s="37">
        <f>IF($A326="","",MAX($D$5:D326))</f>
        <v/>
      </c>
      <c r="F326" s="25">
        <f>IF($A326="","",(E326-D326)/E326)</f>
        <v/>
      </c>
    </row>
    <row r="327">
      <c r="A327" s="23">
        <f>IF('05 Simple Returns'!A327="","",'05 Simple Returns'!A327)</f>
        <v/>
      </c>
      <c r="B327" s="25">
        <f>IF($A327="","",SUM(MMULT('05 Simple Returns'!B327:G327,'08 Optimisation'!$B$36:$B$41)))</f>
        <v/>
      </c>
      <c r="C327" s="25">
        <f>IF($A327="","",SUM(MMULT('06 Log Returns'!B327:G327,'08 Optimisation'!$B$36:$B$41)))</f>
        <v/>
      </c>
      <c r="D327" s="37">
        <f>IF($A327="","",IF(D326="","",D326*(1+B327)))</f>
        <v/>
      </c>
      <c r="E327" s="37">
        <f>IF($A327="","",MAX($D$5:D327))</f>
        <v/>
      </c>
      <c r="F327" s="25">
        <f>IF($A327="","",(E327-D327)/E327)</f>
        <v/>
      </c>
    </row>
    <row r="328">
      <c r="A328" s="23">
        <f>IF('05 Simple Returns'!A328="","",'05 Simple Returns'!A328)</f>
        <v/>
      </c>
      <c r="B328" s="25">
        <f>IF($A328="","",SUM(MMULT('05 Simple Returns'!B328:G328,'08 Optimisation'!$B$36:$B$41)))</f>
        <v/>
      </c>
      <c r="C328" s="25">
        <f>IF($A328="","",SUM(MMULT('06 Log Returns'!B328:G328,'08 Optimisation'!$B$36:$B$41)))</f>
        <v/>
      </c>
      <c r="D328" s="37">
        <f>IF($A328="","",IF(D327="","",D327*(1+B328)))</f>
        <v/>
      </c>
      <c r="E328" s="37">
        <f>IF($A328="","",MAX($D$5:D328))</f>
        <v/>
      </c>
      <c r="F328" s="25">
        <f>IF($A328="","",(E328-D328)/E328)</f>
        <v/>
      </c>
    </row>
    <row r="329">
      <c r="A329" s="23">
        <f>IF('05 Simple Returns'!A329="","",'05 Simple Returns'!A329)</f>
        <v/>
      </c>
      <c r="B329" s="25">
        <f>IF($A329="","",SUM(MMULT('05 Simple Returns'!B329:G329,'08 Optimisation'!$B$36:$B$41)))</f>
        <v/>
      </c>
      <c r="C329" s="25">
        <f>IF($A329="","",SUM(MMULT('06 Log Returns'!B329:G329,'08 Optimisation'!$B$36:$B$41)))</f>
        <v/>
      </c>
      <c r="D329" s="37">
        <f>IF($A329="","",IF(D328="","",D328*(1+B329)))</f>
        <v/>
      </c>
      <c r="E329" s="37">
        <f>IF($A329="","",MAX($D$5:D329))</f>
        <v/>
      </c>
      <c r="F329" s="25">
        <f>IF($A329="","",(E329-D329)/E329)</f>
        <v/>
      </c>
    </row>
    <row r="330">
      <c r="A330" s="23">
        <f>IF('05 Simple Returns'!A330="","",'05 Simple Returns'!A330)</f>
        <v/>
      </c>
      <c r="B330" s="25">
        <f>IF($A330="","",SUM(MMULT('05 Simple Returns'!B330:G330,'08 Optimisation'!$B$36:$B$41)))</f>
        <v/>
      </c>
      <c r="C330" s="25">
        <f>IF($A330="","",SUM(MMULT('06 Log Returns'!B330:G330,'08 Optimisation'!$B$36:$B$41)))</f>
        <v/>
      </c>
      <c r="D330" s="37">
        <f>IF($A330="","",IF(D329="","",D329*(1+B330)))</f>
        <v/>
      </c>
      <c r="E330" s="37">
        <f>IF($A330="","",MAX($D$5:D330))</f>
        <v/>
      </c>
      <c r="F330" s="25">
        <f>IF($A330="","",(E330-D330)/E330)</f>
        <v/>
      </c>
    </row>
    <row r="331">
      <c r="A331" s="23">
        <f>IF('05 Simple Returns'!A331="","",'05 Simple Returns'!A331)</f>
        <v/>
      </c>
      <c r="B331" s="25">
        <f>IF($A331="","",SUM(MMULT('05 Simple Returns'!B331:G331,'08 Optimisation'!$B$36:$B$41)))</f>
        <v/>
      </c>
      <c r="C331" s="25">
        <f>IF($A331="","",SUM(MMULT('06 Log Returns'!B331:G331,'08 Optimisation'!$B$36:$B$41)))</f>
        <v/>
      </c>
      <c r="D331" s="37">
        <f>IF($A331="","",IF(D330="","",D330*(1+B331)))</f>
        <v/>
      </c>
      <c r="E331" s="37">
        <f>IF($A331="","",MAX($D$5:D331))</f>
        <v/>
      </c>
      <c r="F331" s="25">
        <f>IF($A331="","",(E331-D331)/E331)</f>
        <v/>
      </c>
    </row>
    <row r="332">
      <c r="A332" s="23">
        <f>IF('05 Simple Returns'!A332="","",'05 Simple Returns'!A332)</f>
        <v/>
      </c>
      <c r="B332" s="25">
        <f>IF($A332="","",SUM(MMULT('05 Simple Returns'!B332:G332,'08 Optimisation'!$B$36:$B$41)))</f>
        <v/>
      </c>
      <c r="C332" s="25">
        <f>IF($A332="","",SUM(MMULT('06 Log Returns'!B332:G332,'08 Optimisation'!$B$36:$B$41)))</f>
        <v/>
      </c>
      <c r="D332" s="37">
        <f>IF($A332="","",IF(D331="","",D331*(1+B332)))</f>
        <v/>
      </c>
      <c r="E332" s="37">
        <f>IF($A332="","",MAX($D$5:D332))</f>
        <v/>
      </c>
      <c r="F332" s="25">
        <f>IF($A332="","",(E332-D332)/E332)</f>
        <v/>
      </c>
    </row>
    <row r="333">
      <c r="A333" s="23">
        <f>IF('05 Simple Returns'!A333="","",'05 Simple Returns'!A333)</f>
        <v/>
      </c>
      <c r="B333" s="25">
        <f>IF($A333="","",SUM(MMULT('05 Simple Returns'!B333:G333,'08 Optimisation'!$B$36:$B$41)))</f>
        <v/>
      </c>
      <c r="C333" s="25">
        <f>IF($A333="","",SUM(MMULT('06 Log Returns'!B333:G333,'08 Optimisation'!$B$36:$B$41)))</f>
        <v/>
      </c>
      <c r="D333" s="37">
        <f>IF($A333="","",IF(D332="","",D332*(1+B333)))</f>
        <v/>
      </c>
      <c r="E333" s="37">
        <f>IF($A333="","",MAX($D$5:D333))</f>
        <v/>
      </c>
      <c r="F333" s="25">
        <f>IF($A333="","",(E333-D333)/E333)</f>
        <v/>
      </c>
    </row>
    <row r="334">
      <c r="A334" s="23">
        <f>IF('05 Simple Returns'!A334="","",'05 Simple Returns'!A334)</f>
        <v/>
      </c>
      <c r="B334" s="25">
        <f>IF($A334="","",SUM(MMULT('05 Simple Returns'!B334:G334,'08 Optimisation'!$B$36:$B$41)))</f>
        <v/>
      </c>
      <c r="C334" s="25">
        <f>IF($A334="","",SUM(MMULT('06 Log Returns'!B334:G334,'08 Optimisation'!$B$36:$B$41)))</f>
        <v/>
      </c>
      <c r="D334" s="37">
        <f>IF($A334="","",IF(D333="","",D333*(1+B334)))</f>
        <v/>
      </c>
      <c r="E334" s="37">
        <f>IF($A334="","",MAX($D$5:D334))</f>
        <v/>
      </c>
      <c r="F334" s="25">
        <f>IF($A334="","",(E334-D334)/E334)</f>
        <v/>
      </c>
    </row>
    <row r="335">
      <c r="A335" s="23">
        <f>IF('05 Simple Returns'!A335="","",'05 Simple Returns'!A335)</f>
        <v/>
      </c>
      <c r="B335" s="25">
        <f>IF($A335="","",SUM(MMULT('05 Simple Returns'!B335:G335,'08 Optimisation'!$B$36:$B$41)))</f>
        <v/>
      </c>
      <c r="C335" s="25">
        <f>IF($A335="","",SUM(MMULT('06 Log Returns'!B335:G335,'08 Optimisation'!$B$36:$B$41)))</f>
        <v/>
      </c>
      <c r="D335" s="37">
        <f>IF($A335="","",IF(D334="","",D334*(1+B335)))</f>
        <v/>
      </c>
      <c r="E335" s="37">
        <f>IF($A335="","",MAX($D$5:D335))</f>
        <v/>
      </c>
      <c r="F335" s="25">
        <f>IF($A335="","",(E335-D335)/E335)</f>
        <v/>
      </c>
    </row>
    <row r="336">
      <c r="A336" s="23">
        <f>IF('05 Simple Returns'!A336="","",'05 Simple Returns'!A336)</f>
        <v/>
      </c>
      <c r="B336" s="25">
        <f>IF($A336="","",SUM(MMULT('05 Simple Returns'!B336:G336,'08 Optimisation'!$B$36:$B$41)))</f>
        <v/>
      </c>
      <c r="C336" s="25">
        <f>IF($A336="","",SUM(MMULT('06 Log Returns'!B336:G336,'08 Optimisation'!$B$36:$B$41)))</f>
        <v/>
      </c>
      <c r="D336" s="37">
        <f>IF($A336="","",IF(D335="","",D335*(1+B336)))</f>
        <v/>
      </c>
      <c r="E336" s="37">
        <f>IF($A336="","",MAX($D$5:D336))</f>
        <v/>
      </c>
      <c r="F336" s="25">
        <f>IF($A336="","",(E336-D336)/E336)</f>
        <v/>
      </c>
    </row>
    <row r="337">
      <c r="A337" s="23">
        <f>IF('05 Simple Returns'!A337="","",'05 Simple Returns'!A337)</f>
        <v/>
      </c>
      <c r="B337" s="25">
        <f>IF($A337="","",SUM(MMULT('05 Simple Returns'!B337:G337,'08 Optimisation'!$B$36:$B$41)))</f>
        <v/>
      </c>
      <c r="C337" s="25">
        <f>IF($A337="","",SUM(MMULT('06 Log Returns'!B337:G337,'08 Optimisation'!$B$36:$B$41)))</f>
        <v/>
      </c>
      <c r="D337" s="37">
        <f>IF($A337="","",IF(D336="","",D336*(1+B337)))</f>
        <v/>
      </c>
      <c r="E337" s="37">
        <f>IF($A337="","",MAX($D$5:D337))</f>
        <v/>
      </c>
      <c r="F337" s="25">
        <f>IF($A337="","",(E337-D337)/E337)</f>
        <v/>
      </c>
    </row>
    <row r="338">
      <c r="A338" s="23">
        <f>IF('05 Simple Returns'!A338="","",'05 Simple Returns'!A338)</f>
        <v/>
      </c>
      <c r="B338" s="25">
        <f>IF($A338="","",SUM(MMULT('05 Simple Returns'!B338:G338,'08 Optimisation'!$B$36:$B$41)))</f>
        <v/>
      </c>
      <c r="C338" s="25">
        <f>IF($A338="","",SUM(MMULT('06 Log Returns'!B338:G338,'08 Optimisation'!$B$36:$B$41)))</f>
        <v/>
      </c>
      <c r="D338" s="37">
        <f>IF($A338="","",IF(D337="","",D337*(1+B338)))</f>
        <v/>
      </c>
      <c r="E338" s="37">
        <f>IF($A338="","",MAX($D$5:D338))</f>
        <v/>
      </c>
      <c r="F338" s="25">
        <f>IF($A338="","",(E338-D338)/E338)</f>
        <v/>
      </c>
    </row>
    <row r="339">
      <c r="A339" s="23">
        <f>IF('05 Simple Returns'!A339="","",'05 Simple Returns'!A339)</f>
        <v/>
      </c>
      <c r="B339" s="25">
        <f>IF($A339="","",SUM(MMULT('05 Simple Returns'!B339:G339,'08 Optimisation'!$B$36:$B$41)))</f>
        <v/>
      </c>
      <c r="C339" s="25">
        <f>IF($A339="","",SUM(MMULT('06 Log Returns'!B339:G339,'08 Optimisation'!$B$36:$B$41)))</f>
        <v/>
      </c>
      <c r="D339" s="37">
        <f>IF($A339="","",IF(D338="","",D338*(1+B339)))</f>
        <v/>
      </c>
      <c r="E339" s="37">
        <f>IF($A339="","",MAX($D$5:D339))</f>
        <v/>
      </c>
      <c r="F339" s="25">
        <f>IF($A339="","",(E339-D339)/E339)</f>
        <v/>
      </c>
    </row>
    <row r="340">
      <c r="A340" s="23">
        <f>IF('05 Simple Returns'!A340="","",'05 Simple Returns'!A340)</f>
        <v/>
      </c>
      <c r="B340" s="25">
        <f>IF($A340="","",SUM(MMULT('05 Simple Returns'!B340:G340,'08 Optimisation'!$B$36:$B$41)))</f>
        <v/>
      </c>
      <c r="C340" s="25">
        <f>IF($A340="","",SUM(MMULT('06 Log Returns'!B340:G340,'08 Optimisation'!$B$36:$B$41)))</f>
        <v/>
      </c>
      <c r="D340" s="37">
        <f>IF($A340="","",IF(D339="","",D339*(1+B340)))</f>
        <v/>
      </c>
      <c r="E340" s="37">
        <f>IF($A340="","",MAX($D$5:D340))</f>
        <v/>
      </c>
      <c r="F340" s="25">
        <f>IF($A340="","",(E340-D340)/E340)</f>
        <v/>
      </c>
    </row>
    <row r="341">
      <c r="A341" s="23">
        <f>IF('05 Simple Returns'!A341="","",'05 Simple Returns'!A341)</f>
        <v/>
      </c>
      <c r="B341" s="25">
        <f>IF($A341="","",SUM(MMULT('05 Simple Returns'!B341:G341,'08 Optimisation'!$B$36:$B$41)))</f>
        <v/>
      </c>
      <c r="C341" s="25">
        <f>IF($A341="","",SUM(MMULT('06 Log Returns'!B341:G341,'08 Optimisation'!$B$36:$B$41)))</f>
        <v/>
      </c>
      <c r="D341" s="37">
        <f>IF($A341="","",IF(D340="","",D340*(1+B341)))</f>
        <v/>
      </c>
      <c r="E341" s="37">
        <f>IF($A341="","",MAX($D$5:D341))</f>
        <v/>
      </c>
      <c r="F341" s="25">
        <f>IF($A341="","",(E341-D341)/E341)</f>
        <v/>
      </c>
    </row>
    <row r="342">
      <c r="A342" s="23">
        <f>IF('05 Simple Returns'!A342="","",'05 Simple Returns'!A342)</f>
        <v/>
      </c>
      <c r="B342" s="25">
        <f>IF($A342="","",SUM(MMULT('05 Simple Returns'!B342:G342,'08 Optimisation'!$B$36:$B$41)))</f>
        <v/>
      </c>
      <c r="C342" s="25">
        <f>IF($A342="","",SUM(MMULT('06 Log Returns'!B342:G342,'08 Optimisation'!$B$36:$B$41)))</f>
        <v/>
      </c>
      <c r="D342" s="37">
        <f>IF($A342="","",IF(D341="","",D341*(1+B342)))</f>
        <v/>
      </c>
      <c r="E342" s="37">
        <f>IF($A342="","",MAX($D$5:D342))</f>
        <v/>
      </c>
      <c r="F342" s="25">
        <f>IF($A342="","",(E342-D342)/E342)</f>
        <v/>
      </c>
    </row>
    <row r="343">
      <c r="A343" s="23">
        <f>IF('05 Simple Returns'!A343="","",'05 Simple Returns'!A343)</f>
        <v/>
      </c>
      <c r="B343" s="25">
        <f>IF($A343="","",SUM(MMULT('05 Simple Returns'!B343:G343,'08 Optimisation'!$B$36:$B$41)))</f>
        <v/>
      </c>
      <c r="C343" s="25">
        <f>IF($A343="","",SUM(MMULT('06 Log Returns'!B343:G343,'08 Optimisation'!$B$36:$B$41)))</f>
        <v/>
      </c>
      <c r="D343" s="37">
        <f>IF($A343="","",IF(D342="","",D342*(1+B343)))</f>
        <v/>
      </c>
      <c r="E343" s="37">
        <f>IF($A343="","",MAX($D$5:D343))</f>
        <v/>
      </c>
      <c r="F343" s="25">
        <f>IF($A343="","",(E343-D343)/E343)</f>
        <v/>
      </c>
    </row>
    <row r="344">
      <c r="A344" s="23">
        <f>IF('05 Simple Returns'!A344="","",'05 Simple Returns'!A344)</f>
        <v/>
      </c>
      <c r="B344" s="25">
        <f>IF($A344="","",SUM(MMULT('05 Simple Returns'!B344:G344,'08 Optimisation'!$B$36:$B$41)))</f>
        <v/>
      </c>
      <c r="C344" s="25">
        <f>IF($A344="","",SUM(MMULT('06 Log Returns'!B344:G344,'08 Optimisation'!$B$36:$B$41)))</f>
        <v/>
      </c>
      <c r="D344" s="37">
        <f>IF($A344="","",IF(D343="","",D343*(1+B344)))</f>
        <v/>
      </c>
      <c r="E344" s="37">
        <f>IF($A344="","",MAX($D$5:D344))</f>
        <v/>
      </c>
      <c r="F344" s="25">
        <f>IF($A344="","",(E344-D344)/E344)</f>
        <v/>
      </c>
    </row>
    <row r="345">
      <c r="A345" s="23">
        <f>IF('05 Simple Returns'!A345="","",'05 Simple Returns'!A345)</f>
        <v/>
      </c>
      <c r="B345" s="25">
        <f>IF($A345="","",SUM(MMULT('05 Simple Returns'!B345:G345,'08 Optimisation'!$B$36:$B$41)))</f>
        <v/>
      </c>
      <c r="C345" s="25">
        <f>IF($A345="","",SUM(MMULT('06 Log Returns'!B345:G345,'08 Optimisation'!$B$36:$B$41)))</f>
        <v/>
      </c>
      <c r="D345" s="37">
        <f>IF($A345="","",IF(D344="","",D344*(1+B345)))</f>
        <v/>
      </c>
      <c r="E345" s="37">
        <f>IF($A345="","",MAX($D$5:D345))</f>
        <v/>
      </c>
      <c r="F345" s="25">
        <f>IF($A345="","",(E345-D345)/E345)</f>
        <v/>
      </c>
    </row>
    <row r="346">
      <c r="A346" s="23">
        <f>IF('05 Simple Returns'!A346="","",'05 Simple Returns'!A346)</f>
        <v/>
      </c>
      <c r="B346" s="25">
        <f>IF($A346="","",SUM(MMULT('05 Simple Returns'!B346:G346,'08 Optimisation'!$B$36:$B$41)))</f>
        <v/>
      </c>
      <c r="C346" s="25">
        <f>IF($A346="","",SUM(MMULT('06 Log Returns'!B346:G346,'08 Optimisation'!$B$36:$B$41)))</f>
        <v/>
      </c>
      <c r="D346" s="37">
        <f>IF($A346="","",IF(D345="","",D345*(1+B346)))</f>
        <v/>
      </c>
      <c r="E346" s="37">
        <f>IF($A346="","",MAX($D$5:D346))</f>
        <v/>
      </c>
      <c r="F346" s="25">
        <f>IF($A346="","",(E346-D346)/E346)</f>
        <v/>
      </c>
    </row>
    <row r="347">
      <c r="A347" s="23">
        <f>IF('05 Simple Returns'!A347="","",'05 Simple Returns'!A347)</f>
        <v/>
      </c>
      <c r="B347" s="25">
        <f>IF($A347="","",SUM(MMULT('05 Simple Returns'!B347:G347,'08 Optimisation'!$B$36:$B$41)))</f>
        <v/>
      </c>
      <c r="C347" s="25">
        <f>IF($A347="","",SUM(MMULT('06 Log Returns'!B347:G347,'08 Optimisation'!$B$36:$B$41)))</f>
        <v/>
      </c>
      <c r="D347" s="37">
        <f>IF($A347="","",IF(D346="","",D346*(1+B347)))</f>
        <v/>
      </c>
      <c r="E347" s="37">
        <f>IF($A347="","",MAX($D$5:D347))</f>
        <v/>
      </c>
      <c r="F347" s="25">
        <f>IF($A347="","",(E347-D347)/E347)</f>
        <v/>
      </c>
    </row>
    <row r="348">
      <c r="A348" s="23">
        <f>IF('05 Simple Returns'!A348="","",'05 Simple Returns'!A348)</f>
        <v/>
      </c>
      <c r="B348" s="25">
        <f>IF($A348="","",SUM(MMULT('05 Simple Returns'!B348:G348,'08 Optimisation'!$B$36:$B$41)))</f>
        <v/>
      </c>
      <c r="C348" s="25">
        <f>IF($A348="","",SUM(MMULT('06 Log Returns'!B348:G348,'08 Optimisation'!$B$36:$B$41)))</f>
        <v/>
      </c>
      <c r="D348" s="37">
        <f>IF($A348="","",IF(D347="","",D347*(1+B348)))</f>
        <v/>
      </c>
      <c r="E348" s="37">
        <f>IF($A348="","",MAX($D$5:D348))</f>
        <v/>
      </c>
      <c r="F348" s="25">
        <f>IF($A348="","",(E348-D348)/E348)</f>
        <v/>
      </c>
    </row>
    <row r="349">
      <c r="A349" s="23">
        <f>IF('05 Simple Returns'!A349="","",'05 Simple Returns'!A349)</f>
        <v/>
      </c>
      <c r="B349" s="25">
        <f>IF($A349="","",SUM(MMULT('05 Simple Returns'!B349:G349,'08 Optimisation'!$B$36:$B$41)))</f>
        <v/>
      </c>
      <c r="C349" s="25">
        <f>IF($A349="","",SUM(MMULT('06 Log Returns'!B349:G349,'08 Optimisation'!$B$36:$B$41)))</f>
        <v/>
      </c>
      <c r="D349" s="37">
        <f>IF($A349="","",IF(D348="","",D348*(1+B349)))</f>
        <v/>
      </c>
      <c r="E349" s="37">
        <f>IF($A349="","",MAX($D$5:D349))</f>
        <v/>
      </c>
      <c r="F349" s="25">
        <f>IF($A349="","",(E349-D349)/E349)</f>
        <v/>
      </c>
    </row>
    <row r="350">
      <c r="A350" s="23">
        <f>IF('05 Simple Returns'!A350="","",'05 Simple Returns'!A350)</f>
        <v/>
      </c>
      <c r="B350" s="25">
        <f>IF($A350="","",SUM(MMULT('05 Simple Returns'!B350:G350,'08 Optimisation'!$B$36:$B$41)))</f>
        <v/>
      </c>
      <c r="C350" s="25">
        <f>IF($A350="","",SUM(MMULT('06 Log Returns'!B350:G350,'08 Optimisation'!$B$36:$B$41)))</f>
        <v/>
      </c>
      <c r="D350" s="37">
        <f>IF($A350="","",IF(D349="","",D349*(1+B350)))</f>
        <v/>
      </c>
      <c r="E350" s="37">
        <f>IF($A350="","",MAX($D$5:D350))</f>
        <v/>
      </c>
      <c r="F350" s="25">
        <f>IF($A350="","",(E350-D350)/E350)</f>
        <v/>
      </c>
    </row>
    <row r="351">
      <c r="A351" s="23">
        <f>IF('05 Simple Returns'!A351="","",'05 Simple Returns'!A351)</f>
        <v/>
      </c>
      <c r="B351" s="25">
        <f>IF($A351="","",SUM(MMULT('05 Simple Returns'!B351:G351,'08 Optimisation'!$B$36:$B$41)))</f>
        <v/>
      </c>
      <c r="C351" s="25">
        <f>IF($A351="","",SUM(MMULT('06 Log Returns'!B351:G351,'08 Optimisation'!$B$36:$B$41)))</f>
        <v/>
      </c>
      <c r="D351" s="37">
        <f>IF($A351="","",IF(D350="","",D350*(1+B351)))</f>
        <v/>
      </c>
      <c r="E351" s="37">
        <f>IF($A351="","",MAX($D$5:D351))</f>
        <v/>
      </c>
      <c r="F351" s="25">
        <f>IF($A351="","",(E351-D351)/E351)</f>
        <v/>
      </c>
    </row>
    <row r="352">
      <c r="A352" s="23">
        <f>IF('05 Simple Returns'!A352="","",'05 Simple Returns'!A352)</f>
        <v/>
      </c>
      <c r="B352" s="25">
        <f>IF($A352="","",SUM(MMULT('05 Simple Returns'!B352:G352,'08 Optimisation'!$B$36:$B$41)))</f>
        <v/>
      </c>
      <c r="C352" s="25">
        <f>IF($A352="","",SUM(MMULT('06 Log Returns'!B352:G352,'08 Optimisation'!$B$36:$B$41)))</f>
        <v/>
      </c>
      <c r="D352" s="37">
        <f>IF($A352="","",IF(D351="","",D351*(1+B352)))</f>
        <v/>
      </c>
      <c r="E352" s="37">
        <f>IF($A352="","",MAX($D$5:D352))</f>
        <v/>
      </c>
      <c r="F352" s="25">
        <f>IF($A352="","",(E352-D352)/E352)</f>
        <v/>
      </c>
    </row>
    <row r="353">
      <c r="A353" s="23">
        <f>IF('05 Simple Returns'!A353="","",'05 Simple Returns'!A353)</f>
        <v/>
      </c>
      <c r="B353" s="25">
        <f>IF($A353="","",SUM(MMULT('05 Simple Returns'!B353:G353,'08 Optimisation'!$B$36:$B$41)))</f>
        <v/>
      </c>
      <c r="C353" s="25">
        <f>IF($A353="","",SUM(MMULT('06 Log Returns'!B353:G353,'08 Optimisation'!$B$36:$B$41)))</f>
        <v/>
      </c>
      <c r="D353" s="37">
        <f>IF($A353="","",IF(D352="","",D352*(1+B353)))</f>
        <v/>
      </c>
      <c r="E353" s="37">
        <f>IF($A353="","",MAX($D$5:D353))</f>
        <v/>
      </c>
      <c r="F353" s="25">
        <f>IF($A353="","",(E353-D353)/E353)</f>
        <v/>
      </c>
    </row>
    <row r="354">
      <c r="A354" s="23">
        <f>IF('05 Simple Returns'!A354="","",'05 Simple Returns'!A354)</f>
        <v/>
      </c>
      <c r="B354" s="25">
        <f>IF($A354="","",SUM(MMULT('05 Simple Returns'!B354:G354,'08 Optimisation'!$B$36:$B$41)))</f>
        <v/>
      </c>
      <c r="C354" s="25">
        <f>IF($A354="","",SUM(MMULT('06 Log Returns'!B354:G354,'08 Optimisation'!$B$36:$B$41)))</f>
        <v/>
      </c>
      <c r="D354" s="37">
        <f>IF($A354="","",IF(D353="","",D353*(1+B354)))</f>
        <v/>
      </c>
      <c r="E354" s="37">
        <f>IF($A354="","",MAX($D$5:D354))</f>
        <v/>
      </c>
      <c r="F354" s="25">
        <f>IF($A354="","",(E354-D354)/E354)</f>
        <v/>
      </c>
    </row>
    <row r="355">
      <c r="A355" s="23">
        <f>IF('05 Simple Returns'!A355="","",'05 Simple Returns'!A355)</f>
        <v/>
      </c>
      <c r="B355" s="25">
        <f>IF($A355="","",SUM(MMULT('05 Simple Returns'!B355:G355,'08 Optimisation'!$B$36:$B$41)))</f>
        <v/>
      </c>
      <c r="C355" s="25">
        <f>IF($A355="","",SUM(MMULT('06 Log Returns'!B355:G355,'08 Optimisation'!$B$36:$B$41)))</f>
        <v/>
      </c>
      <c r="D355" s="37">
        <f>IF($A355="","",IF(D354="","",D354*(1+B355)))</f>
        <v/>
      </c>
      <c r="E355" s="37">
        <f>IF($A355="","",MAX($D$5:D355))</f>
        <v/>
      </c>
      <c r="F355" s="25">
        <f>IF($A355="","",(E355-D355)/E355)</f>
        <v/>
      </c>
    </row>
    <row r="356">
      <c r="A356" s="23">
        <f>IF('05 Simple Returns'!A356="","",'05 Simple Returns'!A356)</f>
        <v/>
      </c>
      <c r="B356" s="25">
        <f>IF($A356="","",SUM(MMULT('05 Simple Returns'!B356:G356,'08 Optimisation'!$B$36:$B$41)))</f>
        <v/>
      </c>
      <c r="C356" s="25">
        <f>IF($A356="","",SUM(MMULT('06 Log Returns'!B356:G356,'08 Optimisation'!$B$36:$B$41)))</f>
        <v/>
      </c>
      <c r="D356" s="37">
        <f>IF($A356="","",IF(D355="","",D355*(1+B356)))</f>
        <v/>
      </c>
      <c r="E356" s="37">
        <f>IF($A356="","",MAX($D$5:D356))</f>
        <v/>
      </c>
      <c r="F356" s="25">
        <f>IF($A356="","",(E356-D356)/E356)</f>
        <v/>
      </c>
    </row>
    <row r="357">
      <c r="A357" s="23">
        <f>IF('05 Simple Returns'!A357="","",'05 Simple Returns'!A357)</f>
        <v/>
      </c>
      <c r="B357" s="25">
        <f>IF($A357="","",SUM(MMULT('05 Simple Returns'!B357:G357,'08 Optimisation'!$B$36:$B$41)))</f>
        <v/>
      </c>
      <c r="C357" s="25">
        <f>IF($A357="","",SUM(MMULT('06 Log Returns'!B357:G357,'08 Optimisation'!$B$36:$B$41)))</f>
        <v/>
      </c>
      <c r="D357" s="37">
        <f>IF($A357="","",IF(D356="","",D356*(1+B357)))</f>
        <v/>
      </c>
      <c r="E357" s="37">
        <f>IF($A357="","",MAX($D$5:D357))</f>
        <v/>
      </c>
      <c r="F357" s="25">
        <f>IF($A357="","",(E357-D357)/E357)</f>
        <v/>
      </c>
    </row>
    <row r="358">
      <c r="A358" s="23">
        <f>IF('05 Simple Returns'!A358="","",'05 Simple Returns'!A358)</f>
        <v/>
      </c>
      <c r="B358" s="25">
        <f>IF($A358="","",SUM(MMULT('05 Simple Returns'!B358:G358,'08 Optimisation'!$B$36:$B$41)))</f>
        <v/>
      </c>
      <c r="C358" s="25">
        <f>IF($A358="","",SUM(MMULT('06 Log Returns'!B358:G358,'08 Optimisation'!$B$36:$B$41)))</f>
        <v/>
      </c>
      <c r="D358" s="37">
        <f>IF($A358="","",IF(D357="","",D357*(1+B358)))</f>
        <v/>
      </c>
      <c r="E358" s="37">
        <f>IF($A358="","",MAX($D$5:D358))</f>
        <v/>
      </c>
      <c r="F358" s="25">
        <f>IF($A358="","",(E358-D358)/E358)</f>
        <v/>
      </c>
    </row>
    <row r="359">
      <c r="A359" s="23">
        <f>IF('05 Simple Returns'!A359="","",'05 Simple Returns'!A359)</f>
        <v/>
      </c>
      <c r="B359" s="25">
        <f>IF($A359="","",SUM(MMULT('05 Simple Returns'!B359:G359,'08 Optimisation'!$B$36:$B$41)))</f>
        <v/>
      </c>
      <c r="C359" s="25">
        <f>IF($A359="","",SUM(MMULT('06 Log Returns'!B359:G359,'08 Optimisation'!$B$36:$B$41)))</f>
        <v/>
      </c>
      <c r="D359" s="37">
        <f>IF($A359="","",IF(D358="","",D358*(1+B359)))</f>
        <v/>
      </c>
      <c r="E359" s="37">
        <f>IF($A359="","",MAX($D$5:D359))</f>
        <v/>
      </c>
      <c r="F359" s="25">
        <f>IF($A359="","",(E359-D359)/E359)</f>
        <v/>
      </c>
    </row>
    <row r="360">
      <c r="A360" s="23">
        <f>IF('05 Simple Returns'!A360="","",'05 Simple Returns'!A360)</f>
        <v/>
      </c>
      <c r="B360" s="25">
        <f>IF($A360="","",SUM(MMULT('05 Simple Returns'!B360:G360,'08 Optimisation'!$B$36:$B$41)))</f>
        <v/>
      </c>
      <c r="C360" s="25">
        <f>IF($A360="","",SUM(MMULT('06 Log Returns'!B360:G360,'08 Optimisation'!$B$36:$B$41)))</f>
        <v/>
      </c>
      <c r="D360" s="37">
        <f>IF($A360="","",IF(D359="","",D359*(1+B360)))</f>
        <v/>
      </c>
      <c r="E360" s="37">
        <f>IF($A360="","",MAX($D$5:D360))</f>
        <v/>
      </c>
      <c r="F360" s="25">
        <f>IF($A360="","",(E360-D360)/E360)</f>
        <v/>
      </c>
    </row>
    <row r="361">
      <c r="A361" s="23">
        <f>IF('05 Simple Returns'!A361="","",'05 Simple Returns'!A361)</f>
        <v/>
      </c>
      <c r="B361" s="25">
        <f>IF($A361="","",SUM(MMULT('05 Simple Returns'!B361:G361,'08 Optimisation'!$B$36:$B$41)))</f>
        <v/>
      </c>
      <c r="C361" s="25">
        <f>IF($A361="","",SUM(MMULT('06 Log Returns'!B361:G361,'08 Optimisation'!$B$36:$B$41)))</f>
        <v/>
      </c>
      <c r="D361" s="37">
        <f>IF($A361="","",IF(D360="","",D360*(1+B361)))</f>
        <v/>
      </c>
      <c r="E361" s="37">
        <f>IF($A361="","",MAX($D$5:D361))</f>
        <v/>
      </c>
      <c r="F361" s="25">
        <f>IF($A361="","",(E361-D361)/E361)</f>
        <v/>
      </c>
    </row>
    <row r="362">
      <c r="A362" s="23">
        <f>IF('05 Simple Returns'!A362="","",'05 Simple Returns'!A362)</f>
        <v/>
      </c>
      <c r="B362" s="25">
        <f>IF($A362="","",SUM(MMULT('05 Simple Returns'!B362:G362,'08 Optimisation'!$B$36:$B$41)))</f>
        <v/>
      </c>
      <c r="C362" s="25">
        <f>IF($A362="","",SUM(MMULT('06 Log Returns'!B362:G362,'08 Optimisation'!$B$36:$B$41)))</f>
        <v/>
      </c>
      <c r="D362" s="37">
        <f>IF($A362="","",IF(D361="","",D361*(1+B362)))</f>
        <v/>
      </c>
      <c r="E362" s="37">
        <f>IF($A362="","",MAX($D$5:D362))</f>
        <v/>
      </c>
      <c r="F362" s="25">
        <f>IF($A362="","",(E362-D362)/E362)</f>
        <v/>
      </c>
    </row>
    <row r="363">
      <c r="A363" s="23">
        <f>IF('05 Simple Returns'!A363="","",'05 Simple Returns'!A363)</f>
        <v/>
      </c>
      <c r="B363" s="25">
        <f>IF($A363="","",SUM(MMULT('05 Simple Returns'!B363:G363,'08 Optimisation'!$B$36:$B$41)))</f>
        <v/>
      </c>
      <c r="C363" s="25">
        <f>IF($A363="","",SUM(MMULT('06 Log Returns'!B363:G363,'08 Optimisation'!$B$36:$B$41)))</f>
        <v/>
      </c>
      <c r="D363" s="37">
        <f>IF($A363="","",IF(D362="","",D362*(1+B363)))</f>
        <v/>
      </c>
      <c r="E363" s="37">
        <f>IF($A363="","",MAX($D$5:D363))</f>
        <v/>
      </c>
      <c r="F363" s="25">
        <f>IF($A363="","",(E363-D363)/E363)</f>
        <v/>
      </c>
    </row>
    <row r="364">
      <c r="A364" s="23">
        <f>IF('05 Simple Returns'!A364="","",'05 Simple Returns'!A364)</f>
        <v/>
      </c>
      <c r="B364" s="25">
        <f>IF($A364="","",SUM(MMULT('05 Simple Returns'!B364:G364,'08 Optimisation'!$B$36:$B$41)))</f>
        <v/>
      </c>
      <c r="C364" s="25">
        <f>IF($A364="","",SUM(MMULT('06 Log Returns'!B364:G364,'08 Optimisation'!$B$36:$B$41)))</f>
        <v/>
      </c>
      <c r="D364" s="37">
        <f>IF($A364="","",IF(D363="","",D363*(1+B364)))</f>
        <v/>
      </c>
      <c r="E364" s="37">
        <f>IF($A364="","",MAX($D$5:D364))</f>
        <v/>
      </c>
      <c r="F364" s="25">
        <f>IF($A364="","",(E364-D364)/E364)</f>
        <v/>
      </c>
    </row>
    <row r="365">
      <c r="A365" s="23">
        <f>IF('05 Simple Returns'!A365="","",'05 Simple Returns'!A365)</f>
        <v/>
      </c>
      <c r="B365" s="25">
        <f>IF($A365="","",SUM(MMULT('05 Simple Returns'!B365:G365,'08 Optimisation'!$B$36:$B$41)))</f>
        <v/>
      </c>
      <c r="C365" s="25">
        <f>IF($A365="","",SUM(MMULT('06 Log Returns'!B365:G365,'08 Optimisation'!$B$36:$B$41)))</f>
        <v/>
      </c>
      <c r="D365" s="37">
        <f>IF($A365="","",IF(D364="","",D364*(1+B365)))</f>
        <v/>
      </c>
      <c r="E365" s="37">
        <f>IF($A365="","",MAX($D$5:D365))</f>
        <v/>
      </c>
      <c r="F365" s="25">
        <f>IF($A365="","",(E365-D365)/E365)</f>
        <v/>
      </c>
    </row>
    <row r="366">
      <c r="A366" s="23">
        <f>IF('05 Simple Returns'!A366="","",'05 Simple Returns'!A366)</f>
        <v/>
      </c>
      <c r="B366" s="25">
        <f>IF($A366="","",SUM(MMULT('05 Simple Returns'!B366:G366,'08 Optimisation'!$B$36:$B$41)))</f>
        <v/>
      </c>
      <c r="C366" s="25">
        <f>IF($A366="","",SUM(MMULT('06 Log Returns'!B366:G366,'08 Optimisation'!$B$36:$B$41)))</f>
        <v/>
      </c>
      <c r="D366" s="37">
        <f>IF($A366="","",IF(D365="","",D365*(1+B366)))</f>
        <v/>
      </c>
      <c r="E366" s="37">
        <f>IF($A366="","",MAX($D$5:D366))</f>
        <v/>
      </c>
      <c r="F366" s="25">
        <f>IF($A366="","",(E366-D366)/E366)</f>
        <v/>
      </c>
    </row>
    <row r="367">
      <c r="A367" s="23">
        <f>IF('05 Simple Returns'!A367="","",'05 Simple Returns'!A367)</f>
        <v/>
      </c>
      <c r="B367" s="25">
        <f>IF($A367="","",SUM(MMULT('05 Simple Returns'!B367:G367,'08 Optimisation'!$B$36:$B$41)))</f>
        <v/>
      </c>
      <c r="C367" s="25">
        <f>IF($A367="","",SUM(MMULT('06 Log Returns'!B367:G367,'08 Optimisation'!$B$36:$B$41)))</f>
        <v/>
      </c>
      <c r="D367" s="37">
        <f>IF($A367="","",IF(D366="","",D366*(1+B367)))</f>
        <v/>
      </c>
      <c r="E367" s="37">
        <f>IF($A367="","",MAX($D$5:D367))</f>
        <v/>
      </c>
      <c r="F367" s="25">
        <f>IF($A367="","",(E367-D367)/E367)</f>
        <v/>
      </c>
    </row>
    <row r="368">
      <c r="A368" s="23">
        <f>IF('05 Simple Returns'!A368="","",'05 Simple Returns'!A368)</f>
        <v/>
      </c>
      <c r="B368" s="25">
        <f>IF($A368="","",SUM(MMULT('05 Simple Returns'!B368:G368,'08 Optimisation'!$B$36:$B$41)))</f>
        <v/>
      </c>
      <c r="C368" s="25">
        <f>IF($A368="","",SUM(MMULT('06 Log Returns'!B368:G368,'08 Optimisation'!$B$36:$B$41)))</f>
        <v/>
      </c>
      <c r="D368" s="37">
        <f>IF($A368="","",IF(D367="","",D367*(1+B368)))</f>
        <v/>
      </c>
      <c r="E368" s="37">
        <f>IF($A368="","",MAX($D$5:D368))</f>
        <v/>
      </c>
      <c r="F368" s="25">
        <f>IF($A368="","",(E368-D368)/E368)</f>
        <v/>
      </c>
    </row>
    <row r="369">
      <c r="A369" s="23">
        <f>IF('05 Simple Returns'!A369="","",'05 Simple Returns'!A369)</f>
        <v/>
      </c>
      <c r="B369" s="25">
        <f>IF($A369="","",SUM(MMULT('05 Simple Returns'!B369:G369,'08 Optimisation'!$B$36:$B$41)))</f>
        <v/>
      </c>
      <c r="C369" s="25">
        <f>IF($A369="","",SUM(MMULT('06 Log Returns'!B369:G369,'08 Optimisation'!$B$36:$B$41)))</f>
        <v/>
      </c>
      <c r="D369" s="37">
        <f>IF($A369="","",IF(D368="","",D368*(1+B369)))</f>
        <v/>
      </c>
      <c r="E369" s="37">
        <f>IF($A369="","",MAX($D$5:D369))</f>
        <v/>
      </c>
      <c r="F369" s="25">
        <f>IF($A369="","",(E369-D369)/E369)</f>
        <v/>
      </c>
    </row>
    <row r="370">
      <c r="A370" s="23">
        <f>IF('05 Simple Returns'!A370="","",'05 Simple Returns'!A370)</f>
        <v/>
      </c>
      <c r="B370" s="25">
        <f>IF($A370="","",SUM(MMULT('05 Simple Returns'!B370:G370,'08 Optimisation'!$B$36:$B$41)))</f>
        <v/>
      </c>
      <c r="C370" s="25">
        <f>IF($A370="","",SUM(MMULT('06 Log Returns'!B370:G370,'08 Optimisation'!$B$36:$B$41)))</f>
        <v/>
      </c>
      <c r="D370" s="37">
        <f>IF($A370="","",IF(D369="","",D369*(1+B370)))</f>
        <v/>
      </c>
      <c r="E370" s="37">
        <f>IF($A370="","",MAX($D$5:D370))</f>
        <v/>
      </c>
      <c r="F370" s="25">
        <f>IF($A370="","",(E370-D370)/E370)</f>
        <v/>
      </c>
    </row>
    <row r="371">
      <c r="A371" s="23">
        <f>IF('05 Simple Returns'!A371="","",'05 Simple Returns'!A371)</f>
        <v/>
      </c>
      <c r="B371" s="25">
        <f>IF($A371="","",SUM(MMULT('05 Simple Returns'!B371:G371,'08 Optimisation'!$B$36:$B$41)))</f>
        <v/>
      </c>
      <c r="C371" s="25">
        <f>IF($A371="","",SUM(MMULT('06 Log Returns'!B371:G371,'08 Optimisation'!$B$36:$B$41)))</f>
        <v/>
      </c>
      <c r="D371" s="37">
        <f>IF($A371="","",IF(D370="","",D370*(1+B371)))</f>
        <v/>
      </c>
      <c r="E371" s="37">
        <f>IF($A371="","",MAX($D$5:D371))</f>
        <v/>
      </c>
      <c r="F371" s="25">
        <f>IF($A371="","",(E371-D371)/E371)</f>
        <v/>
      </c>
    </row>
    <row r="372">
      <c r="A372" s="23">
        <f>IF('05 Simple Returns'!A372="","",'05 Simple Returns'!A372)</f>
        <v/>
      </c>
      <c r="B372" s="25">
        <f>IF($A372="","",SUM(MMULT('05 Simple Returns'!B372:G372,'08 Optimisation'!$B$36:$B$41)))</f>
        <v/>
      </c>
      <c r="C372" s="25">
        <f>IF($A372="","",SUM(MMULT('06 Log Returns'!B372:G372,'08 Optimisation'!$B$36:$B$41)))</f>
        <v/>
      </c>
      <c r="D372" s="37">
        <f>IF($A372="","",IF(D371="","",D371*(1+B372)))</f>
        <v/>
      </c>
      <c r="E372" s="37">
        <f>IF($A372="","",MAX($D$5:D372))</f>
        <v/>
      </c>
      <c r="F372" s="25">
        <f>IF($A372="","",(E372-D372)/E372)</f>
        <v/>
      </c>
    </row>
    <row r="373">
      <c r="A373" s="23">
        <f>IF('05 Simple Returns'!A373="","",'05 Simple Returns'!A373)</f>
        <v/>
      </c>
      <c r="B373" s="25">
        <f>IF($A373="","",SUM(MMULT('05 Simple Returns'!B373:G373,'08 Optimisation'!$B$36:$B$41)))</f>
        <v/>
      </c>
      <c r="C373" s="25">
        <f>IF($A373="","",SUM(MMULT('06 Log Returns'!B373:G373,'08 Optimisation'!$B$36:$B$41)))</f>
        <v/>
      </c>
      <c r="D373" s="37">
        <f>IF($A373="","",IF(D372="","",D372*(1+B373)))</f>
        <v/>
      </c>
      <c r="E373" s="37">
        <f>IF($A373="","",MAX($D$5:D373))</f>
        <v/>
      </c>
      <c r="F373" s="25">
        <f>IF($A373="","",(E373-D373)/E373)</f>
        <v/>
      </c>
    </row>
    <row r="374">
      <c r="A374" s="23">
        <f>IF('05 Simple Returns'!A374="","",'05 Simple Returns'!A374)</f>
        <v/>
      </c>
      <c r="B374" s="25">
        <f>IF($A374="","",SUM(MMULT('05 Simple Returns'!B374:G374,'08 Optimisation'!$B$36:$B$41)))</f>
        <v/>
      </c>
      <c r="C374" s="25">
        <f>IF($A374="","",SUM(MMULT('06 Log Returns'!B374:G374,'08 Optimisation'!$B$36:$B$41)))</f>
        <v/>
      </c>
      <c r="D374" s="37">
        <f>IF($A374="","",IF(D373="","",D373*(1+B374)))</f>
        <v/>
      </c>
      <c r="E374" s="37">
        <f>IF($A374="","",MAX($D$5:D374))</f>
        <v/>
      </c>
      <c r="F374" s="25">
        <f>IF($A374="","",(E374-D374)/E374)</f>
        <v/>
      </c>
    </row>
    <row r="375">
      <c r="A375" s="23">
        <f>IF('05 Simple Returns'!A375="","",'05 Simple Returns'!A375)</f>
        <v/>
      </c>
      <c r="B375" s="25">
        <f>IF($A375="","",SUM(MMULT('05 Simple Returns'!B375:G375,'08 Optimisation'!$B$36:$B$41)))</f>
        <v/>
      </c>
      <c r="C375" s="25">
        <f>IF($A375="","",SUM(MMULT('06 Log Returns'!B375:G375,'08 Optimisation'!$B$36:$B$41)))</f>
        <v/>
      </c>
      <c r="D375" s="37">
        <f>IF($A375="","",IF(D374="","",D374*(1+B375)))</f>
        <v/>
      </c>
      <c r="E375" s="37">
        <f>IF($A375="","",MAX($D$5:D375))</f>
        <v/>
      </c>
      <c r="F375" s="25">
        <f>IF($A375="","",(E375-D375)/E375)</f>
        <v/>
      </c>
    </row>
    <row r="376">
      <c r="A376" s="23">
        <f>IF('05 Simple Returns'!A376="","",'05 Simple Returns'!A376)</f>
        <v/>
      </c>
      <c r="B376" s="25">
        <f>IF($A376="","",SUM(MMULT('05 Simple Returns'!B376:G376,'08 Optimisation'!$B$36:$B$41)))</f>
        <v/>
      </c>
      <c r="C376" s="25">
        <f>IF($A376="","",SUM(MMULT('06 Log Returns'!B376:G376,'08 Optimisation'!$B$36:$B$41)))</f>
        <v/>
      </c>
      <c r="D376" s="37">
        <f>IF($A376="","",IF(D375="","",D375*(1+B376)))</f>
        <v/>
      </c>
      <c r="E376" s="37">
        <f>IF($A376="","",MAX($D$5:D376))</f>
        <v/>
      </c>
      <c r="F376" s="25">
        <f>IF($A376="","",(E376-D376)/E376)</f>
        <v/>
      </c>
    </row>
    <row r="377">
      <c r="A377" s="23">
        <f>IF('05 Simple Returns'!A377="","",'05 Simple Returns'!A377)</f>
        <v/>
      </c>
      <c r="B377" s="25">
        <f>IF($A377="","",SUM(MMULT('05 Simple Returns'!B377:G377,'08 Optimisation'!$B$36:$B$41)))</f>
        <v/>
      </c>
      <c r="C377" s="25">
        <f>IF($A377="","",SUM(MMULT('06 Log Returns'!B377:G377,'08 Optimisation'!$B$36:$B$41)))</f>
        <v/>
      </c>
      <c r="D377" s="37">
        <f>IF($A377="","",IF(D376="","",D376*(1+B377)))</f>
        <v/>
      </c>
      <c r="E377" s="37">
        <f>IF($A377="","",MAX($D$5:D377))</f>
        <v/>
      </c>
      <c r="F377" s="25">
        <f>IF($A377="","",(E377-D377)/E377)</f>
        <v/>
      </c>
    </row>
    <row r="378">
      <c r="A378" s="23">
        <f>IF('05 Simple Returns'!A378="","",'05 Simple Returns'!A378)</f>
        <v/>
      </c>
      <c r="B378" s="25">
        <f>IF($A378="","",SUM(MMULT('05 Simple Returns'!B378:G378,'08 Optimisation'!$B$36:$B$41)))</f>
        <v/>
      </c>
      <c r="C378" s="25">
        <f>IF($A378="","",SUM(MMULT('06 Log Returns'!B378:G378,'08 Optimisation'!$B$36:$B$41)))</f>
        <v/>
      </c>
      <c r="D378" s="37">
        <f>IF($A378="","",IF(D377="","",D377*(1+B378)))</f>
        <v/>
      </c>
      <c r="E378" s="37">
        <f>IF($A378="","",MAX($D$5:D378))</f>
        <v/>
      </c>
      <c r="F378" s="25">
        <f>IF($A378="","",(E378-D378)/E378)</f>
        <v/>
      </c>
    </row>
    <row r="379">
      <c r="A379" s="23">
        <f>IF('05 Simple Returns'!A379="","",'05 Simple Returns'!A379)</f>
        <v/>
      </c>
      <c r="B379" s="25">
        <f>IF($A379="","",SUM(MMULT('05 Simple Returns'!B379:G379,'08 Optimisation'!$B$36:$B$41)))</f>
        <v/>
      </c>
      <c r="C379" s="25">
        <f>IF($A379="","",SUM(MMULT('06 Log Returns'!B379:G379,'08 Optimisation'!$B$36:$B$41)))</f>
        <v/>
      </c>
      <c r="D379" s="37">
        <f>IF($A379="","",IF(D378="","",D378*(1+B379)))</f>
        <v/>
      </c>
      <c r="E379" s="37">
        <f>IF($A379="","",MAX($D$5:D379))</f>
        <v/>
      </c>
      <c r="F379" s="25">
        <f>IF($A379="","",(E379-D379)/E379)</f>
        <v/>
      </c>
    </row>
    <row r="380">
      <c r="A380" s="23">
        <f>IF('05 Simple Returns'!A380="","",'05 Simple Returns'!A380)</f>
        <v/>
      </c>
      <c r="B380" s="25">
        <f>IF($A380="","",SUM(MMULT('05 Simple Returns'!B380:G380,'08 Optimisation'!$B$36:$B$41)))</f>
        <v/>
      </c>
      <c r="C380" s="25">
        <f>IF($A380="","",SUM(MMULT('06 Log Returns'!B380:G380,'08 Optimisation'!$B$36:$B$41)))</f>
        <v/>
      </c>
      <c r="D380" s="37">
        <f>IF($A380="","",IF(D379="","",D379*(1+B380)))</f>
        <v/>
      </c>
      <c r="E380" s="37">
        <f>IF($A380="","",MAX($D$5:D380))</f>
        <v/>
      </c>
      <c r="F380" s="25">
        <f>IF($A380="","",(E380-D380)/E380)</f>
        <v/>
      </c>
    </row>
    <row r="381">
      <c r="A381" s="23">
        <f>IF('05 Simple Returns'!A381="","",'05 Simple Returns'!A381)</f>
        <v/>
      </c>
      <c r="B381" s="25">
        <f>IF($A381="","",SUM(MMULT('05 Simple Returns'!B381:G381,'08 Optimisation'!$B$36:$B$41)))</f>
        <v/>
      </c>
      <c r="C381" s="25">
        <f>IF($A381="","",SUM(MMULT('06 Log Returns'!B381:G381,'08 Optimisation'!$B$36:$B$41)))</f>
        <v/>
      </c>
      <c r="D381" s="37">
        <f>IF($A381="","",IF(D380="","",D380*(1+B381)))</f>
        <v/>
      </c>
      <c r="E381" s="37">
        <f>IF($A381="","",MAX($D$5:D381))</f>
        <v/>
      </c>
      <c r="F381" s="25">
        <f>IF($A381="","",(E381-D381)/E381)</f>
        <v/>
      </c>
    </row>
    <row r="382">
      <c r="A382" s="23">
        <f>IF('05 Simple Returns'!A382="","",'05 Simple Returns'!A382)</f>
        <v/>
      </c>
      <c r="B382" s="25">
        <f>IF($A382="","",SUM(MMULT('05 Simple Returns'!B382:G382,'08 Optimisation'!$B$36:$B$41)))</f>
        <v/>
      </c>
      <c r="C382" s="25">
        <f>IF($A382="","",SUM(MMULT('06 Log Returns'!B382:G382,'08 Optimisation'!$B$36:$B$41)))</f>
        <v/>
      </c>
      <c r="D382" s="37">
        <f>IF($A382="","",IF(D381="","",D381*(1+B382)))</f>
        <v/>
      </c>
      <c r="E382" s="37">
        <f>IF($A382="","",MAX($D$5:D382))</f>
        <v/>
      </c>
      <c r="F382" s="25">
        <f>IF($A382="","",(E382-D382)/E382)</f>
        <v/>
      </c>
    </row>
    <row r="383">
      <c r="A383" s="23">
        <f>IF('05 Simple Returns'!A383="","",'05 Simple Returns'!A383)</f>
        <v/>
      </c>
      <c r="B383" s="25">
        <f>IF($A383="","",SUM(MMULT('05 Simple Returns'!B383:G383,'08 Optimisation'!$B$36:$B$41)))</f>
        <v/>
      </c>
      <c r="C383" s="25">
        <f>IF($A383="","",SUM(MMULT('06 Log Returns'!B383:G383,'08 Optimisation'!$B$36:$B$41)))</f>
        <v/>
      </c>
      <c r="D383" s="37">
        <f>IF($A383="","",IF(D382="","",D382*(1+B383)))</f>
        <v/>
      </c>
      <c r="E383" s="37">
        <f>IF($A383="","",MAX($D$5:D383))</f>
        <v/>
      </c>
      <c r="F383" s="25">
        <f>IF($A383="","",(E383-D383)/E383)</f>
        <v/>
      </c>
    </row>
    <row r="384">
      <c r="A384" s="23">
        <f>IF('05 Simple Returns'!A384="","",'05 Simple Returns'!A384)</f>
        <v/>
      </c>
      <c r="B384" s="25">
        <f>IF($A384="","",SUM(MMULT('05 Simple Returns'!B384:G384,'08 Optimisation'!$B$36:$B$41)))</f>
        <v/>
      </c>
      <c r="C384" s="25">
        <f>IF($A384="","",SUM(MMULT('06 Log Returns'!B384:G384,'08 Optimisation'!$B$36:$B$41)))</f>
        <v/>
      </c>
      <c r="D384" s="37">
        <f>IF($A384="","",IF(D383="","",D383*(1+B384)))</f>
        <v/>
      </c>
      <c r="E384" s="37">
        <f>IF($A384="","",MAX($D$5:D384))</f>
        <v/>
      </c>
      <c r="F384" s="25">
        <f>IF($A384="","",(E384-D384)/E384)</f>
        <v/>
      </c>
    </row>
    <row r="385">
      <c r="A385" s="23">
        <f>IF('05 Simple Returns'!A385="","",'05 Simple Returns'!A385)</f>
        <v/>
      </c>
      <c r="B385" s="25">
        <f>IF($A385="","",SUM(MMULT('05 Simple Returns'!B385:G385,'08 Optimisation'!$B$36:$B$41)))</f>
        <v/>
      </c>
      <c r="C385" s="25">
        <f>IF($A385="","",SUM(MMULT('06 Log Returns'!B385:G385,'08 Optimisation'!$B$36:$B$41)))</f>
        <v/>
      </c>
      <c r="D385" s="37">
        <f>IF($A385="","",IF(D384="","",D384*(1+B385)))</f>
        <v/>
      </c>
      <c r="E385" s="37">
        <f>IF($A385="","",MAX($D$5:D385))</f>
        <v/>
      </c>
      <c r="F385" s="25">
        <f>IF($A385="","",(E385-D385)/E385)</f>
        <v/>
      </c>
    </row>
    <row r="386">
      <c r="A386" s="23">
        <f>IF('05 Simple Returns'!A386="","",'05 Simple Returns'!A386)</f>
        <v/>
      </c>
      <c r="B386" s="25">
        <f>IF($A386="","",SUM(MMULT('05 Simple Returns'!B386:G386,'08 Optimisation'!$B$36:$B$41)))</f>
        <v/>
      </c>
      <c r="C386" s="25">
        <f>IF($A386="","",SUM(MMULT('06 Log Returns'!B386:G386,'08 Optimisation'!$B$36:$B$41)))</f>
        <v/>
      </c>
      <c r="D386" s="37">
        <f>IF($A386="","",IF(D385="","",D385*(1+B386)))</f>
        <v/>
      </c>
      <c r="E386" s="37">
        <f>IF($A386="","",MAX($D$5:D386))</f>
        <v/>
      </c>
      <c r="F386" s="25">
        <f>IF($A386="","",(E386-D386)/E386)</f>
        <v/>
      </c>
    </row>
    <row r="387">
      <c r="A387" s="23">
        <f>IF('05 Simple Returns'!A387="","",'05 Simple Returns'!A387)</f>
        <v/>
      </c>
      <c r="B387" s="25">
        <f>IF($A387="","",SUM(MMULT('05 Simple Returns'!B387:G387,'08 Optimisation'!$B$36:$B$41)))</f>
        <v/>
      </c>
      <c r="C387" s="25">
        <f>IF($A387="","",SUM(MMULT('06 Log Returns'!B387:G387,'08 Optimisation'!$B$36:$B$41)))</f>
        <v/>
      </c>
      <c r="D387" s="37">
        <f>IF($A387="","",IF(D386="","",D386*(1+B387)))</f>
        <v/>
      </c>
      <c r="E387" s="37">
        <f>IF($A387="","",MAX($D$5:D387))</f>
        <v/>
      </c>
      <c r="F387" s="25">
        <f>IF($A387="","",(E387-D387)/E387)</f>
        <v/>
      </c>
    </row>
    <row r="388">
      <c r="A388" s="23">
        <f>IF('05 Simple Returns'!A388="","",'05 Simple Returns'!A388)</f>
        <v/>
      </c>
      <c r="B388" s="25">
        <f>IF($A388="","",SUM(MMULT('05 Simple Returns'!B388:G388,'08 Optimisation'!$B$36:$B$41)))</f>
        <v/>
      </c>
      <c r="C388" s="25">
        <f>IF($A388="","",SUM(MMULT('06 Log Returns'!B388:G388,'08 Optimisation'!$B$36:$B$41)))</f>
        <v/>
      </c>
      <c r="D388" s="37">
        <f>IF($A388="","",IF(D387="","",D387*(1+B388)))</f>
        <v/>
      </c>
      <c r="E388" s="37">
        <f>IF($A388="","",MAX($D$5:D388))</f>
        <v/>
      </c>
      <c r="F388" s="25">
        <f>IF($A388="","",(E388-D388)/E388)</f>
        <v/>
      </c>
    </row>
    <row r="389">
      <c r="A389" s="23">
        <f>IF('05 Simple Returns'!A389="","",'05 Simple Returns'!A389)</f>
        <v/>
      </c>
      <c r="B389" s="25">
        <f>IF($A389="","",SUM(MMULT('05 Simple Returns'!B389:G389,'08 Optimisation'!$B$36:$B$41)))</f>
        <v/>
      </c>
      <c r="C389" s="25">
        <f>IF($A389="","",SUM(MMULT('06 Log Returns'!B389:G389,'08 Optimisation'!$B$36:$B$41)))</f>
        <v/>
      </c>
      <c r="D389" s="37">
        <f>IF($A389="","",IF(D388="","",D388*(1+B389)))</f>
        <v/>
      </c>
      <c r="E389" s="37">
        <f>IF($A389="","",MAX($D$5:D389))</f>
        <v/>
      </c>
      <c r="F389" s="25">
        <f>IF($A389="","",(E389-D389)/E389)</f>
        <v/>
      </c>
    </row>
    <row r="390">
      <c r="A390" s="23">
        <f>IF('05 Simple Returns'!A390="","",'05 Simple Returns'!A390)</f>
        <v/>
      </c>
      <c r="B390" s="25">
        <f>IF($A390="","",SUM(MMULT('05 Simple Returns'!B390:G390,'08 Optimisation'!$B$36:$B$41)))</f>
        <v/>
      </c>
      <c r="C390" s="25">
        <f>IF($A390="","",SUM(MMULT('06 Log Returns'!B390:G390,'08 Optimisation'!$B$36:$B$41)))</f>
        <v/>
      </c>
      <c r="D390" s="37">
        <f>IF($A390="","",IF(D389="","",D389*(1+B390)))</f>
        <v/>
      </c>
      <c r="E390" s="37">
        <f>IF($A390="","",MAX($D$5:D390))</f>
        <v/>
      </c>
      <c r="F390" s="25">
        <f>IF($A390="","",(E390-D390)/E390)</f>
        <v/>
      </c>
    </row>
    <row r="391">
      <c r="A391" s="23">
        <f>IF('05 Simple Returns'!A391="","",'05 Simple Returns'!A391)</f>
        <v/>
      </c>
      <c r="B391" s="25">
        <f>IF($A391="","",SUM(MMULT('05 Simple Returns'!B391:G391,'08 Optimisation'!$B$36:$B$41)))</f>
        <v/>
      </c>
      <c r="C391" s="25">
        <f>IF($A391="","",SUM(MMULT('06 Log Returns'!B391:G391,'08 Optimisation'!$B$36:$B$41)))</f>
        <v/>
      </c>
      <c r="D391" s="37">
        <f>IF($A391="","",IF(D390="","",D390*(1+B391)))</f>
        <v/>
      </c>
      <c r="E391" s="37">
        <f>IF($A391="","",MAX($D$5:D391))</f>
        <v/>
      </c>
      <c r="F391" s="25">
        <f>IF($A391="","",(E391-D391)/E391)</f>
        <v/>
      </c>
    </row>
    <row r="392">
      <c r="A392" s="23">
        <f>IF('05 Simple Returns'!A392="","",'05 Simple Returns'!A392)</f>
        <v/>
      </c>
      <c r="B392" s="25">
        <f>IF($A392="","",SUM(MMULT('05 Simple Returns'!B392:G392,'08 Optimisation'!$B$36:$B$41)))</f>
        <v/>
      </c>
      <c r="C392" s="25">
        <f>IF($A392="","",SUM(MMULT('06 Log Returns'!B392:G392,'08 Optimisation'!$B$36:$B$41)))</f>
        <v/>
      </c>
      <c r="D392" s="37">
        <f>IF($A392="","",IF(D391="","",D391*(1+B392)))</f>
        <v/>
      </c>
      <c r="E392" s="37">
        <f>IF($A392="","",MAX($D$5:D392))</f>
        <v/>
      </c>
      <c r="F392" s="25">
        <f>IF($A392="","",(E392-D392)/E392)</f>
        <v/>
      </c>
    </row>
    <row r="393">
      <c r="A393" s="23">
        <f>IF('05 Simple Returns'!A393="","",'05 Simple Returns'!A393)</f>
        <v/>
      </c>
      <c r="B393" s="25">
        <f>IF($A393="","",SUM(MMULT('05 Simple Returns'!B393:G393,'08 Optimisation'!$B$36:$B$41)))</f>
        <v/>
      </c>
      <c r="C393" s="25">
        <f>IF($A393="","",SUM(MMULT('06 Log Returns'!B393:G393,'08 Optimisation'!$B$36:$B$41)))</f>
        <v/>
      </c>
      <c r="D393" s="37">
        <f>IF($A393="","",IF(D392="","",D392*(1+B393)))</f>
        <v/>
      </c>
      <c r="E393" s="37">
        <f>IF($A393="","",MAX($D$5:D393))</f>
        <v/>
      </c>
      <c r="F393" s="25">
        <f>IF($A393="","",(E393-D393)/E393)</f>
        <v/>
      </c>
    </row>
    <row r="394">
      <c r="A394" s="23">
        <f>IF('05 Simple Returns'!A394="","",'05 Simple Returns'!A394)</f>
        <v/>
      </c>
      <c r="B394" s="25">
        <f>IF($A394="","",SUM(MMULT('05 Simple Returns'!B394:G394,'08 Optimisation'!$B$36:$B$41)))</f>
        <v/>
      </c>
      <c r="C394" s="25">
        <f>IF($A394="","",SUM(MMULT('06 Log Returns'!B394:G394,'08 Optimisation'!$B$36:$B$41)))</f>
        <v/>
      </c>
      <c r="D394" s="37">
        <f>IF($A394="","",IF(D393="","",D393*(1+B394)))</f>
        <v/>
      </c>
      <c r="E394" s="37">
        <f>IF($A394="","",MAX($D$5:D394))</f>
        <v/>
      </c>
      <c r="F394" s="25">
        <f>IF($A394="","",(E394-D394)/E394)</f>
        <v/>
      </c>
    </row>
    <row r="395">
      <c r="A395" s="23">
        <f>IF('05 Simple Returns'!A395="","",'05 Simple Returns'!A395)</f>
        <v/>
      </c>
      <c r="B395" s="25">
        <f>IF($A395="","",SUM(MMULT('05 Simple Returns'!B395:G395,'08 Optimisation'!$B$36:$B$41)))</f>
        <v/>
      </c>
      <c r="C395" s="25">
        <f>IF($A395="","",SUM(MMULT('06 Log Returns'!B395:G395,'08 Optimisation'!$B$36:$B$41)))</f>
        <v/>
      </c>
      <c r="D395" s="37">
        <f>IF($A395="","",IF(D394="","",D394*(1+B395)))</f>
        <v/>
      </c>
      <c r="E395" s="37">
        <f>IF($A395="","",MAX($D$5:D395))</f>
        <v/>
      </c>
      <c r="F395" s="25">
        <f>IF($A395="","",(E395-D395)/E395)</f>
        <v/>
      </c>
    </row>
    <row r="396">
      <c r="A396" s="23">
        <f>IF('05 Simple Returns'!A396="","",'05 Simple Returns'!A396)</f>
        <v/>
      </c>
      <c r="B396" s="25">
        <f>IF($A396="","",SUM(MMULT('05 Simple Returns'!B396:G396,'08 Optimisation'!$B$36:$B$41)))</f>
        <v/>
      </c>
      <c r="C396" s="25">
        <f>IF($A396="","",SUM(MMULT('06 Log Returns'!B396:G396,'08 Optimisation'!$B$36:$B$41)))</f>
        <v/>
      </c>
      <c r="D396" s="37">
        <f>IF($A396="","",IF(D395="","",D395*(1+B396)))</f>
        <v/>
      </c>
      <c r="E396" s="37">
        <f>IF($A396="","",MAX($D$5:D396))</f>
        <v/>
      </c>
      <c r="F396" s="25">
        <f>IF($A396="","",(E396-D396)/E396)</f>
        <v/>
      </c>
    </row>
    <row r="397">
      <c r="A397" s="23">
        <f>IF('05 Simple Returns'!A397="","",'05 Simple Returns'!A397)</f>
        <v/>
      </c>
      <c r="B397" s="25">
        <f>IF($A397="","",SUM(MMULT('05 Simple Returns'!B397:G397,'08 Optimisation'!$B$36:$B$41)))</f>
        <v/>
      </c>
      <c r="C397" s="25">
        <f>IF($A397="","",SUM(MMULT('06 Log Returns'!B397:G397,'08 Optimisation'!$B$36:$B$41)))</f>
        <v/>
      </c>
      <c r="D397" s="37">
        <f>IF($A397="","",IF(D396="","",D396*(1+B397)))</f>
        <v/>
      </c>
      <c r="E397" s="37">
        <f>IF($A397="","",MAX($D$5:D397))</f>
        <v/>
      </c>
      <c r="F397" s="25">
        <f>IF($A397="","",(E397-D397)/E397)</f>
        <v/>
      </c>
    </row>
    <row r="398">
      <c r="A398" s="23">
        <f>IF('05 Simple Returns'!A398="","",'05 Simple Returns'!A398)</f>
        <v/>
      </c>
      <c r="B398" s="25">
        <f>IF($A398="","",SUM(MMULT('05 Simple Returns'!B398:G398,'08 Optimisation'!$B$36:$B$41)))</f>
        <v/>
      </c>
      <c r="C398" s="25">
        <f>IF($A398="","",SUM(MMULT('06 Log Returns'!B398:G398,'08 Optimisation'!$B$36:$B$41)))</f>
        <v/>
      </c>
      <c r="D398" s="37">
        <f>IF($A398="","",IF(D397="","",D397*(1+B398)))</f>
        <v/>
      </c>
      <c r="E398" s="37">
        <f>IF($A398="","",MAX($D$5:D398))</f>
        <v/>
      </c>
      <c r="F398" s="25">
        <f>IF($A398="","",(E398-D398)/E398)</f>
        <v/>
      </c>
    </row>
    <row r="399">
      <c r="A399" s="23">
        <f>IF('05 Simple Returns'!A399="","",'05 Simple Returns'!A399)</f>
        <v/>
      </c>
      <c r="B399" s="25">
        <f>IF($A399="","",SUM(MMULT('05 Simple Returns'!B399:G399,'08 Optimisation'!$B$36:$B$41)))</f>
        <v/>
      </c>
      <c r="C399" s="25">
        <f>IF($A399="","",SUM(MMULT('06 Log Returns'!B399:G399,'08 Optimisation'!$B$36:$B$41)))</f>
        <v/>
      </c>
      <c r="D399" s="37">
        <f>IF($A399="","",IF(D398="","",D398*(1+B399)))</f>
        <v/>
      </c>
      <c r="E399" s="37">
        <f>IF($A399="","",MAX($D$5:D399))</f>
        <v/>
      </c>
      <c r="F399" s="25">
        <f>IF($A399="","",(E399-D399)/E399)</f>
        <v/>
      </c>
    </row>
    <row r="400">
      <c r="A400" s="23">
        <f>IF('05 Simple Returns'!A400="","",'05 Simple Returns'!A400)</f>
        <v/>
      </c>
      <c r="B400" s="25">
        <f>IF($A400="","",SUM(MMULT('05 Simple Returns'!B400:G400,'08 Optimisation'!$B$36:$B$41)))</f>
        <v/>
      </c>
      <c r="C400" s="25">
        <f>IF($A400="","",SUM(MMULT('06 Log Returns'!B400:G400,'08 Optimisation'!$B$36:$B$41)))</f>
        <v/>
      </c>
      <c r="D400" s="37">
        <f>IF($A400="","",IF(D399="","",D399*(1+B400)))</f>
        <v/>
      </c>
      <c r="E400" s="37">
        <f>IF($A400="","",MAX($D$5:D400))</f>
        <v/>
      </c>
      <c r="F400" s="25">
        <f>IF($A400="","",(E400-D400)/E400)</f>
        <v/>
      </c>
    </row>
    <row r="401">
      <c r="A401" s="23">
        <f>IF('05 Simple Returns'!A401="","",'05 Simple Returns'!A401)</f>
        <v/>
      </c>
      <c r="B401" s="25">
        <f>IF($A401="","",SUM(MMULT('05 Simple Returns'!B401:G401,'08 Optimisation'!$B$36:$B$41)))</f>
        <v/>
      </c>
      <c r="C401" s="25">
        <f>IF($A401="","",SUM(MMULT('06 Log Returns'!B401:G401,'08 Optimisation'!$B$36:$B$41)))</f>
        <v/>
      </c>
      <c r="D401" s="37">
        <f>IF($A401="","",IF(D400="","",D400*(1+B401)))</f>
        <v/>
      </c>
      <c r="E401" s="37">
        <f>IF($A401="","",MAX($D$5:D401))</f>
        <v/>
      </c>
      <c r="F401" s="25">
        <f>IF($A401="","",(E401-D401)/E401)</f>
        <v/>
      </c>
    </row>
    <row r="402">
      <c r="A402" s="23">
        <f>IF('05 Simple Returns'!A402="","",'05 Simple Returns'!A402)</f>
        <v/>
      </c>
      <c r="B402" s="25">
        <f>IF($A402="","",SUM(MMULT('05 Simple Returns'!B402:G402,'08 Optimisation'!$B$36:$B$41)))</f>
        <v/>
      </c>
      <c r="C402" s="25">
        <f>IF($A402="","",SUM(MMULT('06 Log Returns'!B402:G402,'08 Optimisation'!$B$36:$B$41)))</f>
        <v/>
      </c>
      <c r="D402" s="37">
        <f>IF($A402="","",IF(D401="","",D401*(1+B402)))</f>
        <v/>
      </c>
      <c r="E402" s="37">
        <f>IF($A402="","",MAX($D$5:D402))</f>
        <v/>
      </c>
      <c r="F402" s="25">
        <f>IF($A402="","",(E402-D402)/E402)</f>
        <v/>
      </c>
    </row>
    <row r="403">
      <c r="A403" s="23">
        <f>IF('05 Simple Returns'!A403="","",'05 Simple Returns'!A403)</f>
        <v/>
      </c>
      <c r="B403" s="25">
        <f>IF($A403="","",SUM(MMULT('05 Simple Returns'!B403:G403,'08 Optimisation'!$B$36:$B$41)))</f>
        <v/>
      </c>
      <c r="C403" s="25">
        <f>IF($A403="","",SUM(MMULT('06 Log Returns'!B403:G403,'08 Optimisation'!$B$36:$B$41)))</f>
        <v/>
      </c>
      <c r="D403" s="37">
        <f>IF($A403="","",IF(D402="","",D402*(1+B403)))</f>
        <v/>
      </c>
      <c r="E403" s="37">
        <f>IF($A403="","",MAX($D$5:D403))</f>
        <v/>
      </c>
      <c r="F403" s="25">
        <f>IF($A403="","",(E403-D403)/E403)</f>
        <v/>
      </c>
    </row>
    <row r="404">
      <c r="A404" s="23">
        <f>IF('05 Simple Returns'!A404="","",'05 Simple Returns'!A404)</f>
        <v/>
      </c>
      <c r="B404" s="25">
        <f>IF($A404="","",SUM(MMULT('05 Simple Returns'!B404:G404,'08 Optimisation'!$B$36:$B$41)))</f>
        <v/>
      </c>
      <c r="C404" s="25">
        <f>IF($A404="","",SUM(MMULT('06 Log Returns'!B404:G404,'08 Optimisation'!$B$36:$B$41)))</f>
        <v/>
      </c>
      <c r="D404" s="37">
        <f>IF($A404="","",IF(D403="","",D403*(1+B404)))</f>
        <v/>
      </c>
      <c r="E404" s="37">
        <f>IF($A404="","",MAX($D$5:D404))</f>
        <v/>
      </c>
      <c r="F404" s="25">
        <f>IF($A404="","",(E404-D404)/E404)</f>
        <v/>
      </c>
    </row>
    <row r="405">
      <c r="A405" s="23">
        <f>IF('05 Simple Returns'!A405="","",'05 Simple Returns'!A405)</f>
        <v/>
      </c>
      <c r="B405" s="25">
        <f>IF($A405="","",SUM(MMULT('05 Simple Returns'!B405:G405,'08 Optimisation'!$B$36:$B$41)))</f>
        <v/>
      </c>
      <c r="C405" s="25">
        <f>IF($A405="","",SUM(MMULT('06 Log Returns'!B405:G405,'08 Optimisation'!$B$36:$B$41)))</f>
        <v/>
      </c>
      <c r="D405" s="37">
        <f>IF($A405="","",IF(D404="","",D404*(1+B405)))</f>
        <v/>
      </c>
      <c r="E405" s="37">
        <f>IF($A405="","",MAX($D$5:D405))</f>
        <v/>
      </c>
      <c r="F405" s="25">
        <f>IF($A405="","",(E405-D405)/E405)</f>
        <v/>
      </c>
    </row>
    <row r="406">
      <c r="A406" s="23">
        <f>IF('05 Simple Returns'!A406="","",'05 Simple Returns'!A406)</f>
        <v/>
      </c>
      <c r="B406" s="25">
        <f>IF($A406="","",SUM(MMULT('05 Simple Returns'!B406:G406,'08 Optimisation'!$B$36:$B$41)))</f>
        <v/>
      </c>
      <c r="C406" s="25">
        <f>IF($A406="","",SUM(MMULT('06 Log Returns'!B406:G406,'08 Optimisation'!$B$36:$B$41)))</f>
        <v/>
      </c>
      <c r="D406" s="37">
        <f>IF($A406="","",IF(D405="","",D405*(1+B406)))</f>
        <v/>
      </c>
      <c r="E406" s="37">
        <f>IF($A406="","",MAX($D$5:D406))</f>
        <v/>
      </c>
      <c r="F406" s="25">
        <f>IF($A406="","",(E406-D406)/E406)</f>
        <v/>
      </c>
    </row>
    <row r="407">
      <c r="A407" s="23">
        <f>IF('05 Simple Returns'!A407="","",'05 Simple Returns'!A407)</f>
        <v/>
      </c>
      <c r="B407" s="25">
        <f>IF($A407="","",SUM(MMULT('05 Simple Returns'!B407:G407,'08 Optimisation'!$B$36:$B$41)))</f>
        <v/>
      </c>
      <c r="C407" s="25">
        <f>IF($A407="","",SUM(MMULT('06 Log Returns'!B407:G407,'08 Optimisation'!$B$36:$B$41)))</f>
        <v/>
      </c>
      <c r="D407" s="37">
        <f>IF($A407="","",IF(D406="","",D406*(1+B407)))</f>
        <v/>
      </c>
      <c r="E407" s="37">
        <f>IF($A407="","",MAX($D$5:D407))</f>
        <v/>
      </c>
      <c r="F407" s="25">
        <f>IF($A407="","",(E407-D407)/E407)</f>
        <v/>
      </c>
    </row>
    <row r="408">
      <c r="A408" s="23">
        <f>IF('05 Simple Returns'!A408="","",'05 Simple Returns'!A408)</f>
        <v/>
      </c>
      <c r="B408" s="25">
        <f>IF($A408="","",SUM(MMULT('05 Simple Returns'!B408:G408,'08 Optimisation'!$B$36:$B$41)))</f>
        <v/>
      </c>
      <c r="C408" s="25">
        <f>IF($A408="","",SUM(MMULT('06 Log Returns'!B408:G408,'08 Optimisation'!$B$36:$B$41)))</f>
        <v/>
      </c>
      <c r="D408" s="37">
        <f>IF($A408="","",IF(D407="","",D407*(1+B408)))</f>
        <v/>
      </c>
      <c r="E408" s="37">
        <f>IF($A408="","",MAX($D$5:D408))</f>
        <v/>
      </c>
      <c r="F408" s="25">
        <f>IF($A408="","",(E408-D408)/E408)</f>
        <v/>
      </c>
    </row>
    <row r="409">
      <c r="A409" s="23">
        <f>IF('05 Simple Returns'!A409="","",'05 Simple Returns'!A409)</f>
        <v/>
      </c>
      <c r="B409" s="25">
        <f>IF($A409="","",SUM(MMULT('05 Simple Returns'!B409:G409,'08 Optimisation'!$B$36:$B$41)))</f>
        <v/>
      </c>
      <c r="C409" s="25">
        <f>IF($A409="","",SUM(MMULT('06 Log Returns'!B409:G409,'08 Optimisation'!$B$36:$B$41)))</f>
        <v/>
      </c>
      <c r="D409" s="37">
        <f>IF($A409="","",IF(D408="","",D408*(1+B409)))</f>
        <v/>
      </c>
      <c r="E409" s="37">
        <f>IF($A409="","",MAX($D$5:D409))</f>
        <v/>
      </c>
      <c r="F409" s="25">
        <f>IF($A409="","",(E409-D409)/E409)</f>
        <v/>
      </c>
    </row>
    <row r="410">
      <c r="A410" s="23">
        <f>IF('05 Simple Returns'!A410="","",'05 Simple Returns'!A410)</f>
        <v/>
      </c>
      <c r="B410" s="25">
        <f>IF($A410="","",SUM(MMULT('05 Simple Returns'!B410:G410,'08 Optimisation'!$B$36:$B$41)))</f>
        <v/>
      </c>
      <c r="C410" s="25">
        <f>IF($A410="","",SUM(MMULT('06 Log Returns'!B410:G410,'08 Optimisation'!$B$36:$B$41)))</f>
        <v/>
      </c>
      <c r="D410" s="37">
        <f>IF($A410="","",IF(D409="","",D409*(1+B410)))</f>
        <v/>
      </c>
      <c r="E410" s="37">
        <f>IF($A410="","",MAX($D$5:D410))</f>
        <v/>
      </c>
      <c r="F410" s="25">
        <f>IF($A410="","",(E410-D410)/E410)</f>
        <v/>
      </c>
    </row>
    <row r="411">
      <c r="A411" s="23">
        <f>IF('05 Simple Returns'!A411="","",'05 Simple Returns'!A411)</f>
        <v/>
      </c>
      <c r="B411" s="25">
        <f>IF($A411="","",SUM(MMULT('05 Simple Returns'!B411:G411,'08 Optimisation'!$B$36:$B$41)))</f>
        <v/>
      </c>
      <c r="C411" s="25">
        <f>IF($A411="","",SUM(MMULT('06 Log Returns'!B411:G411,'08 Optimisation'!$B$36:$B$41)))</f>
        <v/>
      </c>
      <c r="D411" s="37">
        <f>IF($A411="","",IF(D410="","",D410*(1+B411)))</f>
        <v/>
      </c>
      <c r="E411" s="37">
        <f>IF($A411="","",MAX($D$5:D411))</f>
        <v/>
      </c>
      <c r="F411" s="25">
        <f>IF($A411="","",(E411-D411)/E411)</f>
        <v/>
      </c>
    </row>
    <row r="412">
      <c r="A412" s="23">
        <f>IF('05 Simple Returns'!A412="","",'05 Simple Returns'!A412)</f>
        <v/>
      </c>
      <c r="B412" s="25">
        <f>IF($A412="","",SUM(MMULT('05 Simple Returns'!B412:G412,'08 Optimisation'!$B$36:$B$41)))</f>
        <v/>
      </c>
      <c r="C412" s="25">
        <f>IF($A412="","",SUM(MMULT('06 Log Returns'!B412:G412,'08 Optimisation'!$B$36:$B$41)))</f>
        <v/>
      </c>
      <c r="D412" s="37">
        <f>IF($A412="","",IF(D411="","",D411*(1+B412)))</f>
        <v/>
      </c>
      <c r="E412" s="37">
        <f>IF($A412="","",MAX($D$5:D412))</f>
        <v/>
      </c>
      <c r="F412" s="25">
        <f>IF($A412="","",(E412-D412)/E412)</f>
        <v/>
      </c>
    </row>
    <row r="413">
      <c r="A413" s="23">
        <f>IF('05 Simple Returns'!A413="","",'05 Simple Returns'!A413)</f>
        <v/>
      </c>
      <c r="B413" s="25">
        <f>IF($A413="","",SUM(MMULT('05 Simple Returns'!B413:G413,'08 Optimisation'!$B$36:$B$41)))</f>
        <v/>
      </c>
      <c r="C413" s="25">
        <f>IF($A413="","",SUM(MMULT('06 Log Returns'!B413:G413,'08 Optimisation'!$B$36:$B$41)))</f>
        <v/>
      </c>
      <c r="D413" s="37">
        <f>IF($A413="","",IF(D412="","",D412*(1+B413)))</f>
        <v/>
      </c>
      <c r="E413" s="37">
        <f>IF($A413="","",MAX($D$5:D413))</f>
        <v/>
      </c>
      <c r="F413" s="25">
        <f>IF($A413="","",(E413-D413)/E413)</f>
        <v/>
      </c>
    </row>
    <row r="414">
      <c r="A414" s="23">
        <f>IF('05 Simple Returns'!A414="","",'05 Simple Returns'!A414)</f>
        <v/>
      </c>
      <c r="B414" s="25">
        <f>IF($A414="","",SUM(MMULT('05 Simple Returns'!B414:G414,'08 Optimisation'!$B$36:$B$41)))</f>
        <v/>
      </c>
      <c r="C414" s="25">
        <f>IF($A414="","",SUM(MMULT('06 Log Returns'!B414:G414,'08 Optimisation'!$B$36:$B$41)))</f>
        <v/>
      </c>
      <c r="D414" s="37">
        <f>IF($A414="","",IF(D413="","",D413*(1+B414)))</f>
        <v/>
      </c>
      <c r="E414" s="37">
        <f>IF($A414="","",MAX($D$5:D414))</f>
        <v/>
      </c>
      <c r="F414" s="25">
        <f>IF($A414="","",(E414-D414)/E414)</f>
        <v/>
      </c>
    </row>
    <row r="415">
      <c r="A415" s="23">
        <f>IF('05 Simple Returns'!A415="","",'05 Simple Returns'!A415)</f>
        <v/>
      </c>
      <c r="B415" s="25">
        <f>IF($A415="","",SUM(MMULT('05 Simple Returns'!B415:G415,'08 Optimisation'!$B$36:$B$41)))</f>
        <v/>
      </c>
      <c r="C415" s="25">
        <f>IF($A415="","",SUM(MMULT('06 Log Returns'!B415:G415,'08 Optimisation'!$B$36:$B$41)))</f>
        <v/>
      </c>
      <c r="D415" s="37">
        <f>IF($A415="","",IF(D414="","",D414*(1+B415)))</f>
        <v/>
      </c>
      <c r="E415" s="37">
        <f>IF($A415="","",MAX($D$5:D415))</f>
        <v/>
      </c>
      <c r="F415" s="25">
        <f>IF($A415="","",(E415-D415)/E415)</f>
        <v/>
      </c>
    </row>
    <row r="416">
      <c r="A416" s="23">
        <f>IF('05 Simple Returns'!A416="","",'05 Simple Returns'!A416)</f>
        <v/>
      </c>
      <c r="B416" s="25">
        <f>IF($A416="","",SUM(MMULT('05 Simple Returns'!B416:G416,'08 Optimisation'!$B$36:$B$41)))</f>
        <v/>
      </c>
      <c r="C416" s="25">
        <f>IF($A416="","",SUM(MMULT('06 Log Returns'!B416:G416,'08 Optimisation'!$B$36:$B$41)))</f>
        <v/>
      </c>
      <c r="D416" s="37">
        <f>IF($A416="","",IF(D415="","",D415*(1+B416)))</f>
        <v/>
      </c>
      <c r="E416" s="37">
        <f>IF($A416="","",MAX($D$5:D416))</f>
        <v/>
      </c>
      <c r="F416" s="25">
        <f>IF($A416="","",(E416-D416)/E416)</f>
        <v/>
      </c>
    </row>
    <row r="417">
      <c r="A417" s="23">
        <f>IF('05 Simple Returns'!A417="","",'05 Simple Returns'!A417)</f>
        <v/>
      </c>
      <c r="B417" s="25">
        <f>IF($A417="","",SUM(MMULT('05 Simple Returns'!B417:G417,'08 Optimisation'!$B$36:$B$41)))</f>
        <v/>
      </c>
      <c r="C417" s="25">
        <f>IF($A417="","",SUM(MMULT('06 Log Returns'!B417:G417,'08 Optimisation'!$B$36:$B$41)))</f>
        <v/>
      </c>
      <c r="D417" s="37">
        <f>IF($A417="","",IF(D416="","",D416*(1+B417)))</f>
        <v/>
      </c>
      <c r="E417" s="37">
        <f>IF($A417="","",MAX($D$5:D417))</f>
        <v/>
      </c>
      <c r="F417" s="25">
        <f>IF($A417="","",(E417-D417)/E417)</f>
        <v/>
      </c>
    </row>
    <row r="418">
      <c r="A418" s="23">
        <f>IF('05 Simple Returns'!A418="","",'05 Simple Returns'!A418)</f>
        <v/>
      </c>
      <c r="B418" s="25">
        <f>IF($A418="","",SUM(MMULT('05 Simple Returns'!B418:G418,'08 Optimisation'!$B$36:$B$41)))</f>
        <v/>
      </c>
      <c r="C418" s="25">
        <f>IF($A418="","",SUM(MMULT('06 Log Returns'!B418:G418,'08 Optimisation'!$B$36:$B$41)))</f>
        <v/>
      </c>
      <c r="D418" s="37">
        <f>IF($A418="","",IF(D417="","",D417*(1+B418)))</f>
        <v/>
      </c>
      <c r="E418" s="37">
        <f>IF($A418="","",MAX($D$5:D418))</f>
        <v/>
      </c>
      <c r="F418" s="25">
        <f>IF($A418="","",(E418-D418)/E418)</f>
        <v/>
      </c>
    </row>
    <row r="419">
      <c r="A419" s="23">
        <f>IF('05 Simple Returns'!A419="","",'05 Simple Returns'!A419)</f>
        <v/>
      </c>
      <c r="B419" s="25">
        <f>IF($A419="","",SUM(MMULT('05 Simple Returns'!B419:G419,'08 Optimisation'!$B$36:$B$41)))</f>
        <v/>
      </c>
      <c r="C419" s="25">
        <f>IF($A419="","",SUM(MMULT('06 Log Returns'!B419:G419,'08 Optimisation'!$B$36:$B$41)))</f>
        <v/>
      </c>
      <c r="D419" s="37">
        <f>IF($A419="","",IF(D418="","",D418*(1+B419)))</f>
        <v/>
      </c>
      <c r="E419" s="37">
        <f>IF($A419="","",MAX($D$5:D419))</f>
        <v/>
      </c>
      <c r="F419" s="25">
        <f>IF($A419="","",(E419-D419)/E419)</f>
        <v/>
      </c>
    </row>
    <row r="420">
      <c r="A420" s="23">
        <f>IF('05 Simple Returns'!A420="","",'05 Simple Returns'!A420)</f>
        <v/>
      </c>
      <c r="B420" s="25">
        <f>IF($A420="","",SUM(MMULT('05 Simple Returns'!B420:G420,'08 Optimisation'!$B$36:$B$41)))</f>
        <v/>
      </c>
      <c r="C420" s="25">
        <f>IF($A420="","",SUM(MMULT('06 Log Returns'!B420:G420,'08 Optimisation'!$B$36:$B$41)))</f>
        <v/>
      </c>
      <c r="D420" s="37">
        <f>IF($A420="","",IF(D419="","",D419*(1+B420)))</f>
        <v/>
      </c>
      <c r="E420" s="37">
        <f>IF($A420="","",MAX($D$5:D420))</f>
        <v/>
      </c>
      <c r="F420" s="25">
        <f>IF($A420="","",(E420-D420)/E420)</f>
        <v/>
      </c>
    </row>
    <row r="421">
      <c r="A421" s="23">
        <f>IF('05 Simple Returns'!A421="","",'05 Simple Returns'!A421)</f>
        <v/>
      </c>
      <c r="B421" s="25">
        <f>IF($A421="","",SUM(MMULT('05 Simple Returns'!B421:G421,'08 Optimisation'!$B$36:$B$41)))</f>
        <v/>
      </c>
      <c r="C421" s="25">
        <f>IF($A421="","",SUM(MMULT('06 Log Returns'!B421:G421,'08 Optimisation'!$B$36:$B$41)))</f>
        <v/>
      </c>
      <c r="D421" s="37">
        <f>IF($A421="","",IF(D420="","",D420*(1+B421)))</f>
        <v/>
      </c>
      <c r="E421" s="37">
        <f>IF($A421="","",MAX($D$5:D421))</f>
        <v/>
      </c>
      <c r="F421" s="25">
        <f>IF($A421="","",(E421-D421)/E421)</f>
        <v/>
      </c>
    </row>
    <row r="422">
      <c r="A422" s="23">
        <f>IF('05 Simple Returns'!A422="","",'05 Simple Returns'!A422)</f>
        <v/>
      </c>
      <c r="B422" s="25">
        <f>IF($A422="","",SUM(MMULT('05 Simple Returns'!B422:G422,'08 Optimisation'!$B$36:$B$41)))</f>
        <v/>
      </c>
      <c r="C422" s="25">
        <f>IF($A422="","",SUM(MMULT('06 Log Returns'!B422:G422,'08 Optimisation'!$B$36:$B$41)))</f>
        <v/>
      </c>
      <c r="D422" s="37">
        <f>IF($A422="","",IF(D421="","",D421*(1+B422)))</f>
        <v/>
      </c>
      <c r="E422" s="37">
        <f>IF($A422="","",MAX($D$5:D422))</f>
        <v/>
      </c>
      <c r="F422" s="25">
        <f>IF($A422="","",(E422-D422)/E422)</f>
        <v/>
      </c>
    </row>
    <row r="423">
      <c r="A423" s="23">
        <f>IF('05 Simple Returns'!A423="","",'05 Simple Returns'!A423)</f>
        <v/>
      </c>
      <c r="B423" s="25">
        <f>IF($A423="","",SUM(MMULT('05 Simple Returns'!B423:G423,'08 Optimisation'!$B$36:$B$41)))</f>
        <v/>
      </c>
      <c r="C423" s="25">
        <f>IF($A423="","",SUM(MMULT('06 Log Returns'!B423:G423,'08 Optimisation'!$B$36:$B$41)))</f>
        <v/>
      </c>
      <c r="D423" s="37">
        <f>IF($A423="","",IF(D422="","",D422*(1+B423)))</f>
        <v/>
      </c>
      <c r="E423" s="37">
        <f>IF($A423="","",MAX($D$5:D423))</f>
        <v/>
      </c>
      <c r="F423" s="25">
        <f>IF($A423="","",(E423-D423)/E423)</f>
        <v/>
      </c>
    </row>
    <row r="424">
      <c r="A424" s="23">
        <f>IF('05 Simple Returns'!A424="","",'05 Simple Returns'!A424)</f>
        <v/>
      </c>
      <c r="B424" s="25">
        <f>IF($A424="","",SUM(MMULT('05 Simple Returns'!B424:G424,'08 Optimisation'!$B$36:$B$41)))</f>
        <v/>
      </c>
      <c r="C424" s="25">
        <f>IF($A424="","",SUM(MMULT('06 Log Returns'!B424:G424,'08 Optimisation'!$B$36:$B$41)))</f>
        <v/>
      </c>
      <c r="D424" s="37">
        <f>IF($A424="","",IF(D423="","",D423*(1+B424)))</f>
        <v/>
      </c>
      <c r="E424" s="37">
        <f>IF($A424="","",MAX($D$5:D424))</f>
        <v/>
      </c>
      <c r="F424" s="25">
        <f>IF($A424="","",(E424-D424)/E424)</f>
        <v/>
      </c>
    </row>
    <row r="425">
      <c r="A425" s="23">
        <f>IF('05 Simple Returns'!A425="","",'05 Simple Returns'!A425)</f>
        <v/>
      </c>
      <c r="B425" s="25">
        <f>IF($A425="","",SUM(MMULT('05 Simple Returns'!B425:G425,'08 Optimisation'!$B$36:$B$41)))</f>
        <v/>
      </c>
      <c r="C425" s="25">
        <f>IF($A425="","",SUM(MMULT('06 Log Returns'!B425:G425,'08 Optimisation'!$B$36:$B$41)))</f>
        <v/>
      </c>
      <c r="D425" s="37">
        <f>IF($A425="","",IF(D424="","",D424*(1+B425)))</f>
        <v/>
      </c>
      <c r="E425" s="37">
        <f>IF($A425="","",MAX($D$5:D425))</f>
        <v/>
      </c>
      <c r="F425" s="25">
        <f>IF($A425="","",(E425-D425)/E425)</f>
        <v/>
      </c>
    </row>
    <row r="426">
      <c r="A426" s="23">
        <f>IF('05 Simple Returns'!A426="","",'05 Simple Returns'!A426)</f>
        <v/>
      </c>
      <c r="B426" s="25">
        <f>IF($A426="","",SUM(MMULT('05 Simple Returns'!B426:G426,'08 Optimisation'!$B$36:$B$41)))</f>
        <v/>
      </c>
      <c r="C426" s="25">
        <f>IF($A426="","",SUM(MMULT('06 Log Returns'!B426:G426,'08 Optimisation'!$B$36:$B$41)))</f>
        <v/>
      </c>
      <c r="D426" s="37">
        <f>IF($A426="","",IF(D425="","",D425*(1+B426)))</f>
        <v/>
      </c>
      <c r="E426" s="37">
        <f>IF($A426="","",MAX($D$5:D426))</f>
        <v/>
      </c>
      <c r="F426" s="25">
        <f>IF($A426="","",(E426-D426)/E426)</f>
        <v/>
      </c>
    </row>
    <row r="427">
      <c r="A427" s="23">
        <f>IF('05 Simple Returns'!A427="","",'05 Simple Returns'!A427)</f>
        <v/>
      </c>
      <c r="B427" s="25">
        <f>IF($A427="","",SUM(MMULT('05 Simple Returns'!B427:G427,'08 Optimisation'!$B$36:$B$41)))</f>
        <v/>
      </c>
      <c r="C427" s="25">
        <f>IF($A427="","",SUM(MMULT('06 Log Returns'!B427:G427,'08 Optimisation'!$B$36:$B$41)))</f>
        <v/>
      </c>
      <c r="D427" s="37">
        <f>IF($A427="","",IF(D426="","",D426*(1+B427)))</f>
        <v/>
      </c>
      <c r="E427" s="37">
        <f>IF($A427="","",MAX($D$5:D427))</f>
        <v/>
      </c>
      <c r="F427" s="25">
        <f>IF($A427="","",(E427-D427)/E427)</f>
        <v/>
      </c>
    </row>
    <row r="428">
      <c r="A428" s="23">
        <f>IF('05 Simple Returns'!A428="","",'05 Simple Returns'!A428)</f>
        <v/>
      </c>
      <c r="B428" s="25">
        <f>IF($A428="","",SUM(MMULT('05 Simple Returns'!B428:G428,'08 Optimisation'!$B$36:$B$41)))</f>
        <v/>
      </c>
      <c r="C428" s="25">
        <f>IF($A428="","",SUM(MMULT('06 Log Returns'!B428:G428,'08 Optimisation'!$B$36:$B$41)))</f>
        <v/>
      </c>
      <c r="D428" s="37">
        <f>IF($A428="","",IF(D427="","",D427*(1+B428)))</f>
        <v/>
      </c>
      <c r="E428" s="37">
        <f>IF($A428="","",MAX($D$5:D428))</f>
        <v/>
      </c>
      <c r="F428" s="25">
        <f>IF($A428="","",(E428-D428)/E428)</f>
        <v/>
      </c>
    </row>
    <row r="429">
      <c r="A429" s="23">
        <f>IF('05 Simple Returns'!A429="","",'05 Simple Returns'!A429)</f>
        <v/>
      </c>
      <c r="B429" s="25">
        <f>IF($A429="","",SUM(MMULT('05 Simple Returns'!B429:G429,'08 Optimisation'!$B$36:$B$41)))</f>
        <v/>
      </c>
      <c r="C429" s="25">
        <f>IF($A429="","",SUM(MMULT('06 Log Returns'!B429:G429,'08 Optimisation'!$B$36:$B$41)))</f>
        <v/>
      </c>
      <c r="D429" s="37">
        <f>IF($A429="","",IF(D428="","",D428*(1+B429)))</f>
        <v/>
      </c>
      <c r="E429" s="37">
        <f>IF($A429="","",MAX($D$5:D429))</f>
        <v/>
      </c>
      <c r="F429" s="25">
        <f>IF($A429="","",(E429-D429)/E429)</f>
        <v/>
      </c>
    </row>
    <row r="430">
      <c r="A430" s="23">
        <f>IF('05 Simple Returns'!A430="","",'05 Simple Returns'!A430)</f>
        <v/>
      </c>
      <c r="B430" s="25">
        <f>IF($A430="","",SUM(MMULT('05 Simple Returns'!B430:G430,'08 Optimisation'!$B$36:$B$41)))</f>
        <v/>
      </c>
      <c r="C430" s="25">
        <f>IF($A430="","",SUM(MMULT('06 Log Returns'!B430:G430,'08 Optimisation'!$B$36:$B$41)))</f>
        <v/>
      </c>
      <c r="D430" s="37">
        <f>IF($A430="","",IF(D429="","",D429*(1+B430)))</f>
        <v/>
      </c>
      <c r="E430" s="37">
        <f>IF($A430="","",MAX($D$5:D430))</f>
        <v/>
      </c>
      <c r="F430" s="25">
        <f>IF($A430="","",(E430-D430)/E430)</f>
        <v/>
      </c>
    </row>
    <row r="431">
      <c r="A431" s="23">
        <f>IF('05 Simple Returns'!A431="","",'05 Simple Returns'!A431)</f>
        <v/>
      </c>
      <c r="B431" s="25">
        <f>IF($A431="","",SUM(MMULT('05 Simple Returns'!B431:G431,'08 Optimisation'!$B$36:$B$41)))</f>
        <v/>
      </c>
      <c r="C431" s="25">
        <f>IF($A431="","",SUM(MMULT('06 Log Returns'!B431:G431,'08 Optimisation'!$B$36:$B$41)))</f>
        <v/>
      </c>
      <c r="D431" s="37">
        <f>IF($A431="","",IF(D430="","",D430*(1+B431)))</f>
        <v/>
      </c>
      <c r="E431" s="37">
        <f>IF($A431="","",MAX($D$5:D431))</f>
        <v/>
      </c>
      <c r="F431" s="25">
        <f>IF($A431="","",(E431-D431)/E431)</f>
        <v/>
      </c>
    </row>
    <row r="432">
      <c r="A432" s="23">
        <f>IF('05 Simple Returns'!A432="","",'05 Simple Returns'!A432)</f>
        <v/>
      </c>
      <c r="B432" s="25">
        <f>IF($A432="","",SUM(MMULT('05 Simple Returns'!B432:G432,'08 Optimisation'!$B$36:$B$41)))</f>
        <v/>
      </c>
      <c r="C432" s="25">
        <f>IF($A432="","",SUM(MMULT('06 Log Returns'!B432:G432,'08 Optimisation'!$B$36:$B$41)))</f>
        <v/>
      </c>
      <c r="D432" s="37">
        <f>IF($A432="","",IF(D431="","",D431*(1+B432)))</f>
        <v/>
      </c>
      <c r="E432" s="37">
        <f>IF($A432="","",MAX($D$5:D432))</f>
        <v/>
      </c>
      <c r="F432" s="25">
        <f>IF($A432="","",(E432-D432)/E432)</f>
        <v/>
      </c>
    </row>
    <row r="433">
      <c r="A433" s="23">
        <f>IF('05 Simple Returns'!A433="","",'05 Simple Returns'!A433)</f>
        <v/>
      </c>
      <c r="B433" s="25">
        <f>IF($A433="","",SUM(MMULT('05 Simple Returns'!B433:G433,'08 Optimisation'!$B$36:$B$41)))</f>
        <v/>
      </c>
      <c r="C433" s="25">
        <f>IF($A433="","",SUM(MMULT('06 Log Returns'!B433:G433,'08 Optimisation'!$B$36:$B$41)))</f>
        <v/>
      </c>
      <c r="D433" s="37">
        <f>IF($A433="","",IF(D432="","",D432*(1+B433)))</f>
        <v/>
      </c>
      <c r="E433" s="37">
        <f>IF($A433="","",MAX($D$5:D433))</f>
        <v/>
      </c>
      <c r="F433" s="25">
        <f>IF($A433="","",(E433-D433)/E433)</f>
        <v/>
      </c>
    </row>
    <row r="434">
      <c r="A434" s="23">
        <f>IF('05 Simple Returns'!A434="","",'05 Simple Returns'!A434)</f>
        <v/>
      </c>
      <c r="B434" s="25">
        <f>IF($A434="","",SUM(MMULT('05 Simple Returns'!B434:G434,'08 Optimisation'!$B$36:$B$41)))</f>
        <v/>
      </c>
      <c r="C434" s="25">
        <f>IF($A434="","",SUM(MMULT('06 Log Returns'!B434:G434,'08 Optimisation'!$B$36:$B$41)))</f>
        <v/>
      </c>
      <c r="D434" s="37">
        <f>IF($A434="","",IF(D433="","",D433*(1+B434)))</f>
        <v/>
      </c>
      <c r="E434" s="37">
        <f>IF($A434="","",MAX($D$5:D434))</f>
        <v/>
      </c>
      <c r="F434" s="25">
        <f>IF($A434="","",(E434-D434)/E434)</f>
        <v/>
      </c>
    </row>
    <row r="435">
      <c r="A435" s="23">
        <f>IF('05 Simple Returns'!A435="","",'05 Simple Returns'!A435)</f>
        <v/>
      </c>
      <c r="B435" s="25">
        <f>IF($A435="","",SUM(MMULT('05 Simple Returns'!B435:G435,'08 Optimisation'!$B$36:$B$41)))</f>
        <v/>
      </c>
      <c r="C435" s="25">
        <f>IF($A435="","",SUM(MMULT('06 Log Returns'!B435:G435,'08 Optimisation'!$B$36:$B$41)))</f>
        <v/>
      </c>
      <c r="D435" s="37">
        <f>IF($A435="","",IF(D434="","",D434*(1+B435)))</f>
        <v/>
      </c>
      <c r="E435" s="37">
        <f>IF($A435="","",MAX($D$5:D435))</f>
        <v/>
      </c>
      <c r="F435" s="25">
        <f>IF($A435="","",(E435-D435)/E435)</f>
        <v/>
      </c>
    </row>
    <row r="436">
      <c r="A436" s="23">
        <f>IF('05 Simple Returns'!A436="","",'05 Simple Returns'!A436)</f>
        <v/>
      </c>
      <c r="B436" s="25">
        <f>IF($A436="","",SUM(MMULT('05 Simple Returns'!B436:G436,'08 Optimisation'!$B$36:$B$41)))</f>
        <v/>
      </c>
      <c r="C436" s="25">
        <f>IF($A436="","",SUM(MMULT('06 Log Returns'!B436:G436,'08 Optimisation'!$B$36:$B$41)))</f>
        <v/>
      </c>
      <c r="D436" s="37">
        <f>IF($A436="","",IF(D435="","",D435*(1+B436)))</f>
        <v/>
      </c>
      <c r="E436" s="37">
        <f>IF($A436="","",MAX($D$5:D436))</f>
        <v/>
      </c>
      <c r="F436" s="25">
        <f>IF($A436="","",(E436-D436)/E436)</f>
        <v/>
      </c>
    </row>
    <row r="437">
      <c r="A437" s="23">
        <f>IF('05 Simple Returns'!A437="","",'05 Simple Returns'!A437)</f>
        <v/>
      </c>
      <c r="B437" s="25">
        <f>IF($A437="","",SUM(MMULT('05 Simple Returns'!B437:G437,'08 Optimisation'!$B$36:$B$41)))</f>
        <v/>
      </c>
      <c r="C437" s="25">
        <f>IF($A437="","",SUM(MMULT('06 Log Returns'!B437:G437,'08 Optimisation'!$B$36:$B$41)))</f>
        <v/>
      </c>
      <c r="D437" s="37">
        <f>IF($A437="","",IF(D436="","",D436*(1+B437)))</f>
        <v/>
      </c>
      <c r="E437" s="37">
        <f>IF($A437="","",MAX($D$5:D437))</f>
        <v/>
      </c>
      <c r="F437" s="25">
        <f>IF($A437="","",(E437-D437)/E437)</f>
        <v/>
      </c>
    </row>
    <row r="438">
      <c r="A438" s="23">
        <f>IF('05 Simple Returns'!A438="","",'05 Simple Returns'!A438)</f>
        <v/>
      </c>
      <c r="B438" s="25">
        <f>IF($A438="","",SUM(MMULT('05 Simple Returns'!B438:G438,'08 Optimisation'!$B$36:$B$41)))</f>
        <v/>
      </c>
      <c r="C438" s="25">
        <f>IF($A438="","",SUM(MMULT('06 Log Returns'!B438:G438,'08 Optimisation'!$B$36:$B$41)))</f>
        <v/>
      </c>
      <c r="D438" s="37">
        <f>IF($A438="","",IF(D437="","",D437*(1+B438)))</f>
        <v/>
      </c>
      <c r="E438" s="37">
        <f>IF($A438="","",MAX($D$5:D438))</f>
        <v/>
      </c>
      <c r="F438" s="25">
        <f>IF($A438="","",(E438-D438)/E438)</f>
        <v/>
      </c>
    </row>
    <row r="439">
      <c r="A439" s="23">
        <f>IF('05 Simple Returns'!A439="","",'05 Simple Returns'!A439)</f>
        <v/>
      </c>
      <c r="B439" s="25">
        <f>IF($A439="","",SUM(MMULT('05 Simple Returns'!B439:G439,'08 Optimisation'!$B$36:$B$41)))</f>
        <v/>
      </c>
      <c r="C439" s="25">
        <f>IF($A439="","",SUM(MMULT('06 Log Returns'!B439:G439,'08 Optimisation'!$B$36:$B$41)))</f>
        <v/>
      </c>
      <c r="D439" s="37">
        <f>IF($A439="","",IF(D438="","",D438*(1+B439)))</f>
        <v/>
      </c>
      <c r="E439" s="37">
        <f>IF($A439="","",MAX($D$5:D439))</f>
        <v/>
      </c>
      <c r="F439" s="25">
        <f>IF($A439="","",(E439-D439)/E439)</f>
        <v/>
      </c>
    </row>
    <row r="440">
      <c r="A440" s="23">
        <f>IF('05 Simple Returns'!A440="","",'05 Simple Returns'!A440)</f>
        <v/>
      </c>
      <c r="B440" s="25">
        <f>IF($A440="","",SUM(MMULT('05 Simple Returns'!B440:G440,'08 Optimisation'!$B$36:$B$41)))</f>
        <v/>
      </c>
      <c r="C440" s="25">
        <f>IF($A440="","",SUM(MMULT('06 Log Returns'!B440:G440,'08 Optimisation'!$B$36:$B$41)))</f>
        <v/>
      </c>
      <c r="D440" s="37">
        <f>IF($A440="","",IF(D439="","",D439*(1+B440)))</f>
        <v/>
      </c>
      <c r="E440" s="37">
        <f>IF($A440="","",MAX($D$5:D440))</f>
        <v/>
      </c>
      <c r="F440" s="25">
        <f>IF($A440="","",(E440-D440)/E440)</f>
        <v/>
      </c>
    </row>
    <row r="441">
      <c r="A441" s="23">
        <f>IF('05 Simple Returns'!A441="","",'05 Simple Returns'!A441)</f>
        <v/>
      </c>
      <c r="B441" s="25">
        <f>IF($A441="","",SUM(MMULT('05 Simple Returns'!B441:G441,'08 Optimisation'!$B$36:$B$41)))</f>
        <v/>
      </c>
      <c r="C441" s="25">
        <f>IF($A441="","",SUM(MMULT('06 Log Returns'!B441:G441,'08 Optimisation'!$B$36:$B$41)))</f>
        <v/>
      </c>
      <c r="D441" s="37">
        <f>IF($A441="","",IF(D440="","",D440*(1+B441)))</f>
        <v/>
      </c>
      <c r="E441" s="37">
        <f>IF($A441="","",MAX($D$5:D441))</f>
        <v/>
      </c>
      <c r="F441" s="25">
        <f>IF($A441="","",(E441-D441)/E441)</f>
        <v/>
      </c>
    </row>
    <row r="442">
      <c r="A442" s="23">
        <f>IF('05 Simple Returns'!A442="","",'05 Simple Returns'!A442)</f>
        <v/>
      </c>
      <c r="B442" s="25">
        <f>IF($A442="","",SUM(MMULT('05 Simple Returns'!B442:G442,'08 Optimisation'!$B$36:$B$41)))</f>
        <v/>
      </c>
      <c r="C442" s="25">
        <f>IF($A442="","",SUM(MMULT('06 Log Returns'!B442:G442,'08 Optimisation'!$B$36:$B$41)))</f>
        <v/>
      </c>
      <c r="D442" s="37">
        <f>IF($A442="","",IF(D441="","",D441*(1+B442)))</f>
        <v/>
      </c>
      <c r="E442" s="37">
        <f>IF($A442="","",MAX($D$5:D442))</f>
        <v/>
      </c>
      <c r="F442" s="25">
        <f>IF($A442="","",(E442-D442)/E442)</f>
        <v/>
      </c>
    </row>
    <row r="443">
      <c r="A443" s="23">
        <f>IF('05 Simple Returns'!A443="","",'05 Simple Returns'!A443)</f>
        <v/>
      </c>
      <c r="B443" s="25">
        <f>IF($A443="","",SUM(MMULT('05 Simple Returns'!B443:G443,'08 Optimisation'!$B$36:$B$41)))</f>
        <v/>
      </c>
      <c r="C443" s="25">
        <f>IF($A443="","",SUM(MMULT('06 Log Returns'!B443:G443,'08 Optimisation'!$B$36:$B$41)))</f>
        <v/>
      </c>
      <c r="D443" s="37">
        <f>IF($A443="","",IF(D442="","",D442*(1+B443)))</f>
        <v/>
      </c>
      <c r="E443" s="37">
        <f>IF($A443="","",MAX($D$5:D443))</f>
        <v/>
      </c>
      <c r="F443" s="25">
        <f>IF($A443="","",(E443-D443)/E443)</f>
        <v/>
      </c>
    </row>
    <row r="444">
      <c r="A444" s="23">
        <f>IF('05 Simple Returns'!A444="","",'05 Simple Returns'!A444)</f>
        <v/>
      </c>
      <c r="B444" s="25">
        <f>IF($A444="","",SUM(MMULT('05 Simple Returns'!B444:G444,'08 Optimisation'!$B$36:$B$41)))</f>
        <v/>
      </c>
      <c r="C444" s="25">
        <f>IF($A444="","",SUM(MMULT('06 Log Returns'!B444:G444,'08 Optimisation'!$B$36:$B$41)))</f>
        <v/>
      </c>
      <c r="D444" s="37">
        <f>IF($A444="","",IF(D443="","",D443*(1+B444)))</f>
        <v/>
      </c>
      <c r="E444" s="37">
        <f>IF($A444="","",MAX($D$5:D444))</f>
        <v/>
      </c>
      <c r="F444" s="25">
        <f>IF($A444="","",(E444-D444)/E444)</f>
        <v/>
      </c>
    </row>
    <row r="445">
      <c r="A445" s="23">
        <f>IF('05 Simple Returns'!A445="","",'05 Simple Returns'!A445)</f>
        <v/>
      </c>
      <c r="B445" s="25">
        <f>IF($A445="","",SUM(MMULT('05 Simple Returns'!B445:G445,'08 Optimisation'!$B$36:$B$41)))</f>
        <v/>
      </c>
      <c r="C445" s="25">
        <f>IF($A445="","",SUM(MMULT('06 Log Returns'!B445:G445,'08 Optimisation'!$B$36:$B$41)))</f>
        <v/>
      </c>
      <c r="D445" s="37">
        <f>IF($A445="","",IF(D444="","",D444*(1+B445)))</f>
        <v/>
      </c>
      <c r="E445" s="37">
        <f>IF($A445="","",MAX($D$5:D445))</f>
        <v/>
      </c>
      <c r="F445" s="25">
        <f>IF($A445="","",(E445-D445)/E445)</f>
        <v/>
      </c>
    </row>
    <row r="446">
      <c r="A446" s="23">
        <f>IF('05 Simple Returns'!A446="","",'05 Simple Returns'!A446)</f>
        <v/>
      </c>
      <c r="B446" s="25">
        <f>IF($A446="","",SUM(MMULT('05 Simple Returns'!B446:G446,'08 Optimisation'!$B$36:$B$41)))</f>
        <v/>
      </c>
      <c r="C446" s="25">
        <f>IF($A446="","",SUM(MMULT('06 Log Returns'!B446:G446,'08 Optimisation'!$B$36:$B$41)))</f>
        <v/>
      </c>
      <c r="D446" s="37">
        <f>IF($A446="","",IF(D445="","",D445*(1+B446)))</f>
        <v/>
      </c>
      <c r="E446" s="37">
        <f>IF($A446="","",MAX($D$5:D446))</f>
        <v/>
      </c>
      <c r="F446" s="25">
        <f>IF($A446="","",(E446-D446)/E446)</f>
        <v/>
      </c>
    </row>
    <row r="447">
      <c r="A447" s="23">
        <f>IF('05 Simple Returns'!A447="","",'05 Simple Returns'!A447)</f>
        <v/>
      </c>
      <c r="B447" s="25">
        <f>IF($A447="","",SUM(MMULT('05 Simple Returns'!B447:G447,'08 Optimisation'!$B$36:$B$41)))</f>
        <v/>
      </c>
      <c r="C447" s="25">
        <f>IF($A447="","",SUM(MMULT('06 Log Returns'!B447:G447,'08 Optimisation'!$B$36:$B$41)))</f>
        <v/>
      </c>
      <c r="D447" s="37">
        <f>IF($A447="","",IF(D446="","",D446*(1+B447)))</f>
        <v/>
      </c>
      <c r="E447" s="37">
        <f>IF($A447="","",MAX($D$5:D447))</f>
        <v/>
      </c>
      <c r="F447" s="25">
        <f>IF($A447="","",(E447-D447)/E447)</f>
        <v/>
      </c>
    </row>
    <row r="448">
      <c r="A448" s="23">
        <f>IF('05 Simple Returns'!A448="","",'05 Simple Returns'!A448)</f>
        <v/>
      </c>
      <c r="B448" s="25">
        <f>IF($A448="","",SUM(MMULT('05 Simple Returns'!B448:G448,'08 Optimisation'!$B$36:$B$41)))</f>
        <v/>
      </c>
      <c r="C448" s="25">
        <f>IF($A448="","",SUM(MMULT('06 Log Returns'!B448:G448,'08 Optimisation'!$B$36:$B$41)))</f>
        <v/>
      </c>
      <c r="D448" s="37">
        <f>IF($A448="","",IF(D447="","",D447*(1+B448)))</f>
        <v/>
      </c>
      <c r="E448" s="37">
        <f>IF($A448="","",MAX($D$5:D448))</f>
        <v/>
      </c>
      <c r="F448" s="25">
        <f>IF($A448="","",(E448-D448)/E448)</f>
        <v/>
      </c>
    </row>
    <row r="449">
      <c r="A449" s="23">
        <f>IF('05 Simple Returns'!A449="","",'05 Simple Returns'!A449)</f>
        <v/>
      </c>
      <c r="B449" s="25">
        <f>IF($A449="","",SUM(MMULT('05 Simple Returns'!B449:G449,'08 Optimisation'!$B$36:$B$41)))</f>
        <v/>
      </c>
      <c r="C449" s="25">
        <f>IF($A449="","",SUM(MMULT('06 Log Returns'!B449:G449,'08 Optimisation'!$B$36:$B$41)))</f>
        <v/>
      </c>
      <c r="D449" s="37">
        <f>IF($A449="","",IF(D448="","",D448*(1+B449)))</f>
        <v/>
      </c>
      <c r="E449" s="37">
        <f>IF($A449="","",MAX($D$5:D449))</f>
        <v/>
      </c>
      <c r="F449" s="25">
        <f>IF($A449="","",(E449-D449)/E449)</f>
        <v/>
      </c>
    </row>
    <row r="450">
      <c r="A450" s="23">
        <f>IF('05 Simple Returns'!A450="","",'05 Simple Returns'!A450)</f>
        <v/>
      </c>
      <c r="B450" s="25">
        <f>IF($A450="","",SUM(MMULT('05 Simple Returns'!B450:G450,'08 Optimisation'!$B$36:$B$41)))</f>
        <v/>
      </c>
      <c r="C450" s="25">
        <f>IF($A450="","",SUM(MMULT('06 Log Returns'!B450:G450,'08 Optimisation'!$B$36:$B$41)))</f>
        <v/>
      </c>
      <c r="D450" s="37">
        <f>IF($A450="","",IF(D449="","",D449*(1+B450)))</f>
        <v/>
      </c>
      <c r="E450" s="37">
        <f>IF($A450="","",MAX($D$5:D450))</f>
        <v/>
      </c>
      <c r="F450" s="25">
        <f>IF($A450="","",(E450-D450)/E450)</f>
        <v/>
      </c>
    </row>
    <row r="451">
      <c r="A451" s="23">
        <f>IF('05 Simple Returns'!A451="","",'05 Simple Returns'!A451)</f>
        <v/>
      </c>
      <c r="B451" s="25">
        <f>IF($A451="","",SUM(MMULT('05 Simple Returns'!B451:G451,'08 Optimisation'!$B$36:$B$41)))</f>
        <v/>
      </c>
      <c r="C451" s="25">
        <f>IF($A451="","",SUM(MMULT('06 Log Returns'!B451:G451,'08 Optimisation'!$B$36:$B$41)))</f>
        <v/>
      </c>
      <c r="D451" s="37">
        <f>IF($A451="","",IF(D450="","",D450*(1+B451)))</f>
        <v/>
      </c>
      <c r="E451" s="37">
        <f>IF($A451="","",MAX($D$5:D451))</f>
        <v/>
      </c>
      <c r="F451" s="25">
        <f>IF($A451="","",(E451-D451)/E451)</f>
        <v/>
      </c>
    </row>
    <row r="452">
      <c r="A452" s="23">
        <f>IF('05 Simple Returns'!A452="","",'05 Simple Returns'!A452)</f>
        <v/>
      </c>
      <c r="B452" s="25">
        <f>IF($A452="","",SUM(MMULT('05 Simple Returns'!B452:G452,'08 Optimisation'!$B$36:$B$41)))</f>
        <v/>
      </c>
      <c r="C452" s="25">
        <f>IF($A452="","",SUM(MMULT('06 Log Returns'!B452:G452,'08 Optimisation'!$B$36:$B$41)))</f>
        <v/>
      </c>
      <c r="D452" s="37">
        <f>IF($A452="","",IF(D451="","",D451*(1+B452)))</f>
        <v/>
      </c>
      <c r="E452" s="37">
        <f>IF($A452="","",MAX($D$5:D452))</f>
        <v/>
      </c>
      <c r="F452" s="25">
        <f>IF($A452="","",(E452-D452)/E452)</f>
        <v/>
      </c>
    </row>
    <row r="453">
      <c r="A453" s="23">
        <f>IF('05 Simple Returns'!A453="","",'05 Simple Returns'!A453)</f>
        <v/>
      </c>
      <c r="B453" s="25">
        <f>IF($A453="","",SUM(MMULT('05 Simple Returns'!B453:G453,'08 Optimisation'!$B$36:$B$41)))</f>
        <v/>
      </c>
      <c r="C453" s="25">
        <f>IF($A453="","",SUM(MMULT('06 Log Returns'!B453:G453,'08 Optimisation'!$B$36:$B$41)))</f>
        <v/>
      </c>
      <c r="D453" s="37">
        <f>IF($A453="","",IF(D452="","",D452*(1+B453)))</f>
        <v/>
      </c>
      <c r="E453" s="37">
        <f>IF($A453="","",MAX($D$5:D453))</f>
        <v/>
      </c>
      <c r="F453" s="25">
        <f>IF($A453="","",(E453-D453)/E453)</f>
        <v/>
      </c>
    </row>
    <row r="454">
      <c r="A454" s="23">
        <f>IF('05 Simple Returns'!A454="","",'05 Simple Returns'!A454)</f>
        <v/>
      </c>
      <c r="B454" s="25">
        <f>IF($A454="","",SUM(MMULT('05 Simple Returns'!B454:G454,'08 Optimisation'!$B$36:$B$41)))</f>
        <v/>
      </c>
      <c r="C454" s="25">
        <f>IF($A454="","",SUM(MMULT('06 Log Returns'!B454:G454,'08 Optimisation'!$B$36:$B$41)))</f>
        <v/>
      </c>
      <c r="D454" s="37">
        <f>IF($A454="","",IF(D453="","",D453*(1+B454)))</f>
        <v/>
      </c>
      <c r="E454" s="37">
        <f>IF($A454="","",MAX($D$5:D454))</f>
        <v/>
      </c>
      <c r="F454" s="25">
        <f>IF($A454="","",(E454-D454)/E454)</f>
        <v/>
      </c>
    </row>
    <row r="455">
      <c r="A455" s="23">
        <f>IF('05 Simple Returns'!A455="","",'05 Simple Returns'!A455)</f>
        <v/>
      </c>
      <c r="B455" s="25">
        <f>IF($A455="","",SUM(MMULT('05 Simple Returns'!B455:G455,'08 Optimisation'!$B$36:$B$41)))</f>
        <v/>
      </c>
      <c r="C455" s="25">
        <f>IF($A455="","",SUM(MMULT('06 Log Returns'!B455:G455,'08 Optimisation'!$B$36:$B$41)))</f>
        <v/>
      </c>
      <c r="D455" s="37">
        <f>IF($A455="","",IF(D454="","",D454*(1+B455)))</f>
        <v/>
      </c>
      <c r="E455" s="37">
        <f>IF($A455="","",MAX($D$5:D455))</f>
        <v/>
      </c>
      <c r="F455" s="25">
        <f>IF($A455="","",(E455-D455)/E455)</f>
        <v/>
      </c>
    </row>
    <row r="456">
      <c r="A456" s="23">
        <f>IF('05 Simple Returns'!A456="","",'05 Simple Returns'!A456)</f>
        <v/>
      </c>
      <c r="B456" s="25">
        <f>IF($A456="","",SUM(MMULT('05 Simple Returns'!B456:G456,'08 Optimisation'!$B$36:$B$41)))</f>
        <v/>
      </c>
      <c r="C456" s="25">
        <f>IF($A456="","",SUM(MMULT('06 Log Returns'!B456:G456,'08 Optimisation'!$B$36:$B$41)))</f>
        <v/>
      </c>
      <c r="D456" s="37">
        <f>IF($A456="","",IF(D455="","",D455*(1+B456)))</f>
        <v/>
      </c>
      <c r="E456" s="37">
        <f>IF($A456="","",MAX($D$5:D456))</f>
        <v/>
      </c>
      <c r="F456" s="25">
        <f>IF($A456="","",(E456-D456)/E456)</f>
        <v/>
      </c>
    </row>
    <row r="457">
      <c r="A457" s="23">
        <f>IF('05 Simple Returns'!A457="","",'05 Simple Returns'!A457)</f>
        <v/>
      </c>
      <c r="B457" s="25">
        <f>IF($A457="","",SUM(MMULT('05 Simple Returns'!B457:G457,'08 Optimisation'!$B$36:$B$41)))</f>
        <v/>
      </c>
      <c r="C457" s="25">
        <f>IF($A457="","",SUM(MMULT('06 Log Returns'!B457:G457,'08 Optimisation'!$B$36:$B$41)))</f>
        <v/>
      </c>
      <c r="D457" s="37">
        <f>IF($A457="","",IF(D456="","",D456*(1+B457)))</f>
        <v/>
      </c>
      <c r="E457" s="37">
        <f>IF($A457="","",MAX($D$5:D457))</f>
        <v/>
      </c>
      <c r="F457" s="25">
        <f>IF($A457="","",(E457-D457)/E457)</f>
        <v/>
      </c>
    </row>
    <row r="458">
      <c r="A458" s="23">
        <f>IF('05 Simple Returns'!A458="","",'05 Simple Returns'!A458)</f>
        <v/>
      </c>
      <c r="B458" s="25">
        <f>IF($A458="","",SUM(MMULT('05 Simple Returns'!B458:G458,'08 Optimisation'!$B$36:$B$41)))</f>
        <v/>
      </c>
      <c r="C458" s="25">
        <f>IF($A458="","",SUM(MMULT('06 Log Returns'!B458:G458,'08 Optimisation'!$B$36:$B$41)))</f>
        <v/>
      </c>
      <c r="D458" s="37">
        <f>IF($A458="","",IF(D457="","",D457*(1+B458)))</f>
        <v/>
      </c>
      <c r="E458" s="37">
        <f>IF($A458="","",MAX($D$5:D458))</f>
        <v/>
      </c>
      <c r="F458" s="25">
        <f>IF($A458="","",(E458-D458)/E458)</f>
        <v/>
      </c>
    </row>
    <row r="459">
      <c r="A459" s="23">
        <f>IF('05 Simple Returns'!A459="","",'05 Simple Returns'!A459)</f>
        <v/>
      </c>
      <c r="B459" s="25">
        <f>IF($A459="","",SUM(MMULT('05 Simple Returns'!B459:G459,'08 Optimisation'!$B$36:$B$41)))</f>
        <v/>
      </c>
      <c r="C459" s="25">
        <f>IF($A459="","",SUM(MMULT('06 Log Returns'!B459:G459,'08 Optimisation'!$B$36:$B$41)))</f>
        <v/>
      </c>
      <c r="D459" s="37">
        <f>IF($A459="","",IF(D458="","",D458*(1+B459)))</f>
        <v/>
      </c>
      <c r="E459" s="37">
        <f>IF($A459="","",MAX($D$5:D459))</f>
        <v/>
      </c>
      <c r="F459" s="25">
        <f>IF($A459="","",(E459-D459)/E459)</f>
        <v/>
      </c>
    </row>
    <row r="460">
      <c r="A460" s="23">
        <f>IF('05 Simple Returns'!A460="","",'05 Simple Returns'!A460)</f>
        <v/>
      </c>
      <c r="B460" s="25">
        <f>IF($A460="","",SUM(MMULT('05 Simple Returns'!B460:G460,'08 Optimisation'!$B$36:$B$41)))</f>
        <v/>
      </c>
      <c r="C460" s="25">
        <f>IF($A460="","",SUM(MMULT('06 Log Returns'!B460:G460,'08 Optimisation'!$B$36:$B$41)))</f>
        <v/>
      </c>
      <c r="D460" s="37">
        <f>IF($A460="","",IF(D459="","",D459*(1+B460)))</f>
        <v/>
      </c>
      <c r="E460" s="37">
        <f>IF($A460="","",MAX($D$5:D460))</f>
        <v/>
      </c>
      <c r="F460" s="25">
        <f>IF($A460="","",(E460-D460)/E460)</f>
        <v/>
      </c>
    </row>
    <row r="461">
      <c r="A461" s="23">
        <f>IF('05 Simple Returns'!A461="","",'05 Simple Returns'!A461)</f>
        <v/>
      </c>
      <c r="B461" s="25">
        <f>IF($A461="","",SUM(MMULT('05 Simple Returns'!B461:G461,'08 Optimisation'!$B$36:$B$41)))</f>
        <v/>
      </c>
      <c r="C461" s="25">
        <f>IF($A461="","",SUM(MMULT('06 Log Returns'!B461:G461,'08 Optimisation'!$B$36:$B$41)))</f>
        <v/>
      </c>
      <c r="D461" s="37">
        <f>IF($A461="","",IF(D460="","",D460*(1+B461)))</f>
        <v/>
      </c>
      <c r="E461" s="37">
        <f>IF($A461="","",MAX($D$5:D461))</f>
        <v/>
      </c>
      <c r="F461" s="25">
        <f>IF($A461="","",(E461-D461)/E461)</f>
        <v/>
      </c>
    </row>
    <row r="462">
      <c r="A462" s="23">
        <f>IF('05 Simple Returns'!A462="","",'05 Simple Returns'!A462)</f>
        <v/>
      </c>
      <c r="B462" s="25">
        <f>IF($A462="","",SUM(MMULT('05 Simple Returns'!B462:G462,'08 Optimisation'!$B$36:$B$41)))</f>
        <v/>
      </c>
      <c r="C462" s="25">
        <f>IF($A462="","",SUM(MMULT('06 Log Returns'!B462:G462,'08 Optimisation'!$B$36:$B$41)))</f>
        <v/>
      </c>
      <c r="D462" s="37">
        <f>IF($A462="","",IF(D461="","",D461*(1+B462)))</f>
        <v/>
      </c>
      <c r="E462" s="37">
        <f>IF($A462="","",MAX($D$5:D462))</f>
        <v/>
      </c>
      <c r="F462" s="25">
        <f>IF($A462="","",(E462-D462)/E462)</f>
        <v/>
      </c>
    </row>
    <row r="463">
      <c r="A463" s="23">
        <f>IF('05 Simple Returns'!A463="","",'05 Simple Returns'!A463)</f>
        <v/>
      </c>
      <c r="B463" s="25">
        <f>IF($A463="","",SUM(MMULT('05 Simple Returns'!B463:G463,'08 Optimisation'!$B$36:$B$41)))</f>
        <v/>
      </c>
      <c r="C463" s="25">
        <f>IF($A463="","",SUM(MMULT('06 Log Returns'!B463:G463,'08 Optimisation'!$B$36:$B$41)))</f>
        <v/>
      </c>
      <c r="D463" s="37">
        <f>IF($A463="","",IF(D462="","",D462*(1+B463)))</f>
        <v/>
      </c>
      <c r="E463" s="37">
        <f>IF($A463="","",MAX($D$5:D463))</f>
        <v/>
      </c>
      <c r="F463" s="25">
        <f>IF($A463="","",(E463-D463)/E463)</f>
        <v/>
      </c>
    </row>
    <row r="464">
      <c r="A464" s="23">
        <f>IF('05 Simple Returns'!A464="","",'05 Simple Returns'!A464)</f>
        <v/>
      </c>
      <c r="B464" s="25">
        <f>IF($A464="","",SUM(MMULT('05 Simple Returns'!B464:G464,'08 Optimisation'!$B$36:$B$41)))</f>
        <v/>
      </c>
      <c r="C464" s="25">
        <f>IF($A464="","",SUM(MMULT('06 Log Returns'!B464:G464,'08 Optimisation'!$B$36:$B$41)))</f>
        <v/>
      </c>
      <c r="D464" s="37">
        <f>IF($A464="","",IF(D463="","",D463*(1+B464)))</f>
        <v/>
      </c>
      <c r="E464" s="37">
        <f>IF($A464="","",MAX($D$5:D464))</f>
        <v/>
      </c>
      <c r="F464" s="25">
        <f>IF($A464="","",(E464-D464)/E464)</f>
        <v/>
      </c>
    </row>
    <row r="465">
      <c r="A465" s="23">
        <f>IF('05 Simple Returns'!A465="","",'05 Simple Returns'!A465)</f>
        <v/>
      </c>
      <c r="B465" s="25">
        <f>IF($A465="","",SUM(MMULT('05 Simple Returns'!B465:G465,'08 Optimisation'!$B$36:$B$41)))</f>
        <v/>
      </c>
      <c r="C465" s="25">
        <f>IF($A465="","",SUM(MMULT('06 Log Returns'!B465:G465,'08 Optimisation'!$B$36:$B$41)))</f>
        <v/>
      </c>
      <c r="D465" s="37">
        <f>IF($A465="","",IF(D464="","",D464*(1+B465)))</f>
        <v/>
      </c>
      <c r="E465" s="37">
        <f>IF($A465="","",MAX($D$5:D465))</f>
        <v/>
      </c>
      <c r="F465" s="25">
        <f>IF($A465="","",(E465-D465)/E465)</f>
        <v/>
      </c>
    </row>
    <row r="466">
      <c r="A466" s="23">
        <f>IF('05 Simple Returns'!A466="","",'05 Simple Returns'!A466)</f>
        <v/>
      </c>
      <c r="B466" s="25">
        <f>IF($A466="","",SUM(MMULT('05 Simple Returns'!B466:G466,'08 Optimisation'!$B$36:$B$41)))</f>
        <v/>
      </c>
      <c r="C466" s="25">
        <f>IF($A466="","",SUM(MMULT('06 Log Returns'!B466:G466,'08 Optimisation'!$B$36:$B$41)))</f>
        <v/>
      </c>
      <c r="D466" s="37">
        <f>IF($A466="","",IF(D465="","",D465*(1+B466)))</f>
        <v/>
      </c>
      <c r="E466" s="37">
        <f>IF($A466="","",MAX($D$5:D466))</f>
        <v/>
      </c>
      <c r="F466" s="25">
        <f>IF($A466="","",(E466-D466)/E466)</f>
        <v/>
      </c>
    </row>
    <row r="467">
      <c r="A467" s="23">
        <f>IF('05 Simple Returns'!A467="","",'05 Simple Returns'!A467)</f>
        <v/>
      </c>
      <c r="B467" s="25">
        <f>IF($A467="","",SUM(MMULT('05 Simple Returns'!B467:G467,'08 Optimisation'!$B$36:$B$41)))</f>
        <v/>
      </c>
      <c r="C467" s="25">
        <f>IF($A467="","",SUM(MMULT('06 Log Returns'!B467:G467,'08 Optimisation'!$B$36:$B$41)))</f>
        <v/>
      </c>
      <c r="D467" s="37">
        <f>IF($A467="","",IF(D466="","",D466*(1+B467)))</f>
        <v/>
      </c>
      <c r="E467" s="37">
        <f>IF($A467="","",MAX($D$5:D467))</f>
        <v/>
      </c>
      <c r="F467" s="25">
        <f>IF($A467="","",(E467-D467)/E467)</f>
        <v/>
      </c>
    </row>
    <row r="468">
      <c r="A468" s="23">
        <f>IF('05 Simple Returns'!A468="","",'05 Simple Returns'!A468)</f>
        <v/>
      </c>
      <c r="B468" s="25">
        <f>IF($A468="","",SUM(MMULT('05 Simple Returns'!B468:G468,'08 Optimisation'!$B$36:$B$41)))</f>
        <v/>
      </c>
      <c r="C468" s="25">
        <f>IF($A468="","",SUM(MMULT('06 Log Returns'!B468:G468,'08 Optimisation'!$B$36:$B$41)))</f>
        <v/>
      </c>
      <c r="D468" s="37">
        <f>IF($A468="","",IF(D467="","",D467*(1+B468)))</f>
        <v/>
      </c>
      <c r="E468" s="37">
        <f>IF($A468="","",MAX($D$5:D468))</f>
        <v/>
      </c>
      <c r="F468" s="25">
        <f>IF($A468="","",(E468-D468)/E468)</f>
        <v/>
      </c>
    </row>
    <row r="469">
      <c r="A469" s="23">
        <f>IF('05 Simple Returns'!A469="","",'05 Simple Returns'!A469)</f>
        <v/>
      </c>
      <c r="B469" s="25">
        <f>IF($A469="","",SUM(MMULT('05 Simple Returns'!B469:G469,'08 Optimisation'!$B$36:$B$41)))</f>
        <v/>
      </c>
      <c r="C469" s="25">
        <f>IF($A469="","",SUM(MMULT('06 Log Returns'!B469:G469,'08 Optimisation'!$B$36:$B$41)))</f>
        <v/>
      </c>
      <c r="D469" s="37">
        <f>IF($A469="","",IF(D468="","",D468*(1+B469)))</f>
        <v/>
      </c>
      <c r="E469" s="37">
        <f>IF($A469="","",MAX($D$5:D469))</f>
        <v/>
      </c>
      <c r="F469" s="25">
        <f>IF($A469="","",(E469-D469)/E469)</f>
        <v/>
      </c>
    </row>
    <row r="470">
      <c r="A470" s="23">
        <f>IF('05 Simple Returns'!A470="","",'05 Simple Returns'!A470)</f>
        <v/>
      </c>
      <c r="B470" s="25">
        <f>IF($A470="","",SUM(MMULT('05 Simple Returns'!B470:G470,'08 Optimisation'!$B$36:$B$41)))</f>
        <v/>
      </c>
      <c r="C470" s="25">
        <f>IF($A470="","",SUM(MMULT('06 Log Returns'!B470:G470,'08 Optimisation'!$B$36:$B$41)))</f>
        <v/>
      </c>
      <c r="D470" s="37">
        <f>IF($A470="","",IF(D469="","",D469*(1+B470)))</f>
        <v/>
      </c>
      <c r="E470" s="37">
        <f>IF($A470="","",MAX($D$5:D470))</f>
        <v/>
      </c>
      <c r="F470" s="25">
        <f>IF($A470="","",(E470-D470)/E470)</f>
        <v/>
      </c>
    </row>
    <row r="471">
      <c r="A471" s="23">
        <f>IF('05 Simple Returns'!A471="","",'05 Simple Returns'!A471)</f>
        <v/>
      </c>
      <c r="B471" s="25">
        <f>IF($A471="","",SUM(MMULT('05 Simple Returns'!B471:G471,'08 Optimisation'!$B$36:$B$41)))</f>
        <v/>
      </c>
      <c r="C471" s="25">
        <f>IF($A471="","",SUM(MMULT('06 Log Returns'!B471:G471,'08 Optimisation'!$B$36:$B$41)))</f>
        <v/>
      </c>
      <c r="D471" s="37">
        <f>IF($A471="","",IF(D470="","",D470*(1+B471)))</f>
        <v/>
      </c>
      <c r="E471" s="37">
        <f>IF($A471="","",MAX($D$5:D471))</f>
        <v/>
      </c>
      <c r="F471" s="25">
        <f>IF($A471="","",(E471-D471)/E471)</f>
        <v/>
      </c>
    </row>
    <row r="472">
      <c r="A472" s="23">
        <f>IF('05 Simple Returns'!A472="","",'05 Simple Returns'!A472)</f>
        <v/>
      </c>
      <c r="B472" s="25">
        <f>IF($A472="","",SUM(MMULT('05 Simple Returns'!B472:G472,'08 Optimisation'!$B$36:$B$41)))</f>
        <v/>
      </c>
      <c r="C472" s="25">
        <f>IF($A472="","",SUM(MMULT('06 Log Returns'!B472:G472,'08 Optimisation'!$B$36:$B$41)))</f>
        <v/>
      </c>
      <c r="D472" s="37">
        <f>IF($A472="","",IF(D471="","",D471*(1+B472)))</f>
        <v/>
      </c>
      <c r="E472" s="37">
        <f>IF($A472="","",MAX($D$5:D472))</f>
        <v/>
      </c>
      <c r="F472" s="25">
        <f>IF($A472="","",(E472-D472)/E472)</f>
        <v/>
      </c>
    </row>
    <row r="473">
      <c r="A473" s="23">
        <f>IF('05 Simple Returns'!A473="","",'05 Simple Returns'!A473)</f>
        <v/>
      </c>
      <c r="B473" s="25">
        <f>IF($A473="","",SUM(MMULT('05 Simple Returns'!B473:G473,'08 Optimisation'!$B$36:$B$41)))</f>
        <v/>
      </c>
      <c r="C473" s="25">
        <f>IF($A473="","",SUM(MMULT('06 Log Returns'!B473:G473,'08 Optimisation'!$B$36:$B$41)))</f>
        <v/>
      </c>
      <c r="D473" s="37">
        <f>IF($A473="","",IF(D472="","",D472*(1+B473)))</f>
        <v/>
      </c>
      <c r="E473" s="37">
        <f>IF($A473="","",MAX($D$5:D473))</f>
        <v/>
      </c>
      <c r="F473" s="25">
        <f>IF($A473="","",(E473-D473)/E473)</f>
        <v/>
      </c>
    </row>
    <row r="474">
      <c r="A474" s="23">
        <f>IF('05 Simple Returns'!A474="","",'05 Simple Returns'!A474)</f>
        <v/>
      </c>
      <c r="B474" s="25">
        <f>IF($A474="","",SUM(MMULT('05 Simple Returns'!B474:G474,'08 Optimisation'!$B$36:$B$41)))</f>
        <v/>
      </c>
      <c r="C474" s="25">
        <f>IF($A474="","",SUM(MMULT('06 Log Returns'!B474:G474,'08 Optimisation'!$B$36:$B$41)))</f>
        <v/>
      </c>
      <c r="D474" s="37">
        <f>IF($A474="","",IF(D473="","",D473*(1+B474)))</f>
        <v/>
      </c>
      <c r="E474" s="37">
        <f>IF($A474="","",MAX($D$5:D474))</f>
        <v/>
      </c>
      <c r="F474" s="25">
        <f>IF($A474="","",(E474-D474)/E474)</f>
        <v/>
      </c>
    </row>
    <row r="475">
      <c r="A475" s="23">
        <f>IF('05 Simple Returns'!A475="","",'05 Simple Returns'!A475)</f>
        <v/>
      </c>
      <c r="B475" s="25">
        <f>IF($A475="","",SUM(MMULT('05 Simple Returns'!B475:G475,'08 Optimisation'!$B$36:$B$41)))</f>
        <v/>
      </c>
      <c r="C475" s="25">
        <f>IF($A475="","",SUM(MMULT('06 Log Returns'!B475:G475,'08 Optimisation'!$B$36:$B$41)))</f>
        <v/>
      </c>
      <c r="D475" s="37">
        <f>IF($A475="","",IF(D474="","",D474*(1+B475)))</f>
        <v/>
      </c>
      <c r="E475" s="37">
        <f>IF($A475="","",MAX($D$5:D475))</f>
        <v/>
      </c>
      <c r="F475" s="25">
        <f>IF($A475="","",(E475-D475)/E475)</f>
        <v/>
      </c>
    </row>
    <row r="476">
      <c r="A476" s="23">
        <f>IF('05 Simple Returns'!A476="","",'05 Simple Returns'!A476)</f>
        <v/>
      </c>
      <c r="B476" s="25">
        <f>IF($A476="","",SUM(MMULT('05 Simple Returns'!B476:G476,'08 Optimisation'!$B$36:$B$41)))</f>
        <v/>
      </c>
      <c r="C476" s="25">
        <f>IF($A476="","",SUM(MMULT('06 Log Returns'!B476:G476,'08 Optimisation'!$B$36:$B$41)))</f>
        <v/>
      </c>
      <c r="D476" s="37">
        <f>IF($A476="","",IF(D475="","",D475*(1+B476)))</f>
        <v/>
      </c>
      <c r="E476" s="37">
        <f>IF($A476="","",MAX($D$5:D476))</f>
        <v/>
      </c>
      <c r="F476" s="25">
        <f>IF($A476="","",(E476-D476)/E476)</f>
        <v/>
      </c>
    </row>
    <row r="477">
      <c r="A477" s="23">
        <f>IF('05 Simple Returns'!A477="","",'05 Simple Returns'!A477)</f>
        <v/>
      </c>
      <c r="B477" s="25">
        <f>IF($A477="","",SUM(MMULT('05 Simple Returns'!B477:G477,'08 Optimisation'!$B$36:$B$41)))</f>
        <v/>
      </c>
      <c r="C477" s="25">
        <f>IF($A477="","",SUM(MMULT('06 Log Returns'!B477:G477,'08 Optimisation'!$B$36:$B$41)))</f>
        <v/>
      </c>
      <c r="D477" s="37">
        <f>IF($A477="","",IF(D476="","",D476*(1+B477)))</f>
        <v/>
      </c>
      <c r="E477" s="37">
        <f>IF($A477="","",MAX($D$5:D477))</f>
        <v/>
      </c>
      <c r="F477" s="25">
        <f>IF($A477="","",(E477-D477)/E477)</f>
        <v/>
      </c>
    </row>
    <row r="478">
      <c r="A478" s="23">
        <f>IF('05 Simple Returns'!A478="","",'05 Simple Returns'!A478)</f>
        <v/>
      </c>
      <c r="B478" s="25">
        <f>IF($A478="","",SUM(MMULT('05 Simple Returns'!B478:G478,'08 Optimisation'!$B$36:$B$41)))</f>
        <v/>
      </c>
      <c r="C478" s="25">
        <f>IF($A478="","",SUM(MMULT('06 Log Returns'!B478:G478,'08 Optimisation'!$B$36:$B$41)))</f>
        <v/>
      </c>
      <c r="D478" s="37">
        <f>IF($A478="","",IF(D477="","",D477*(1+B478)))</f>
        <v/>
      </c>
      <c r="E478" s="37">
        <f>IF($A478="","",MAX($D$5:D478))</f>
        <v/>
      </c>
      <c r="F478" s="25">
        <f>IF($A478="","",(E478-D478)/E478)</f>
        <v/>
      </c>
    </row>
    <row r="479">
      <c r="A479" s="23">
        <f>IF('05 Simple Returns'!A479="","",'05 Simple Returns'!A479)</f>
        <v/>
      </c>
      <c r="B479" s="25">
        <f>IF($A479="","",SUM(MMULT('05 Simple Returns'!B479:G479,'08 Optimisation'!$B$36:$B$41)))</f>
        <v/>
      </c>
      <c r="C479" s="25">
        <f>IF($A479="","",SUM(MMULT('06 Log Returns'!B479:G479,'08 Optimisation'!$B$36:$B$41)))</f>
        <v/>
      </c>
      <c r="D479" s="37">
        <f>IF($A479="","",IF(D478="","",D478*(1+B479)))</f>
        <v/>
      </c>
      <c r="E479" s="37">
        <f>IF($A479="","",MAX($D$5:D479))</f>
        <v/>
      </c>
      <c r="F479" s="25">
        <f>IF($A479="","",(E479-D479)/E479)</f>
        <v/>
      </c>
    </row>
    <row r="480">
      <c r="A480" s="23">
        <f>IF('05 Simple Returns'!A480="","",'05 Simple Returns'!A480)</f>
        <v/>
      </c>
      <c r="B480" s="25">
        <f>IF($A480="","",SUM(MMULT('05 Simple Returns'!B480:G480,'08 Optimisation'!$B$36:$B$41)))</f>
        <v/>
      </c>
      <c r="C480" s="25">
        <f>IF($A480="","",SUM(MMULT('06 Log Returns'!B480:G480,'08 Optimisation'!$B$36:$B$41)))</f>
        <v/>
      </c>
      <c r="D480" s="37">
        <f>IF($A480="","",IF(D479="","",D479*(1+B480)))</f>
        <v/>
      </c>
      <c r="E480" s="37">
        <f>IF($A480="","",MAX($D$5:D480))</f>
        <v/>
      </c>
      <c r="F480" s="25">
        <f>IF($A480="","",(E480-D480)/E480)</f>
        <v/>
      </c>
    </row>
    <row r="481">
      <c r="A481" s="23">
        <f>IF('05 Simple Returns'!A481="","",'05 Simple Returns'!A481)</f>
        <v/>
      </c>
      <c r="B481" s="25">
        <f>IF($A481="","",SUM(MMULT('05 Simple Returns'!B481:G481,'08 Optimisation'!$B$36:$B$41)))</f>
        <v/>
      </c>
      <c r="C481" s="25">
        <f>IF($A481="","",SUM(MMULT('06 Log Returns'!B481:G481,'08 Optimisation'!$B$36:$B$41)))</f>
        <v/>
      </c>
      <c r="D481" s="37">
        <f>IF($A481="","",IF(D480="","",D480*(1+B481)))</f>
        <v/>
      </c>
      <c r="E481" s="37">
        <f>IF($A481="","",MAX($D$5:D481))</f>
        <v/>
      </c>
      <c r="F481" s="25">
        <f>IF($A481="","",(E481-D481)/E481)</f>
        <v/>
      </c>
    </row>
    <row r="482">
      <c r="A482" s="23">
        <f>IF('05 Simple Returns'!A482="","",'05 Simple Returns'!A482)</f>
        <v/>
      </c>
      <c r="B482" s="25">
        <f>IF($A482="","",SUM(MMULT('05 Simple Returns'!B482:G482,'08 Optimisation'!$B$36:$B$41)))</f>
        <v/>
      </c>
      <c r="C482" s="25">
        <f>IF($A482="","",SUM(MMULT('06 Log Returns'!B482:G482,'08 Optimisation'!$B$36:$B$41)))</f>
        <v/>
      </c>
      <c r="D482" s="37">
        <f>IF($A482="","",IF(D481="","",D481*(1+B482)))</f>
        <v/>
      </c>
      <c r="E482" s="37">
        <f>IF($A482="","",MAX($D$5:D482))</f>
        <v/>
      </c>
      <c r="F482" s="25">
        <f>IF($A482="","",(E482-D482)/E482)</f>
        <v/>
      </c>
    </row>
    <row r="483">
      <c r="A483" s="23">
        <f>IF('05 Simple Returns'!A483="","",'05 Simple Returns'!A483)</f>
        <v/>
      </c>
      <c r="B483" s="25">
        <f>IF($A483="","",SUM(MMULT('05 Simple Returns'!B483:G483,'08 Optimisation'!$B$36:$B$41)))</f>
        <v/>
      </c>
      <c r="C483" s="25">
        <f>IF($A483="","",SUM(MMULT('06 Log Returns'!B483:G483,'08 Optimisation'!$B$36:$B$41)))</f>
        <v/>
      </c>
      <c r="D483" s="37">
        <f>IF($A483="","",IF(D482="","",D482*(1+B483)))</f>
        <v/>
      </c>
      <c r="E483" s="37">
        <f>IF($A483="","",MAX($D$5:D483))</f>
        <v/>
      </c>
      <c r="F483" s="25">
        <f>IF($A483="","",(E483-D483)/E483)</f>
        <v/>
      </c>
    </row>
    <row r="484">
      <c r="A484" s="23">
        <f>IF('05 Simple Returns'!A484="","",'05 Simple Returns'!A484)</f>
        <v/>
      </c>
      <c r="B484" s="25">
        <f>IF($A484="","",SUM(MMULT('05 Simple Returns'!B484:G484,'08 Optimisation'!$B$36:$B$41)))</f>
        <v/>
      </c>
      <c r="C484" s="25">
        <f>IF($A484="","",SUM(MMULT('06 Log Returns'!B484:G484,'08 Optimisation'!$B$36:$B$41)))</f>
        <v/>
      </c>
      <c r="D484" s="37">
        <f>IF($A484="","",IF(D483="","",D483*(1+B484)))</f>
        <v/>
      </c>
      <c r="E484" s="37">
        <f>IF($A484="","",MAX($D$5:D484))</f>
        <v/>
      </c>
      <c r="F484" s="25">
        <f>IF($A484="","",(E484-D484)/E484)</f>
        <v/>
      </c>
    </row>
    <row r="485">
      <c r="A485" s="23">
        <f>IF('05 Simple Returns'!A485="","",'05 Simple Returns'!A485)</f>
        <v/>
      </c>
      <c r="B485" s="25">
        <f>IF($A485="","",SUM(MMULT('05 Simple Returns'!B485:G485,'08 Optimisation'!$B$36:$B$41)))</f>
        <v/>
      </c>
      <c r="C485" s="25">
        <f>IF($A485="","",SUM(MMULT('06 Log Returns'!B485:G485,'08 Optimisation'!$B$36:$B$41)))</f>
        <v/>
      </c>
      <c r="D485" s="37">
        <f>IF($A485="","",IF(D484="","",D484*(1+B485)))</f>
        <v/>
      </c>
      <c r="E485" s="37">
        <f>IF($A485="","",MAX($D$5:D485))</f>
        <v/>
      </c>
      <c r="F485" s="25">
        <f>IF($A485="","",(E485-D485)/E485)</f>
        <v/>
      </c>
    </row>
    <row r="486">
      <c r="A486" s="23">
        <f>IF('05 Simple Returns'!A486="","",'05 Simple Returns'!A486)</f>
        <v/>
      </c>
      <c r="B486" s="25">
        <f>IF($A486="","",SUM(MMULT('05 Simple Returns'!B486:G486,'08 Optimisation'!$B$36:$B$41)))</f>
        <v/>
      </c>
      <c r="C486" s="25">
        <f>IF($A486="","",SUM(MMULT('06 Log Returns'!B486:G486,'08 Optimisation'!$B$36:$B$41)))</f>
        <v/>
      </c>
      <c r="D486" s="37">
        <f>IF($A486="","",IF(D485="","",D485*(1+B486)))</f>
        <v/>
      </c>
      <c r="E486" s="37">
        <f>IF($A486="","",MAX($D$5:D486))</f>
        <v/>
      </c>
      <c r="F486" s="25">
        <f>IF($A486="","",(E486-D486)/E486)</f>
        <v/>
      </c>
    </row>
    <row r="487">
      <c r="A487" s="23">
        <f>IF('05 Simple Returns'!A487="","",'05 Simple Returns'!A487)</f>
        <v/>
      </c>
      <c r="B487" s="25">
        <f>IF($A487="","",SUM(MMULT('05 Simple Returns'!B487:G487,'08 Optimisation'!$B$36:$B$41)))</f>
        <v/>
      </c>
      <c r="C487" s="25">
        <f>IF($A487="","",SUM(MMULT('06 Log Returns'!B487:G487,'08 Optimisation'!$B$36:$B$41)))</f>
        <v/>
      </c>
      <c r="D487" s="37">
        <f>IF($A487="","",IF(D486="","",D486*(1+B487)))</f>
        <v/>
      </c>
      <c r="E487" s="37">
        <f>IF($A487="","",MAX($D$5:D487))</f>
        <v/>
      </c>
      <c r="F487" s="25">
        <f>IF($A487="","",(E487-D487)/E487)</f>
        <v/>
      </c>
    </row>
    <row r="488">
      <c r="A488" s="23">
        <f>IF('05 Simple Returns'!A488="","",'05 Simple Returns'!A488)</f>
        <v/>
      </c>
      <c r="B488" s="25">
        <f>IF($A488="","",SUM(MMULT('05 Simple Returns'!B488:G488,'08 Optimisation'!$B$36:$B$41)))</f>
        <v/>
      </c>
      <c r="C488" s="25">
        <f>IF($A488="","",SUM(MMULT('06 Log Returns'!B488:G488,'08 Optimisation'!$B$36:$B$41)))</f>
        <v/>
      </c>
      <c r="D488" s="37">
        <f>IF($A488="","",IF(D487="","",D487*(1+B488)))</f>
        <v/>
      </c>
      <c r="E488" s="37">
        <f>IF($A488="","",MAX($D$5:D488))</f>
        <v/>
      </c>
      <c r="F488" s="25">
        <f>IF($A488="","",(E488-D488)/E488)</f>
        <v/>
      </c>
    </row>
    <row r="489">
      <c r="A489" s="23">
        <f>IF('05 Simple Returns'!A489="","",'05 Simple Returns'!A489)</f>
        <v/>
      </c>
      <c r="B489" s="25">
        <f>IF($A489="","",SUM(MMULT('05 Simple Returns'!B489:G489,'08 Optimisation'!$B$36:$B$41)))</f>
        <v/>
      </c>
      <c r="C489" s="25">
        <f>IF($A489="","",SUM(MMULT('06 Log Returns'!B489:G489,'08 Optimisation'!$B$36:$B$41)))</f>
        <v/>
      </c>
      <c r="D489" s="37">
        <f>IF($A489="","",IF(D488="","",D488*(1+B489)))</f>
        <v/>
      </c>
      <c r="E489" s="37">
        <f>IF($A489="","",MAX($D$5:D489))</f>
        <v/>
      </c>
      <c r="F489" s="25">
        <f>IF($A489="","",(E489-D489)/E489)</f>
        <v/>
      </c>
    </row>
    <row r="490">
      <c r="A490" s="23">
        <f>IF('05 Simple Returns'!A490="","",'05 Simple Returns'!A490)</f>
        <v/>
      </c>
      <c r="B490" s="25">
        <f>IF($A490="","",SUM(MMULT('05 Simple Returns'!B490:G490,'08 Optimisation'!$B$36:$B$41)))</f>
        <v/>
      </c>
      <c r="C490" s="25">
        <f>IF($A490="","",SUM(MMULT('06 Log Returns'!B490:G490,'08 Optimisation'!$B$36:$B$41)))</f>
        <v/>
      </c>
      <c r="D490" s="37">
        <f>IF($A490="","",IF(D489="","",D489*(1+B490)))</f>
        <v/>
      </c>
      <c r="E490" s="37">
        <f>IF($A490="","",MAX($D$5:D490))</f>
        <v/>
      </c>
      <c r="F490" s="25">
        <f>IF($A490="","",(E490-D490)/E490)</f>
        <v/>
      </c>
    </row>
    <row r="491">
      <c r="A491" s="23">
        <f>IF('05 Simple Returns'!A491="","",'05 Simple Returns'!A491)</f>
        <v/>
      </c>
      <c r="B491" s="25">
        <f>IF($A491="","",SUM(MMULT('05 Simple Returns'!B491:G491,'08 Optimisation'!$B$36:$B$41)))</f>
        <v/>
      </c>
      <c r="C491" s="25">
        <f>IF($A491="","",SUM(MMULT('06 Log Returns'!B491:G491,'08 Optimisation'!$B$36:$B$41)))</f>
        <v/>
      </c>
      <c r="D491" s="37">
        <f>IF($A491="","",IF(D490="","",D490*(1+B491)))</f>
        <v/>
      </c>
      <c r="E491" s="37">
        <f>IF($A491="","",MAX($D$5:D491))</f>
        <v/>
      </c>
      <c r="F491" s="25">
        <f>IF($A491="","",(E491-D491)/E491)</f>
        <v/>
      </c>
    </row>
    <row r="492">
      <c r="A492" s="23">
        <f>IF('05 Simple Returns'!A492="","",'05 Simple Returns'!A492)</f>
        <v/>
      </c>
      <c r="B492" s="25">
        <f>IF($A492="","",SUM(MMULT('05 Simple Returns'!B492:G492,'08 Optimisation'!$B$36:$B$41)))</f>
        <v/>
      </c>
      <c r="C492" s="25">
        <f>IF($A492="","",SUM(MMULT('06 Log Returns'!B492:G492,'08 Optimisation'!$B$36:$B$41)))</f>
        <v/>
      </c>
      <c r="D492" s="37">
        <f>IF($A492="","",IF(D491="","",D491*(1+B492)))</f>
        <v/>
      </c>
      <c r="E492" s="37">
        <f>IF($A492="","",MAX($D$5:D492))</f>
        <v/>
      </c>
      <c r="F492" s="25">
        <f>IF($A492="","",(E492-D492)/E492)</f>
        <v/>
      </c>
    </row>
    <row r="493">
      <c r="A493" s="23">
        <f>IF('05 Simple Returns'!A493="","",'05 Simple Returns'!A493)</f>
        <v/>
      </c>
      <c r="B493" s="25">
        <f>IF($A493="","",SUM(MMULT('05 Simple Returns'!B493:G493,'08 Optimisation'!$B$36:$B$41)))</f>
        <v/>
      </c>
      <c r="C493" s="25">
        <f>IF($A493="","",SUM(MMULT('06 Log Returns'!B493:G493,'08 Optimisation'!$B$36:$B$41)))</f>
        <v/>
      </c>
      <c r="D493" s="37">
        <f>IF($A493="","",IF(D492="","",D492*(1+B493)))</f>
        <v/>
      </c>
      <c r="E493" s="37">
        <f>IF($A493="","",MAX($D$5:D493))</f>
        <v/>
      </c>
      <c r="F493" s="25">
        <f>IF($A493="","",(E493-D493)/E493)</f>
        <v/>
      </c>
    </row>
    <row r="494">
      <c r="A494" s="23">
        <f>IF('05 Simple Returns'!A494="","",'05 Simple Returns'!A494)</f>
        <v/>
      </c>
      <c r="B494" s="25">
        <f>IF($A494="","",SUM(MMULT('05 Simple Returns'!B494:G494,'08 Optimisation'!$B$36:$B$41)))</f>
        <v/>
      </c>
      <c r="C494" s="25">
        <f>IF($A494="","",SUM(MMULT('06 Log Returns'!B494:G494,'08 Optimisation'!$B$36:$B$41)))</f>
        <v/>
      </c>
      <c r="D494" s="37">
        <f>IF($A494="","",IF(D493="","",D493*(1+B494)))</f>
        <v/>
      </c>
      <c r="E494" s="37">
        <f>IF($A494="","",MAX($D$5:D494))</f>
        <v/>
      </c>
      <c r="F494" s="25">
        <f>IF($A494="","",(E494-D494)/E494)</f>
        <v/>
      </c>
    </row>
    <row r="495">
      <c r="A495" s="23">
        <f>IF('05 Simple Returns'!A495="","",'05 Simple Returns'!A495)</f>
        <v/>
      </c>
      <c r="B495" s="25">
        <f>IF($A495="","",SUM(MMULT('05 Simple Returns'!B495:G495,'08 Optimisation'!$B$36:$B$41)))</f>
        <v/>
      </c>
      <c r="C495" s="25">
        <f>IF($A495="","",SUM(MMULT('06 Log Returns'!B495:G495,'08 Optimisation'!$B$36:$B$41)))</f>
        <v/>
      </c>
      <c r="D495" s="37">
        <f>IF($A495="","",IF(D494="","",D494*(1+B495)))</f>
        <v/>
      </c>
      <c r="E495" s="37">
        <f>IF($A495="","",MAX($D$5:D495))</f>
        <v/>
      </c>
      <c r="F495" s="25">
        <f>IF($A495="","",(E495-D495)/E495)</f>
        <v/>
      </c>
    </row>
    <row r="496">
      <c r="A496" s="23">
        <f>IF('05 Simple Returns'!A496="","",'05 Simple Returns'!A496)</f>
        <v/>
      </c>
      <c r="B496" s="25">
        <f>IF($A496="","",SUM(MMULT('05 Simple Returns'!B496:G496,'08 Optimisation'!$B$36:$B$41)))</f>
        <v/>
      </c>
      <c r="C496" s="25">
        <f>IF($A496="","",SUM(MMULT('06 Log Returns'!B496:G496,'08 Optimisation'!$B$36:$B$41)))</f>
        <v/>
      </c>
      <c r="D496" s="37">
        <f>IF($A496="","",IF(D495="","",D495*(1+B496)))</f>
        <v/>
      </c>
      <c r="E496" s="37">
        <f>IF($A496="","",MAX($D$5:D496))</f>
        <v/>
      </c>
      <c r="F496" s="25">
        <f>IF($A496="","",(E496-D496)/E496)</f>
        <v/>
      </c>
    </row>
    <row r="497">
      <c r="A497" s="23">
        <f>IF('05 Simple Returns'!A497="","",'05 Simple Returns'!A497)</f>
        <v/>
      </c>
      <c r="B497" s="25">
        <f>IF($A497="","",SUM(MMULT('05 Simple Returns'!B497:G497,'08 Optimisation'!$B$36:$B$41)))</f>
        <v/>
      </c>
      <c r="C497" s="25">
        <f>IF($A497="","",SUM(MMULT('06 Log Returns'!B497:G497,'08 Optimisation'!$B$36:$B$41)))</f>
        <v/>
      </c>
      <c r="D497" s="37">
        <f>IF($A497="","",IF(D496="","",D496*(1+B497)))</f>
        <v/>
      </c>
      <c r="E497" s="37">
        <f>IF($A497="","",MAX($D$5:D497))</f>
        <v/>
      </c>
      <c r="F497" s="25">
        <f>IF($A497="","",(E497-D497)/E497)</f>
        <v/>
      </c>
    </row>
    <row r="498">
      <c r="A498" s="23">
        <f>IF('05 Simple Returns'!A498="","",'05 Simple Returns'!A498)</f>
        <v/>
      </c>
      <c r="B498" s="25">
        <f>IF($A498="","",SUM(MMULT('05 Simple Returns'!B498:G498,'08 Optimisation'!$B$36:$B$41)))</f>
        <v/>
      </c>
      <c r="C498" s="25">
        <f>IF($A498="","",SUM(MMULT('06 Log Returns'!B498:G498,'08 Optimisation'!$B$36:$B$41)))</f>
        <v/>
      </c>
      <c r="D498" s="37">
        <f>IF($A498="","",IF(D497="","",D497*(1+B498)))</f>
        <v/>
      </c>
      <c r="E498" s="37">
        <f>IF($A498="","",MAX($D$5:D498))</f>
        <v/>
      </c>
      <c r="F498" s="25">
        <f>IF($A498="","",(E498-D498)/E498)</f>
        <v/>
      </c>
    </row>
    <row r="499">
      <c r="A499" s="23">
        <f>IF('05 Simple Returns'!A499="","",'05 Simple Returns'!A499)</f>
        <v/>
      </c>
      <c r="B499" s="25">
        <f>IF($A499="","",SUM(MMULT('05 Simple Returns'!B499:G499,'08 Optimisation'!$B$36:$B$41)))</f>
        <v/>
      </c>
      <c r="C499" s="25">
        <f>IF($A499="","",SUM(MMULT('06 Log Returns'!B499:G499,'08 Optimisation'!$B$36:$B$41)))</f>
        <v/>
      </c>
      <c r="D499" s="37">
        <f>IF($A499="","",IF(D498="","",D498*(1+B499)))</f>
        <v/>
      </c>
      <c r="E499" s="37">
        <f>IF($A499="","",MAX($D$5:D499))</f>
        <v/>
      </c>
      <c r="F499" s="25">
        <f>IF($A499="","",(E499-D499)/E499)</f>
        <v/>
      </c>
    </row>
    <row r="500">
      <c r="A500" s="23">
        <f>IF('05 Simple Returns'!A500="","",'05 Simple Returns'!A500)</f>
        <v/>
      </c>
      <c r="B500" s="25">
        <f>IF($A500="","",SUM(MMULT('05 Simple Returns'!B500:G500,'08 Optimisation'!$B$36:$B$41)))</f>
        <v/>
      </c>
      <c r="C500" s="25">
        <f>IF($A500="","",SUM(MMULT('06 Log Returns'!B500:G500,'08 Optimisation'!$B$36:$B$41)))</f>
        <v/>
      </c>
      <c r="D500" s="37">
        <f>IF($A500="","",IF(D499="","",D499*(1+B500)))</f>
        <v/>
      </c>
      <c r="E500" s="37">
        <f>IF($A500="","",MAX($D$5:D500))</f>
        <v/>
      </c>
      <c r="F500" s="25">
        <f>IF($A500="","",(E500-D500)/E500)</f>
        <v/>
      </c>
    </row>
    <row r="501">
      <c r="A501" s="23">
        <f>IF('05 Simple Returns'!A501="","",'05 Simple Returns'!A501)</f>
        <v/>
      </c>
      <c r="B501" s="25">
        <f>IF($A501="","",SUM(MMULT('05 Simple Returns'!B501:G501,'08 Optimisation'!$B$36:$B$41)))</f>
        <v/>
      </c>
      <c r="C501" s="25">
        <f>IF($A501="","",SUM(MMULT('06 Log Returns'!B501:G501,'08 Optimisation'!$B$36:$B$41)))</f>
        <v/>
      </c>
      <c r="D501" s="37">
        <f>IF($A501="","",IF(D500="","",D500*(1+B501)))</f>
        <v/>
      </c>
      <c r="E501" s="37">
        <f>IF($A501="","",MAX($D$5:D501))</f>
        <v/>
      </c>
      <c r="F501" s="25">
        <f>IF($A501="","",(E501-D501)/E501)</f>
        <v/>
      </c>
    </row>
    <row r="502">
      <c r="A502" s="23">
        <f>IF('05 Simple Returns'!A502="","",'05 Simple Returns'!A502)</f>
        <v/>
      </c>
      <c r="B502" s="25">
        <f>IF($A502="","",SUM(MMULT('05 Simple Returns'!B502:G502,'08 Optimisation'!$B$36:$B$41)))</f>
        <v/>
      </c>
      <c r="C502" s="25">
        <f>IF($A502="","",SUM(MMULT('06 Log Returns'!B502:G502,'08 Optimisation'!$B$36:$B$41)))</f>
        <v/>
      </c>
      <c r="D502" s="37">
        <f>IF($A502="","",IF(D501="","",D501*(1+B502)))</f>
        <v/>
      </c>
      <c r="E502" s="37">
        <f>IF($A502="","",MAX($D$5:D502))</f>
        <v/>
      </c>
      <c r="F502" s="25">
        <f>IF($A502="","",(E502-D502)/E502)</f>
        <v/>
      </c>
    </row>
    <row r="503">
      <c r="A503" s="23">
        <f>IF('05 Simple Returns'!A503="","",'05 Simple Returns'!A503)</f>
        <v/>
      </c>
      <c r="B503" s="25">
        <f>IF($A503="","",SUM(MMULT('05 Simple Returns'!B503:G503,'08 Optimisation'!$B$36:$B$41)))</f>
        <v/>
      </c>
      <c r="C503" s="25">
        <f>IF($A503="","",SUM(MMULT('06 Log Returns'!B503:G503,'08 Optimisation'!$B$36:$B$41)))</f>
        <v/>
      </c>
      <c r="D503" s="37">
        <f>IF($A503="","",IF(D502="","",D502*(1+B503)))</f>
        <v/>
      </c>
      <c r="E503" s="37">
        <f>IF($A503="","",MAX($D$5:D503))</f>
        <v/>
      </c>
      <c r="F503" s="25">
        <f>IF($A503="","",(E503-D503)/E503)</f>
        <v/>
      </c>
    </row>
    <row r="504">
      <c r="A504" s="23">
        <f>IF('05 Simple Returns'!A504="","",'05 Simple Returns'!A504)</f>
        <v/>
      </c>
      <c r="B504" s="25">
        <f>IF($A504="","",SUM(MMULT('05 Simple Returns'!B504:G504,'08 Optimisation'!$B$36:$B$41)))</f>
        <v/>
      </c>
      <c r="C504" s="25">
        <f>IF($A504="","",SUM(MMULT('06 Log Returns'!B504:G504,'08 Optimisation'!$B$36:$B$41)))</f>
        <v/>
      </c>
      <c r="D504" s="37">
        <f>IF($A504="","",IF(D503="","",D503*(1+B504)))</f>
        <v/>
      </c>
      <c r="E504" s="37">
        <f>IF($A504="","",MAX($D$5:D504))</f>
        <v/>
      </c>
      <c r="F504" s="25">
        <f>IF($A504="","",(E504-D504)/E504)</f>
        <v/>
      </c>
    </row>
    <row r="505">
      <c r="A505" s="23">
        <f>IF('05 Simple Returns'!A505="","",'05 Simple Returns'!A505)</f>
        <v/>
      </c>
      <c r="B505" s="25">
        <f>IF($A505="","",SUM(MMULT('05 Simple Returns'!B505:G505,'08 Optimisation'!$B$36:$B$41)))</f>
        <v/>
      </c>
      <c r="C505" s="25">
        <f>IF($A505="","",SUM(MMULT('06 Log Returns'!B505:G505,'08 Optimisation'!$B$36:$B$41)))</f>
        <v/>
      </c>
      <c r="D505" s="37">
        <f>IF($A505="","",IF(D504="","",D504*(1+B505)))</f>
        <v/>
      </c>
      <c r="E505" s="37">
        <f>IF($A505="","",MAX($D$5:D505))</f>
        <v/>
      </c>
      <c r="F505" s="25">
        <f>IF($A505="","",(E505-D505)/E505)</f>
        <v/>
      </c>
    </row>
    <row r="506">
      <c r="A506" s="23">
        <f>IF('05 Simple Returns'!A506="","",'05 Simple Returns'!A506)</f>
        <v/>
      </c>
      <c r="B506" s="25">
        <f>IF($A506="","",SUM(MMULT('05 Simple Returns'!B506:G506,'08 Optimisation'!$B$36:$B$41)))</f>
        <v/>
      </c>
      <c r="C506" s="25">
        <f>IF($A506="","",SUM(MMULT('06 Log Returns'!B506:G506,'08 Optimisation'!$B$36:$B$41)))</f>
        <v/>
      </c>
      <c r="D506" s="37">
        <f>IF($A506="","",IF(D505="","",D505*(1+B506)))</f>
        <v/>
      </c>
      <c r="E506" s="37">
        <f>IF($A506="","",MAX($D$5:D506))</f>
        <v/>
      </c>
      <c r="F506" s="25">
        <f>IF($A506="","",(E506-D506)/E506)</f>
        <v/>
      </c>
    </row>
    <row r="507">
      <c r="A507" s="23">
        <f>IF('05 Simple Returns'!A507="","",'05 Simple Returns'!A507)</f>
        <v/>
      </c>
      <c r="B507" s="25">
        <f>IF($A507="","",SUM(MMULT('05 Simple Returns'!B507:G507,'08 Optimisation'!$B$36:$B$41)))</f>
        <v/>
      </c>
      <c r="C507" s="25">
        <f>IF($A507="","",SUM(MMULT('06 Log Returns'!B507:G507,'08 Optimisation'!$B$36:$B$41)))</f>
        <v/>
      </c>
      <c r="D507" s="37">
        <f>IF($A507="","",IF(D506="","",D506*(1+B507)))</f>
        <v/>
      </c>
      <c r="E507" s="37">
        <f>IF($A507="","",MAX($D$5:D507))</f>
        <v/>
      </c>
      <c r="F507" s="25">
        <f>IF($A507="","",(E507-D507)/E507)</f>
        <v/>
      </c>
    </row>
    <row r="508">
      <c r="A508" s="23">
        <f>IF('05 Simple Returns'!A508="","",'05 Simple Returns'!A508)</f>
        <v/>
      </c>
      <c r="B508" s="25">
        <f>IF($A508="","",SUM(MMULT('05 Simple Returns'!B508:G508,'08 Optimisation'!$B$36:$B$41)))</f>
        <v/>
      </c>
      <c r="C508" s="25">
        <f>IF($A508="","",SUM(MMULT('06 Log Returns'!B508:G508,'08 Optimisation'!$B$36:$B$41)))</f>
        <v/>
      </c>
      <c r="D508" s="37">
        <f>IF($A508="","",IF(D507="","",D507*(1+B508)))</f>
        <v/>
      </c>
      <c r="E508" s="37">
        <f>IF($A508="","",MAX($D$5:D508))</f>
        <v/>
      </c>
      <c r="F508" s="25">
        <f>IF($A508="","",(E508-D508)/E508)</f>
        <v/>
      </c>
    </row>
    <row r="509">
      <c r="A509" s="23">
        <f>IF('05 Simple Returns'!A509="","",'05 Simple Returns'!A509)</f>
        <v/>
      </c>
      <c r="B509" s="25">
        <f>IF($A509="","",SUM(MMULT('05 Simple Returns'!B509:G509,'08 Optimisation'!$B$36:$B$41)))</f>
        <v/>
      </c>
      <c r="C509" s="25">
        <f>IF($A509="","",SUM(MMULT('06 Log Returns'!B509:G509,'08 Optimisation'!$B$36:$B$41)))</f>
        <v/>
      </c>
      <c r="D509" s="37">
        <f>IF($A509="","",IF(D508="","",D508*(1+B509)))</f>
        <v/>
      </c>
      <c r="E509" s="37">
        <f>IF($A509="","",MAX($D$5:D509))</f>
        <v/>
      </c>
      <c r="F509" s="25">
        <f>IF($A509="","",(E509-D509)/E509)</f>
        <v/>
      </c>
    </row>
    <row r="510">
      <c r="A510" s="23">
        <f>IF('05 Simple Returns'!A510="","",'05 Simple Returns'!A510)</f>
        <v/>
      </c>
      <c r="B510" s="25">
        <f>IF($A510="","",SUM(MMULT('05 Simple Returns'!B510:G510,'08 Optimisation'!$B$36:$B$41)))</f>
        <v/>
      </c>
      <c r="C510" s="25">
        <f>IF($A510="","",SUM(MMULT('06 Log Returns'!B510:G510,'08 Optimisation'!$B$36:$B$41)))</f>
        <v/>
      </c>
      <c r="D510" s="37">
        <f>IF($A510="","",IF(D509="","",D509*(1+B510)))</f>
        <v/>
      </c>
      <c r="E510" s="37">
        <f>IF($A510="","",MAX($D$5:D510))</f>
        <v/>
      </c>
      <c r="F510" s="25">
        <f>IF($A510="","",(E510-D510)/E510)</f>
        <v/>
      </c>
    </row>
    <row r="511">
      <c r="A511" s="23">
        <f>IF('05 Simple Returns'!A511="","",'05 Simple Returns'!A511)</f>
        <v/>
      </c>
      <c r="B511" s="25">
        <f>IF($A511="","",SUM(MMULT('05 Simple Returns'!B511:G511,'08 Optimisation'!$B$36:$B$41)))</f>
        <v/>
      </c>
      <c r="C511" s="25">
        <f>IF($A511="","",SUM(MMULT('06 Log Returns'!B511:G511,'08 Optimisation'!$B$36:$B$41)))</f>
        <v/>
      </c>
      <c r="D511" s="37">
        <f>IF($A511="","",IF(D510="","",D510*(1+B511)))</f>
        <v/>
      </c>
      <c r="E511" s="37">
        <f>IF($A511="","",MAX($D$5:D511))</f>
        <v/>
      </c>
      <c r="F511" s="25">
        <f>IF($A511="","",(E511-D511)/E511)</f>
        <v/>
      </c>
    </row>
    <row r="512">
      <c r="A512" s="23">
        <f>IF('05 Simple Returns'!A512="","",'05 Simple Returns'!A512)</f>
        <v/>
      </c>
      <c r="B512" s="25">
        <f>IF($A512="","",SUM(MMULT('05 Simple Returns'!B512:G512,'08 Optimisation'!$B$36:$B$41)))</f>
        <v/>
      </c>
      <c r="C512" s="25">
        <f>IF($A512="","",SUM(MMULT('06 Log Returns'!B512:G512,'08 Optimisation'!$B$36:$B$41)))</f>
        <v/>
      </c>
      <c r="D512" s="37">
        <f>IF($A512="","",IF(D511="","",D511*(1+B512)))</f>
        <v/>
      </c>
      <c r="E512" s="37">
        <f>IF($A512="","",MAX($D$5:D512))</f>
        <v/>
      </c>
      <c r="F512" s="25">
        <f>IF($A512="","",(E512-D512)/E512)</f>
        <v/>
      </c>
    </row>
    <row r="513">
      <c r="A513" s="23">
        <f>IF('05 Simple Returns'!A513="","",'05 Simple Returns'!A513)</f>
        <v/>
      </c>
      <c r="B513" s="25">
        <f>IF($A513="","",SUM(MMULT('05 Simple Returns'!B513:G513,'08 Optimisation'!$B$36:$B$41)))</f>
        <v/>
      </c>
      <c r="C513" s="25">
        <f>IF($A513="","",SUM(MMULT('06 Log Returns'!B513:G513,'08 Optimisation'!$B$36:$B$41)))</f>
        <v/>
      </c>
      <c r="D513" s="37">
        <f>IF($A513="","",IF(D512="","",D512*(1+B513)))</f>
        <v/>
      </c>
      <c r="E513" s="37">
        <f>IF($A513="","",MAX($D$5:D513))</f>
        <v/>
      </c>
      <c r="F513" s="25">
        <f>IF($A513="","",(E513-D513)/E513)</f>
        <v/>
      </c>
    </row>
    <row r="514">
      <c r="A514" s="23">
        <f>IF('05 Simple Returns'!A514="","",'05 Simple Returns'!A514)</f>
        <v/>
      </c>
      <c r="B514" s="25">
        <f>IF($A514="","",SUM(MMULT('05 Simple Returns'!B514:G514,'08 Optimisation'!$B$36:$B$41)))</f>
        <v/>
      </c>
      <c r="C514" s="25">
        <f>IF($A514="","",SUM(MMULT('06 Log Returns'!B514:G514,'08 Optimisation'!$B$36:$B$41)))</f>
        <v/>
      </c>
      <c r="D514" s="37">
        <f>IF($A514="","",IF(D513="","",D513*(1+B514)))</f>
        <v/>
      </c>
      <c r="E514" s="37">
        <f>IF($A514="","",MAX($D$5:D514))</f>
        <v/>
      </c>
      <c r="F514" s="25">
        <f>IF($A514="","",(E514-D514)/E514)</f>
        <v/>
      </c>
    </row>
    <row r="515">
      <c r="A515" s="23">
        <f>IF('05 Simple Returns'!A515="","",'05 Simple Returns'!A515)</f>
        <v/>
      </c>
      <c r="B515" s="25">
        <f>IF($A515="","",SUM(MMULT('05 Simple Returns'!B515:G515,'08 Optimisation'!$B$36:$B$41)))</f>
        <v/>
      </c>
      <c r="C515" s="25">
        <f>IF($A515="","",SUM(MMULT('06 Log Returns'!B515:G515,'08 Optimisation'!$B$36:$B$41)))</f>
        <v/>
      </c>
      <c r="D515" s="37">
        <f>IF($A515="","",IF(D514="","",D514*(1+B515)))</f>
        <v/>
      </c>
      <c r="E515" s="37">
        <f>IF($A515="","",MAX($D$5:D515))</f>
        <v/>
      </c>
      <c r="F515" s="25">
        <f>IF($A515="","",(E515-D515)/E515)</f>
        <v/>
      </c>
    </row>
    <row r="516">
      <c r="A516" s="23">
        <f>IF('05 Simple Returns'!A516="","",'05 Simple Returns'!A516)</f>
        <v/>
      </c>
      <c r="B516" s="25">
        <f>IF($A516="","",SUM(MMULT('05 Simple Returns'!B516:G516,'08 Optimisation'!$B$36:$B$41)))</f>
        <v/>
      </c>
      <c r="C516" s="25">
        <f>IF($A516="","",SUM(MMULT('06 Log Returns'!B516:G516,'08 Optimisation'!$B$36:$B$41)))</f>
        <v/>
      </c>
      <c r="D516" s="37">
        <f>IF($A516="","",IF(D515="","",D515*(1+B516)))</f>
        <v/>
      </c>
      <c r="E516" s="37">
        <f>IF($A516="","",MAX($D$5:D516))</f>
        <v/>
      </c>
      <c r="F516" s="25">
        <f>IF($A516="","",(E516-D516)/E516)</f>
        <v/>
      </c>
    </row>
    <row r="517">
      <c r="A517" s="23">
        <f>IF('05 Simple Returns'!A517="","",'05 Simple Returns'!A517)</f>
        <v/>
      </c>
      <c r="B517" s="25">
        <f>IF($A517="","",SUM(MMULT('05 Simple Returns'!B517:G517,'08 Optimisation'!$B$36:$B$41)))</f>
        <v/>
      </c>
      <c r="C517" s="25">
        <f>IF($A517="","",SUM(MMULT('06 Log Returns'!B517:G517,'08 Optimisation'!$B$36:$B$41)))</f>
        <v/>
      </c>
      <c r="D517" s="37">
        <f>IF($A517="","",IF(D516="","",D516*(1+B517)))</f>
        <v/>
      </c>
      <c r="E517" s="37">
        <f>IF($A517="","",MAX($D$5:D517))</f>
        <v/>
      </c>
      <c r="F517" s="25">
        <f>IF($A517="","",(E517-D517)/E517)</f>
        <v/>
      </c>
    </row>
    <row r="518">
      <c r="A518" s="23">
        <f>IF('05 Simple Returns'!A518="","",'05 Simple Returns'!A518)</f>
        <v/>
      </c>
      <c r="B518" s="25">
        <f>IF($A518="","",SUM(MMULT('05 Simple Returns'!B518:G518,'08 Optimisation'!$B$36:$B$41)))</f>
        <v/>
      </c>
      <c r="C518" s="25">
        <f>IF($A518="","",SUM(MMULT('06 Log Returns'!B518:G518,'08 Optimisation'!$B$36:$B$41)))</f>
        <v/>
      </c>
      <c r="D518" s="37">
        <f>IF($A518="","",IF(D517="","",D517*(1+B518)))</f>
        <v/>
      </c>
      <c r="E518" s="37">
        <f>IF($A518="","",MAX($D$5:D518))</f>
        <v/>
      </c>
      <c r="F518" s="25">
        <f>IF($A518="","",(E518-D518)/E518)</f>
        <v/>
      </c>
    </row>
    <row r="519">
      <c r="A519" s="23">
        <f>IF('05 Simple Returns'!A519="","",'05 Simple Returns'!A519)</f>
        <v/>
      </c>
      <c r="B519" s="25">
        <f>IF($A519="","",SUM(MMULT('05 Simple Returns'!B519:G519,'08 Optimisation'!$B$36:$B$41)))</f>
        <v/>
      </c>
      <c r="C519" s="25">
        <f>IF($A519="","",SUM(MMULT('06 Log Returns'!B519:G519,'08 Optimisation'!$B$36:$B$41)))</f>
        <v/>
      </c>
      <c r="D519" s="37">
        <f>IF($A519="","",IF(D518="","",D518*(1+B519)))</f>
        <v/>
      </c>
      <c r="E519" s="37">
        <f>IF($A519="","",MAX($D$5:D519))</f>
        <v/>
      </c>
      <c r="F519" s="25">
        <f>IF($A519="","",(E519-D519)/E519)</f>
        <v/>
      </c>
    </row>
    <row r="520">
      <c r="A520" s="23">
        <f>IF('05 Simple Returns'!A520="","",'05 Simple Returns'!A520)</f>
        <v/>
      </c>
      <c r="B520" s="25">
        <f>IF($A520="","",SUM(MMULT('05 Simple Returns'!B520:G520,'08 Optimisation'!$B$36:$B$41)))</f>
        <v/>
      </c>
      <c r="C520" s="25">
        <f>IF($A520="","",SUM(MMULT('06 Log Returns'!B520:G520,'08 Optimisation'!$B$36:$B$41)))</f>
        <v/>
      </c>
      <c r="D520" s="37">
        <f>IF($A520="","",IF(D519="","",D519*(1+B520)))</f>
        <v/>
      </c>
      <c r="E520" s="37">
        <f>IF($A520="","",MAX($D$5:D520))</f>
        <v/>
      </c>
      <c r="F520" s="25">
        <f>IF($A520="","",(E520-D520)/E520)</f>
        <v/>
      </c>
    </row>
    <row r="521">
      <c r="A521" s="23">
        <f>IF('05 Simple Returns'!A521="","",'05 Simple Returns'!A521)</f>
        <v/>
      </c>
      <c r="B521" s="25">
        <f>IF($A521="","",SUM(MMULT('05 Simple Returns'!B521:G521,'08 Optimisation'!$B$36:$B$41)))</f>
        <v/>
      </c>
      <c r="C521" s="25">
        <f>IF($A521="","",SUM(MMULT('06 Log Returns'!B521:G521,'08 Optimisation'!$B$36:$B$41)))</f>
        <v/>
      </c>
      <c r="D521" s="37">
        <f>IF($A521="","",IF(D520="","",D520*(1+B521)))</f>
        <v/>
      </c>
      <c r="E521" s="37">
        <f>IF($A521="","",MAX($D$5:D521))</f>
        <v/>
      </c>
      <c r="F521" s="25">
        <f>IF($A521="","",(E521-D521)/E521)</f>
        <v/>
      </c>
    </row>
    <row r="522">
      <c r="A522" s="23">
        <f>IF('05 Simple Returns'!A522="","",'05 Simple Returns'!A522)</f>
        <v/>
      </c>
      <c r="B522" s="25">
        <f>IF($A522="","",SUM(MMULT('05 Simple Returns'!B522:G522,'08 Optimisation'!$B$36:$B$41)))</f>
        <v/>
      </c>
      <c r="C522" s="25">
        <f>IF($A522="","",SUM(MMULT('06 Log Returns'!B522:G522,'08 Optimisation'!$B$36:$B$41)))</f>
        <v/>
      </c>
      <c r="D522" s="37">
        <f>IF($A522="","",IF(D521="","",D521*(1+B522)))</f>
        <v/>
      </c>
      <c r="E522" s="37">
        <f>IF($A522="","",MAX($D$5:D522))</f>
        <v/>
      </c>
      <c r="F522" s="25">
        <f>IF($A522="","",(E522-D522)/E522)</f>
        <v/>
      </c>
    </row>
    <row r="523">
      <c r="A523" s="23">
        <f>IF('05 Simple Returns'!A523="","",'05 Simple Returns'!A523)</f>
        <v/>
      </c>
      <c r="B523" s="25">
        <f>IF($A523="","",SUM(MMULT('05 Simple Returns'!B523:G523,'08 Optimisation'!$B$36:$B$41)))</f>
        <v/>
      </c>
      <c r="C523" s="25">
        <f>IF($A523="","",SUM(MMULT('06 Log Returns'!B523:G523,'08 Optimisation'!$B$36:$B$41)))</f>
        <v/>
      </c>
      <c r="D523" s="37">
        <f>IF($A523="","",IF(D522="","",D522*(1+B523)))</f>
        <v/>
      </c>
      <c r="E523" s="37">
        <f>IF($A523="","",MAX($D$5:D523))</f>
        <v/>
      </c>
      <c r="F523" s="25">
        <f>IF($A523="","",(E523-D523)/E523)</f>
        <v/>
      </c>
    </row>
    <row r="524">
      <c r="A524" s="23">
        <f>IF('05 Simple Returns'!A524="","",'05 Simple Returns'!A524)</f>
        <v/>
      </c>
      <c r="B524" s="25">
        <f>IF($A524="","",SUM(MMULT('05 Simple Returns'!B524:G524,'08 Optimisation'!$B$36:$B$41)))</f>
        <v/>
      </c>
      <c r="C524" s="25">
        <f>IF($A524="","",SUM(MMULT('06 Log Returns'!B524:G524,'08 Optimisation'!$B$36:$B$41)))</f>
        <v/>
      </c>
      <c r="D524" s="37">
        <f>IF($A524="","",IF(D523="","",D523*(1+B524)))</f>
        <v/>
      </c>
      <c r="E524" s="37">
        <f>IF($A524="","",MAX($D$5:D524))</f>
        <v/>
      </c>
      <c r="F524" s="25">
        <f>IF($A524="","",(E524-D524)/E524)</f>
        <v/>
      </c>
    </row>
    <row r="525">
      <c r="A525" s="23">
        <f>IF('05 Simple Returns'!A525="","",'05 Simple Returns'!A525)</f>
        <v/>
      </c>
      <c r="B525" s="25">
        <f>IF($A525="","",SUM(MMULT('05 Simple Returns'!B525:G525,'08 Optimisation'!$B$36:$B$41)))</f>
        <v/>
      </c>
      <c r="C525" s="25">
        <f>IF($A525="","",SUM(MMULT('06 Log Returns'!B525:G525,'08 Optimisation'!$B$36:$B$41)))</f>
        <v/>
      </c>
      <c r="D525" s="37">
        <f>IF($A525="","",IF(D524="","",D524*(1+B525)))</f>
        <v/>
      </c>
      <c r="E525" s="37">
        <f>IF($A525="","",MAX($D$5:D525))</f>
        <v/>
      </c>
      <c r="F525" s="25">
        <f>IF($A525="","",(E525-D525)/E525)</f>
        <v/>
      </c>
    </row>
    <row r="526">
      <c r="A526" s="23">
        <f>IF('05 Simple Returns'!A526="","",'05 Simple Returns'!A526)</f>
        <v/>
      </c>
      <c r="B526" s="25">
        <f>IF($A526="","",SUM(MMULT('05 Simple Returns'!B526:G526,'08 Optimisation'!$B$36:$B$41)))</f>
        <v/>
      </c>
      <c r="C526" s="25">
        <f>IF($A526="","",SUM(MMULT('06 Log Returns'!B526:G526,'08 Optimisation'!$B$36:$B$41)))</f>
        <v/>
      </c>
      <c r="D526" s="37">
        <f>IF($A526="","",IF(D525="","",D525*(1+B526)))</f>
        <v/>
      </c>
      <c r="E526" s="37">
        <f>IF($A526="","",MAX($D$5:D526))</f>
        <v/>
      </c>
      <c r="F526" s="25">
        <f>IF($A526="","",(E526-D526)/E526)</f>
        <v/>
      </c>
    </row>
    <row r="527">
      <c r="A527" s="23">
        <f>IF('05 Simple Returns'!A527="","",'05 Simple Returns'!A527)</f>
        <v/>
      </c>
      <c r="B527" s="25">
        <f>IF($A527="","",SUM(MMULT('05 Simple Returns'!B527:G527,'08 Optimisation'!$B$36:$B$41)))</f>
        <v/>
      </c>
      <c r="C527" s="25">
        <f>IF($A527="","",SUM(MMULT('06 Log Returns'!B527:G527,'08 Optimisation'!$B$36:$B$41)))</f>
        <v/>
      </c>
      <c r="D527" s="37">
        <f>IF($A527="","",IF(D526="","",D526*(1+B527)))</f>
        <v/>
      </c>
      <c r="E527" s="37">
        <f>IF($A527="","",MAX($D$5:D527))</f>
        <v/>
      </c>
      <c r="F527" s="25">
        <f>IF($A527="","",(E527-D527)/E527)</f>
        <v/>
      </c>
    </row>
    <row r="528">
      <c r="A528" s="23">
        <f>IF('05 Simple Returns'!A528="","",'05 Simple Returns'!A528)</f>
        <v/>
      </c>
      <c r="B528" s="25">
        <f>IF($A528="","",SUM(MMULT('05 Simple Returns'!B528:G528,'08 Optimisation'!$B$36:$B$41)))</f>
        <v/>
      </c>
      <c r="C528" s="25">
        <f>IF($A528="","",SUM(MMULT('06 Log Returns'!B528:G528,'08 Optimisation'!$B$36:$B$41)))</f>
        <v/>
      </c>
      <c r="D528" s="37">
        <f>IF($A528="","",IF(D527="","",D527*(1+B528)))</f>
        <v/>
      </c>
      <c r="E528" s="37">
        <f>IF($A528="","",MAX($D$5:D528))</f>
        <v/>
      </c>
      <c r="F528" s="25">
        <f>IF($A528="","",(E528-D528)/E528)</f>
        <v/>
      </c>
    </row>
    <row r="529">
      <c r="A529" s="23">
        <f>IF('05 Simple Returns'!A529="","",'05 Simple Returns'!A529)</f>
        <v/>
      </c>
      <c r="B529" s="25">
        <f>IF($A529="","",SUM(MMULT('05 Simple Returns'!B529:G529,'08 Optimisation'!$B$36:$B$41)))</f>
        <v/>
      </c>
      <c r="C529" s="25">
        <f>IF($A529="","",SUM(MMULT('06 Log Returns'!B529:G529,'08 Optimisation'!$B$36:$B$41)))</f>
        <v/>
      </c>
      <c r="D529" s="37">
        <f>IF($A529="","",IF(D528="","",D528*(1+B529)))</f>
        <v/>
      </c>
      <c r="E529" s="37">
        <f>IF($A529="","",MAX($D$5:D529))</f>
        <v/>
      </c>
      <c r="F529" s="25">
        <f>IF($A529="","",(E529-D529)/E529)</f>
        <v/>
      </c>
    </row>
    <row r="530">
      <c r="A530" s="23">
        <f>IF('05 Simple Returns'!A530="","",'05 Simple Returns'!A530)</f>
        <v/>
      </c>
      <c r="B530" s="25">
        <f>IF($A530="","",SUM(MMULT('05 Simple Returns'!B530:G530,'08 Optimisation'!$B$36:$B$41)))</f>
        <v/>
      </c>
      <c r="C530" s="25">
        <f>IF($A530="","",SUM(MMULT('06 Log Returns'!B530:G530,'08 Optimisation'!$B$36:$B$41)))</f>
        <v/>
      </c>
      <c r="D530" s="37">
        <f>IF($A530="","",IF(D529="","",D529*(1+B530)))</f>
        <v/>
      </c>
      <c r="E530" s="37">
        <f>IF($A530="","",MAX($D$5:D530))</f>
        <v/>
      </c>
      <c r="F530" s="25">
        <f>IF($A530="","",(E530-D530)/E530)</f>
        <v/>
      </c>
    </row>
    <row r="531">
      <c r="A531" s="23">
        <f>IF('05 Simple Returns'!A531="","",'05 Simple Returns'!A531)</f>
        <v/>
      </c>
      <c r="B531" s="25">
        <f>IF($A531="","",SUM(MMULT('05 Simple Returns'!B531:G531,'08 Optimisation'!$B$36:$B$41)))</f>
        <v/>
      </c>
      <c r="C531" s="25">
        <f>IF($A531="","",SUM(MMULT('06 Log Returns'!B531:G531,'08 Optimisation'!$B$36:$B$41)))</f>
        <v/>
      </c>
      <c r="D531" s="37">
        <f>IF($A531="","",IF(D530="","",D530*(1+B531)))</f>
        <v/>
      </c>
      <c r="E531" s="37">
        <f>IF($A531="","",MAX($D$5:D531))</f>
        <v/>
      </c>
      <c r="F531" s="25">
        <f>IF($A531="","",(E531-D531)/E531)</f>
        <v/>
      </c>
    </row>
    <row r="532">
      <c r="A532" s="23">
        <f>IF('05 Simple Returns'!A532="","",'05 Simple Returns'!A532)</f>
        <v/>
      </c>
      <c r="B532" s="25">
        <f>IF($A532="","",SUM(MMULT('05 Simple Returns'!B532:G532,'08 Optimisation'!$B$36:$B$41)))</f>
        <v/>
      </c>
      <c r="C532" s="25">
        <f>IF($A532="","",SUM(MMULT('06 Log Returns'!B532:G532,'08 Optimisation'!$B$36:$B$41)))</f>
        <v/>
      </c>
      <c r="D532" s="37">
        <f>IF($A532="","",IF(D531="","",D531*(1+B532)))</f>
        <v/>
      </c>
      <c r="E532" s="37">
        <f>IF($A532="","",MAX($D$5:D532))</f>
        <v/>
      </c>
      <c r="F532" s="25">
        <f>IF($A532="","",(E532-D532)/E532)</f>
        <v/>
      </c>
    </row>
    <row r="533">
      <c r="A533" s="23">
        <f>IF('05 Simple Returns'!A533="","",'05 Simple Returns'!A533)</f>
        <v/>
      </c>
      <c r="B533" s="25">
        <f>IF($A533="","",SUM(MMULT('05 Simple Returns'!B533:G533,'08 Optimisation'!$B$36:$B$41)))</f>
        <v/>
      </c>
      <c r="C533" s="25">
        <f>IF($A533="","",SUM(MMULT('06 Log Returns'!B533:G533,'08 Optimisation'!$B$36:$B$41)))</f>
        <v/>
      </c>
      <c r="D533" s="37">
        <f>IF($A533="","",IF(D532="","",D532*(1+B533)))</f>
        <v/>
      </c>
      <c r="E533" s="37">
        <f>IF($A533="","",MAX($D$5:D533))</f>
        <v/>
      </c>
      <c r="F533" s="25">
        <f>IF($A533="","",(E533-D533)/E533)</f>
        <v/>
      </c>
    </row>
    <row r="534">
      <c r="A534" s="23">
        <f>IF('05 Simple Returns'!A534="","",'05 Simple Returns'!A534)</f>
        <v/>
      </c>
      <c r="B534" s="25">
        <f>IF($A534="","",SUM(MMULT('05 Simple Returns'!B534:G534,'08 Optimisation'!$B$36:$B$41)))</f>
        <v/>
      </c>
      <c r="C534" s="25">
        <f>IF($A534="","",SUM(MMULT('06 Log Returns'!B534:G534,'08 Optimisation'!$B$36:$B$41)))</f>
        <v/>
      </c>
      <c r="D534" s="37">
        <f>IF($A534="","",IF(D533="","",D533*(1+B534)))</f>
        <v/>
      </c>
      <c r="E534" s="37">
        <f>IF($A534="","",MAX($D$5:D534))</f>
        <v/>
      </c>
      <c r="F534" s="25">
        <f>IF($A534="","",(E534-D534)/E534)</f>
        <v/>
      </c>
    </row>
    <row r="535">
      <c r="A535" s="23">
        <f>IF('05 Simple Returns'!A535="","",'05 Simple Returns'!A535)</f>
        <v/>
      </c>
      <c r="B535" s="25">
        <f>IF($A535="","",SUM(MMULT('05 Simple Returns'!B535:G535,'08 Optimisation'!$B$36:$B$41)))</f>
        <v/>
      </c>
      <c r="C535" s="25">
        <f>IF($A535="","",SUM(MMULT('06 Log Returns'!B535:G535,'08 Optimisation'!$B$36:$B$41)))</f>
        <v/>
      </c>
      <c r="D535" s="37">
        <f>IF($A535="","",IF(D534="","",D534*(1+B535)))</f>
        <v/>
      </c>
      <c r="E535" s="37">
        <f>IF($A535="","",MAX($D$5:D535))</f>
        <v/>
      </c>
      <c r="F535" s="25">
        <f>IF($A535="","",(E535-D535)/E535)</f>
        <v/>
      </c>
    </row>
    <row r="536">
      <c r="A536" s="23">
        <f>IF('05 Simple Returns'!A536="","",'05 Simple Returns'!A536)</f>
        <v/>
      </c>
      <c r="B536" s="25">
        <f>IF($A536="","",SUM(MMULT('05 Simple Returns'!B536:G536,'08 Optimisation'!$B$36:$B$41)))</f>
        <v/>
      </c>
      <c r="C536" s="25">
        <f>IF($A536="","",SUM(MMULT('06 Log Returns'!B536:G536,'08 Optimisation'!$B$36:$B$41)))</f>
        <v/>
      </c>
      <c r="D536" s="37">
        <f>IF($A536="","",IF(D535="","",D535*(1+B536)))</f>
        <v/>
      </c>
      <c r="E536" s="37">
        <f>IF($A536="","",MAX($D$5:D536))</f>
        <v/>
      </c>
      <c r="F536" s="25">
        <f>IF($A536="","",(E536-D536)/E536)</f>
        <v/>
      </c>
    </row>
    <row r="537">
      <c r="A537" s="23">
        <f>IF('05 Simple Returns'!A537="","",'05 Simple Returns'!A537)</f>
        <v/>
      </c>
      <c r="B537" s="25">
        <f>IF($A537="","",SUM(MMULT('05 Simple Returns'!B537:G537,'08 Optimisation'!$B$36:$B$41)))</f>
        <v/>
      </c>
      <c r="C537" s="25">
        <f>IF($A537="","",SUM(MMULT('06 Log Returns'!B537:G537,'08 Optimisation'!$B$36:$B$41)))</f>
        <v/>
      </c>
      <c r="D537" s="37">
        <f>IF($A537="","",IF(D536="","",D536*(1+B537)))</f>
        <v/>
      </c>
      <c r="E537" s="37">
        <f>IF($A537="","",MAX($D$5:D537))</f>
        <v/>
      </c>
      <c r="F537" s="25">
        <f>IF($A537="","",(E537-D537)/E537)</f>
        <v/>
      </c>
    </row>
    <row r="538">
      <c r="A538" s="23">
        <f>IF('05 Simple Returns'!A538="","",'05 Simple Returns'!A538)</f>
        <v/>
      </c>
      <c r="B538" s="25">
        <f>IF($A538="","",SUM(MMULT('05 Simple Returns'!B538:G538,'08 Optimisation'!$B$36:$B$41)))</f>
        <v/>
      </c>
      <c r="C538" s="25">
        <f>IF($A538="","",SUM(MMULT('06 Log Returns'!B538:G538,'08 Optimisation'!$B$36:$B$41)))</f>
        <v/>
      </c>
      <c r="D538" s="37">
        <f>IF($A538="","",IF(D537="","",D537*(1+B538)))</f>
        <v/>
      </c>
      <c r="E538" s="37">
        <f>IF($A538="","",MAX($D$5:D538))</f>
        <v/>
      </c>
      <c r="F538" s="25">
        <f>IF($A538="","",(E538-D538)/E538)</f>
        <v/>
      </c>
    </row>
    <row r="539">
      <c r="A539" s="23">
        <f>IF('05 Simple Returns'!A539="","",'05 Simple Returns'!A539)</f>
        <v/>
      </c>
      <c r="B539" s="25">
        <f>IF($A539="","",SUM(MMULT('05 Simple Returns'!B539:G539,'08 Optimisation'!$B$36:$B$41)))</f>
        <v/>
      </c>
      <c r="C539" s="25">
        <f>IF($A539="","",SUM(MMULT('06 Log Returns'!B539:G539,'08 Optimisation'!$B$36:$B$41)))</f>
        <v/>
      </c>
      <c r="D539" s="37">
        <f>IF($A539="","",IF(D538="","",D538*(1+B539)))</f>
        <v/>
      </c>
      <c r="E539" s="37">
        <f>IF($A539="","",MAX($D$5:D539))</f>
        <v/>
      </c>
      <c r="F539" s="25">
        <f>IF($A539="","",(E539-D539)/E539)</f>
        <v/>
      </c>
    </row>
    <row r="540">
      <c r="A540" s="23">
        <f>IF('05 Simple Returns'!A540="","",'05 Simple Returns'!A540)</f>
        <v/>
      </c>
      <c r="B540" s="25">
        <f>IF($A540="","",SUM(MMULT('05 Simple Returns'!B540:G540,'08 Optimisation'!$B$36:$B$41)))</f>
        <v/>
      </c>
      <c r="C540" s="25">
        <f>IF($A540="","",SUM(MMULT('06 Log Returns'!B540:G540,'08 Optimisation'!$B$36:$B$41)))</f>
        <v/>
      </c>
      <c r="D540" s="37">
        <f>IF($A540="","",IF(D539="","",D539*(1+B540)))</f>
        <v/>
      </c>
      <c r="E540" s="37">
        <f>IF($A540="","",MAX($D$5:D540))</f>
        <v/>
      </c>
      <c r="F540" s="25">
        <f>IF($A540="","",(E540-D540)/E540)</f>
        <v/>
      </c>
    </row>
    <row r="541">
      <c r="A541" s="23">
        <f>IF('05 Simple Returns'!A541="","",'05 Simple Returns'!A541)</f>
        <v/>
      </c>
      <c r="B541" s="25">
        <f>IF($A541="","",SUM(MMULT('05 Simple Returns'!B541:G541,'08 Optimisation'!$B$36:$B$41)))</f>
        <v/>
      </c>
      <c r="C541" s="25">
        <f>IF($A541="","",SUM(MMULT('06 Log Returns'!B541:G541,'08 Optimisation'!$B$36:$B$41)))</f>
        <v/>
      </c>
      <c r="D541" s="37">
        <f>IF($A541="","",IF(D540="","",D540*(1+B541)))</f>
        <v/>
      </c>
      <c r="E541" s="37">
        <f>IF($A541="","",MAX($D$5:D541))</f>
        <v/>
      </c>
      <c r="F541" s="25">
        <f>IF($A541="","",(E541-D541)/E541)</f>
        <v/>
      </c>
    </row>
    <row r="542">
      <c r="A542" s="23">
        <f>IF('05 Simple Returns'!A542="","",'05 Simple Returns'!A542)</f>
        <v/>
      </c>
      <c r="B542" s="25">
        <f>IF($A542="","",SUM(MMULT('05 Simple Returns'!B542:G542,'08 Optimisation'!$B$36:$B$41)))</f>
        <v/>
      </c>
      <c r="C542" s="25">
        <f>IF($A542="","",SUM(MMULT('06 Log Returns'!B542:G542,'08 Optimisation'!$B$36:$B$41)))</f>
        <v/>
      </c>
      <c r="D542" s="37">
        <f>IF($A542="","",IF(D541="","",D541*(1+B542)))</f>
        <v/>
      </c>
      <c r="E542" s="37">
        <f>IF($A542="","",MAX($D$5:D542))</f>
        <v/>
      </c>
      <c r="F542" s="25">
        <f>IF($A542="","",(E542-D542)/E542)</f>
        <v/>
      </c>
    </row>
    <row r="543">
      <c r="A543" s="23">
        <f>IF('05 Simple Returns'!A543="","",'05 Simple Returns'!A543)</f>
        <v/>
      </c>
      <c r="B543" s="25">
        <f>IF($A543="","",SUM(MMULT('05 Simple Returns'!B543:G543,'08 Optimisation'!$B$36:$B$41)))</f>
        <v/>
      </c>
      <c r="C543" s="25">
        <f>IF($A543="","",SUM(MMULT('06 Log Returns'!B543:G543,'08 Optimisation'!$B$36:$B$41)))</f>
        <v/>
      </c>
      <c r="D543" s="37">
        <f>IF($A543="","",IF(D542="","",D542*(1+B543)))</f>
        <v/>
      </c>
      <c r="E543" s="37">
        <f>IF($A543="","",MAX($D$5:D543))</f>
        <v/>
      </c>
      <c r="F543" s="25">
        <f>IF($A543="","",(E543-D543)/E543)</f>
        <v/>
      </c>
    </row>
    <row r="544">
      <c r="A544" s="23">
        <f>IF('05 Simple Returns'!A544="","",'05 Simple Returns'!A544)</f>
        <v/>
      </c>
      <c r="B544" s="25">
        <f>IF($A544="","",SUM(MMULT('05 Simple Returns'!B544:G544,'08 Optimisation'!$B$36:$B$41)))</f>
        <v/>
      </c>
      <c r="C544" s="25">
        <f>IF($A544="","",SUM(MMULT('06 Log Returns'!B544:G544,'08 Optimisation'!$B$36:$B$41)))</f>
        <v/>
      </c>
      <c r="D544" s="37">
        <f>IF($A544="","",IF(D543="","",D543*(1+B544)))</f>
        <v/>
      </c>
      <c r="E544" s="37">
        <f>IF($A544="","",MAX($D$5:D544))</f>
        <v/>
      </c>
      <c r="F544" s="25">
        <f>IF($A544="","",(E544-D544)/E544)</f>
        <v/>
      </c>
    </row>
    <row r="545">
      <c r="A545" s="23">
        <f>IF('05 Simple Returns'!A545="","",'05 Simple Returns'!A545)</f>
        <v/>
      </c>
      <c r="B545" s="25">
        <f>IF($A545="","",SUM(MMULT('05 Simple Returns'!B545:G545,'08 Optimisation'!$B$36:$B$41)))</f>
        <v/>
      </c>
      <c r="C545" s="25">
        <f>IF($A545="","",SUM(MMULT('06 Log Returns'!B545:G545,'08 Optimisation'!$B$36:$B$41)))</f>
        <v/>
      </c>
      <c r="D545" s="37">
        <f>IF($A545="","",IF(D544="","",D544*(1+B545)))</f>
        <v/>
      </c>
      <c r="E545" s="37">
        <f>IF($A545="","",MAX($D$5:D545))</f>
        <v/>
      </c>
      <c r="F545" s="25">
        <f>IF($A545="","",(E545-D545)/E545)</f>
        <v/>
      </c>
    </row>
    <row r="546">
      <c r="A546" s="23">
        <f>IF('05 Simple Returns'!A546="","",'05 Simple Returns'!A546)</f>
        <v/>
      </c>
      <c r="B546" s="25">
        <f>IF($A546="","",SUM(MMULT('05 Simple Returns'!B546:G546,'08 Optimisation'!$B$36:$B$41)))</f>
        <v/>
      </c>
      <c r="C546" s="25">
        <f>IF($A546="","",SUM(MMULT('06 Log Returns'!B546:G546,'08 Optimisation'!$B$36:$B$41)))</f>
        <v/>
      </c>
      <c r="D546" s="37">
        <f>IF($A546="","",IF(D545="","",D545*(1+B546)))</f>
        <v/>
      </c>
      <c r="E546" s="37">
        <f>IF($A546="","",MAX($D$5:D546))</f>
        <v/>
      </c>
      <c r="F546" s="25">
        <f>IF($A546="","",(E546-D546)/E546)</f>
        <v/>
      </c>
    </row>
    <row r="547">
      <c r="A547" s="23">
        <f>IF('05 Simple Returns'!A547="","",'05 Simple Returns'!A547)</f>
        <v/>
      </c>
      <c r="B547" s="25">
        <f>IF($A547="","",SUM(MMULT('05 Simple Returns'!B547:G547,'08 Optimisation'!$B$36:$B$41)))</f>
        <v/>
      </c>
      <c r="C547" s="25">
        <f>IF($A547="","",SUM(MMULT('06 Log Returns'!B547:G547,'08 Optimisation'!$B$36:$B$41)))</f>
        <v/>
      </c>
      <c r="D547" s="37">
        <f>IF($A547="","",IF(D546="","",D546*(1+B547)))</f>
        <v/>
      </c>
      <c r="E547" s="37">
        <f>IF($A547="","",MAX($D$5:D547))</f>
        <v/>
      </c>
      <c r="F547" s="25">
        <f>IF($A547="","",(E547-D547)/E547)</f>
        <v/>
      </c>
    </row>
    <row r="548">
      <c r="A548" s="23">
        <f>IF('05 Simple Returns'!A548="","",'05 Simple Returns'!A548)</f>
        <v/>
      </c>
      <c r="B548" s="25">
        <f>IF($A548="","",SUM(MMULT('05 Simple Returns'!B548:G548,'08 Optimisation'!$B$36:$B$41)))</f>
        <v/>
      </c>
      <c r="C548" s="25">
        <f>IF($A548="","",SUM(MMULT('06 Log Returns'!B548:G548,'08 Optimisation'!$B$36:$B$41)))</f>
        <v/>
      </c>
      <c r="D548" s="37">
        <f>IF($A548="","",IF(D547="","",D547*(1+B548)))</f>
        <v/>
      </c>
      <c r="E548" s="37">
        <f>IF($A548="","",MAX($D$5:D548))</f>
        <v/>
      </c>
      <c r="F548" s="25">
        <f>IF($A548="","",(E548-D548)/E548)</f>
        <v/>
      </c>
    </row>
    <row r="549">
      <c r="A549" s="23">
        <f>IF('05 Simple Returns'!A549="","",'05 Simple Returns'!A549)</f>
        <v/>
      </c>
      <c r="B549" s="25">
        <f>IF($A549="","",SUM(MMULT('05 Simple Returns'!B549:G549,'08 Optimisation'!$B$36:$B$41)))</f>
        <v/>
      </c>
      <c r="C549" s="25">
        <f>IF($A549="","",SUM(MMULT('06 Log Returns'!B549:G549,'08 Optimisation'!$B$36:$B$41)))</f>
        <v/>
      </c>
      <c r="D549" s="37">
        <f>IF($A549="","",IF(D548="","",D548*(1+B549)))</f>
        <v/>
      </c>
      <c r="E549" s="37">
        <f>IF($A549="","",MAX($D$5:D549))</f>
        <v/>
      </c>
      <c r="F549" s="25">
        <f>IF($A549="","",(E549-D549)/E549)</f>
        <v/>
      </c>
    </row>
    <row r="550">
      <c r="A550" s="23">
        <f>IF('05 Simple Returns'!A550="","",'05 Simple Returns'!A550)</f>
        <v/>
      </c>
      <c r="B550" s="25">
        <f>IF($A550="","",SUM(MMULT('05 Simple Returns'!B550:G550,'08 Optimisation'!$B$36:$B$41)))</f>
        <v/>
      </c>
      <c r="C550" s="25">
        <f>IF($A550="","",SUM(MMULT('06 Log Returns'!B550:G550,'08 Optimisation'!$B$36:$B$41)))</f>
        <v/>
      </c>
      <c r="D550" s="37">
        <f>IF($A550="","",IF(D549="","",D549*(1+B550)))</f>
        <v/>
      </c>
      <c r="E550" s="37">
        <f>IF($A550="","",MAX($D$5:D550))</f>
        <v/>
      </c>
      <c r="F550" s="25">
        <f>IF($A550="","",(E550-D550)/E550)</f>
        <v/>
      </c>
    </row>
    <row r="551">
      <c r="A551" s="23">
        <f>IF('05 Simple Returns'!A551="","",'05 Simple Returns'!A551)</f>
        <v/>
      </c>
      <c r="B551" s="25">
        <f>IF($A551="","",SUM(MMULT('05 Simple Returns'!B551:G551,'08 Optimisation'!$B$36:$B$41)))</f>
        <v/>
      </c>
      <c r="C551" s="25">
        <f>IF($A551="","",SUM(MMULT('06 Log Returns'!B551:G551,'08 Optimisation'!$B$36:$B$41)))</f>
        <v/>
      </c>
      <c r="D551" s="37">
        <f>IF($A551="","",IF(D550="","",D550*(1+B551)))</f>
        <v/>
      </c>
      <c r="E551" s="37">
        <f>IF($A551="","",MAX($D$5:D551))</f>
        <v/>
      </c>
      <c r="F551" s="25">
        <f>IF($A551="","",(E551-D551)/E551)</f>
        <v/>
      </c>
    </row>
    <row r="552">
      <c r="A552" s="23">
        <f>IF('05 Simple Returns'!A552="","",'05 Simple Returns'!A552)</f>
        <v/>
      </c>
      <c r="B552" s="25">
        <f>IF($A552="","",SUM(MMULT('05 Simple Returns'!B552:G552,'08 Optimisation'!$B$36:$B$41)))</f>
        <v/>
      </c>
      <c r="C552" s="25">
        <f>IF($A552="","",SUM(MMULT('06 Log Returns'!B552:G552,'08 Optimisation'!$B$36:$B$41)))</f>
        <v/>
      </c>
      <c r="D552" s="37">
        <f>IF($A552="","",IF(D551="","",D551*(1+B552)))</f>
        <v/>
      </c>
      <c r="E552" s="37">
        <f>IF($A552="","",MAX($D$5:D552))</f>
        <v/>
      </c>
      <c r="F552" s="25">
        <f>IF($A552="","",(E552-D552)/E552)</f>
        <v/>
      </c>
    </row>
    <row r="553">
      <c r="A553" s="23">
        <f>IF('05 Simple Returns'!A553="","",'05 Simple Returns'!A553)</f>
        <v/>
      </c>
      <c r="B553" s="25">
        <f>IF($A553="","",SUM(MMULT('05 Simple Returns'!B553:G553,'08 Optimisation'!$B$36:$B$41)))</f>
        <v/>
      </c>
      <c r="C553" s="25">
        <f>IF($A553="","",SUM(MMULT('06 Log Returns'!B553:G553,'08 Optimisation'!$B$36:$B$41)))</f>
        <v/>
      </c>
      <c r="D553" s="37">
        <f>IF($A553="","",IF(D552="","",D552*(1+B553)))</f>
        <v/>
      </c>
      <c r="E553" s="37">
        <f>IF($A553="","",MAX($D$5:D553))</f>
        <v/>
      </c>
      <c r="F553" s="25">
        <f>IF($A553="","",(E553-D553)/E553)</f>
        <v/>
      </c>
    </row>
    <row r="554">
      <c r="A554" s="23">
        <f>IF('05 Simple Returns'!A554="","",'05 Simple Returns'!A554)</f>
        <v/>
      </c>
      <c r="B554" s="25">
        <f>IF($A554="","",SUM(MMULT('05 Simple Returns'!B554:G554,'08 Optimisation'!$B$36:$B$41)))</f>
        <v/>
      </c>
      <c r="C554" s="25">
        <f>IF($A554="","",SUM(MMULT('06 Log Returns'!B554:G554,'08 Optimisation'!$B$36:$B$41)))</f>
        <v/>
      </c>
      <c r="D554" s="37">
        <f>IF($A554="","",IF(D553="","",D553*(1+B554)))</f>
        <v/>
      </c>
      <c r="E554" s="37">
        <f>IF($A554="","",MAX($D$5:D554))</f>
        <v/>
      </c>
      <c r="F554" s="25">
        <f>IF($A554="","",(E554-D554)/E554)</f>
        <v/>
      </c>
    </row>
    <row r="555">
      <c r="A555" s="23">
        <f>IF('05 Simple Returns'!A555="","",'05 Simple Returns'!A555)</f>
        <v/>
      </c>
      <c r="B555" s="25">
        <f>IF($A555="","",SUM(MMULT('05 Simple Returns'!B555:G555,'08 Optimisation'!$B$36:$B$41)))</f>
        <v/>
      </c>
      <c r="C555" s="25">
        <f>IF($A555="","",SUM(MMULT('06 Log Returns'!B555:G555,'08 Optimisation'!$B$36:$B$41)))</f>
        <v/>
      </c>
      <c r="D555" s="37">
        <f>IF($A555="","",IF(D554="","",D554*(1+B555)))</f>
        <v/>
      </c>
      <c r="E555" s="37">
        <f>IF($A555="","",MAX($D$5:D555))</f>
        <v/>
      </c>
      <c r="F555" s="25">
        <f>IF($A555="","",(E555-D555)/E555)</f>
        <v/>
      </c>
    </row>
    <row r="556">
      <c r="A556" s="23">
        <f>IF('05 Simple Returns'!A556="","",'05 Simple Returns'!A556)</f>
        <v/>
      </c>
      <c r="B556" s="25">
        <f>IF($A556="","",SUM(MMULT('05 Simple Returns'!B556:G556,'08 Optimisation'!$B$36:$B$41)))</f>
        <v/>
      </c>
      <c r="C556" s="25">
        <f>IF($A556="","",SUM(MMULT('06 Log Returns'!B556:G556,'08 Optimisation'!$B$36:$B$41)))</f>
        <v/>
      </c>
      <c r="D556" s="37">
        <f>IF($A556="","",IF(D555="","",D555*(1+B556)))</f>
        <v/>
      </c>
      <c r="E556" s="37">
        <f>IF($A556="","",MAX($D$5:D556))</f>
        <v/>
      </c>
      <c r="F556" s="25">
        <f>IF($A556="","",(E556-D556)/E556)</f>
        <v/>
      </c>
    </row>
    <row r="557">
      <c r="A557" s="23">
        <f>IF('05 Simple Returns'!A557="","",'05 Simple Returns'!A557)</f>
        <v/>
      </c>
      <c r="B557" s="25">
        <f>IF($A557="","",SUM(MMULT('05 Simple Returns'!B557:G557,'08 Optimisation'!$B$36:$B$41)))</f>
        <v/>
      </c>
      <c r="C557" s="25">
        <f>IF($A557="","",SUM(MMULT('06 Log Returns'!B557:G557,'08 Optimisation'!$B$36:$B$41)))</f>
        <v/>
      </c>
      <c r="D557" s="37">
        <f>IF($A557="","",IF(D556="","",D556*(1+B557)))</f>
        <v/>
      </c>
      <c r="E557" s="37">
        <f>IF($A557="","",MAX($D$5:D557))</f>
        <v/>
      </c>
      <c r="F557" s="25">
        <f>IF($A557="","",(E557-D557)/E557)</f>
        <v/>
      </c>
    </row>
    <row r="558">
      <c r="A558" s="23">
        <f>IF('05 Simple Returns'!A558="","",'05 Simple Returns'!A558)</f>
        <v/>
      </c>
      <c r="B558" s="25">
        <f>IF($A558="","",SUM(MMULT('05 Simple Returns'!B558:G558,'08 Optimisation'!$B$36:$B$41)))</f>
        <v/>
      </c>
      <c r="C558" s="25">
        <f>IF($A558="","",SUM(MMULT('06 Log Returns'!B558:G558,'08 Optimisation'!$B$36:$B$41)))</f>
        <v/>
      </c>
      <c r="D558" s="37">
        <f>IF($A558="","",IF(D557="","",D557*(1+B558)))</f>
        <v/>
      </c>
      <c r="E558" s="37">
        <f>IF($A558="","",MAX($D$5:D558))</f>
        <v/>
      </c>
      <c r="F558" s="25">
        <f>IF($A558="","",(E558-D558)/E558)</f>
        <v/>
      </c>
    </row>
    <row r="559">
      <c r="A559" s="23">
        <f>IF('05 Simple Returns'!A559="","",'05 Simple Returns'!A559)</f>
        <v/>
      </c>
      <c r="B559" s="25">
        <f>IF($A559="","",SUM(MMULT('05 Simple Returns'!B559:G559,'08 Optimisation'!$B$36:$B$41)))</f>
        <v/>
      </c>
      <c r="C559" s="25">
        <f>IF($A559="","",SUM(MMULT('06 Log Returns'!B559:G559,'08 Optimisation'!$B$36:$B$41)))</f>
        <v/>
      </c>
      <c r="D559" s="37">
        <f>IF($A559="","",IF(D558="","",D558*(1+B559)))</f>
        <v/>
      </c>
      <c r="E559" s="37">
        <f>IF($A559="","",MAX($D$5:D559))</f>
        <v/>
      </c>
      <c r="F559" s="25">
        <f>IF($A559="","",(E559-D559)/E559)</f>
        <v/>
      </c>
    </row>
    <row r="560">
      <c r="A560" s="23">
        <f>IF('05 Simple Returns'!A560="","",'05 Simple Returns'!A560)</f>
        <v/>
      </c>
      <c r="B560" s="25">
        <f>IF($A560="","",SUM(MMULT('05 Simple Returns'!B560:G560,'08 Optimisation'!$B$36:$B$41)))</f>
        <v/>
      </c>
      <c r="C560" s="25">
        <f>IF($A560="","",SUM(MMULT('06 Log Returns'!B560:G560,'08 Optimisation'!$B$36:$B$41)))</f>
        <v/>
      </c>
      <c r="D560" s="37">
        <f>IF($A560="","",IF(D559="","",D559*(1+B560)))</f>
        <v/>
      </c>
      <c r="E560" s="37">
        <f>IF($A560="","",MAX($D$5:D560))</f>
        <v/>
      </c>
      <c r="F560" s="25">
        <f>IF($A560="","",(E560-D560)/E560)</f>
        <v/>
      </c>
    </row>
    <row r="561">
      <c r="A561" s="23">
        <f>IF('05 Simple Returns'!A561="","",'05 Simple Returns'!A561)</f>
        <v/>
      </c>
      <c r="B561" s="25">
        <f>IF($A561="","",SUM(MMULT('05 Simple Returns'!B561:G561,'08 Optimisation'!$B$36:$B$41)))</f>
        <v/>
      </c>
      <c r="C561" s="25">
        <f>IF($A561="","",SUM(MMULT('06 Log Returns'!B561:G561,'08 Optimisation'!$B$36:$B$41)))</f>
        <v/>
      </c>
      <c r="D561" s="37">
        <f>IF($A561="","",IF(D560="","",D560*(1+B561)))</f>
        <v/>
      </c>
      <c r="E561" s="37">
        <f>IF($A561="","",MAX($D$5:D561))</f>
        <v/>
      </c>
      <c r="F561" s="25">
        <f>IF($A561="","",(E561-D561)/E561)</f>
        <v/>
      </c>
    </row>
    <row r="562">
      <c r="A562" s="23">
        <f>IF('05 Simple Returns'!A562="","",'05 Simple Returns'!A562)</f>
        <v/>
      </c>
      <c r="B562" s="25">
        <f>IF($A562="","",SUM(MMULT('05 Simple Returns'!B562:G562,'08 Optimisation'!$B$36:$B$41)))</f>
        <v/>
      </c>
      <c r="C562" s="25">
        <f>IF($A562="","",SUM(MMULT('06 Log Returns'!B562:G562,'08 Optimisation'!$B$36:$B$41)))</f>
        <v/>
      </c>
      <c r="D562" s="37">
        <f>IF($A562="","",IF(D561="","",D561*(1+B562)))</f>
        <v/>
      </c>
      <c r="E562" s="37">
        <f>IF($A562="","",MAX($D$5:D562))</f>
        <v/>
      </c>
      <c r="F562" s="25">
        <f>IF($A562="","",(E562-D562)/E562)</f>
        <v/>
      </c>
    </row>
    <row r="563">
      <c r="A563" s="23">
        <f>IF('05 Simple Returns'!A563="","",'05 Simple Returns'!A563)</f>
        <v/>
      </c>
      <c r="B563" s="25">
        <f>IF($A563="","",SUM(MMULT('05 Simple Returns'!B563:G563,'08 Optimisation'!$B$36:$B$41)))</f>
        <v/>
      </c>
      <c r="C563" s="25">
        <f>IF($A563="","",SUM(MMULT('06 Log Returns'!B563:G563,'08 Optimisation'!$B$36:$B$41)))</f>
        <v/>
      </c>
      <c r="D563" s="37">
        <f>IF($A563="","",IF(D562="","",D562*(1+B563)))</f>
        <v/>
      </c>
      <c r="E563" s="37">
        <f>IF($A563="","",MAX($D$5:D563))</f>
        <v/>
      </c>
      <c r="F563" s="25">
        <f>IF($A563="","",(E563-D563)/E563)</f>
        <v/>
      </c>
    </row>
    <row r="564">
      <c r="A564" s="23">
        <f>IF('05 Simple Returns'!A564="","",'05 Simple Returns'!A564)</f>
        <v/>
      </c>
      <c r="B564" s="25">
        <f>IF($A564="","",SUM(MMULT('05 Simple Returns'!B564:G564,'08 Optimisation'!$B$36:$B$41)))</f>
        <v/>
      </c>
      <c r="C564" s="25">
        <f>IF($A564="","",SUM(MMULT('06 Log Returns'!B564:G564,'08 Optimisation'!$B$36:$B$41)))</f>
        <v/>
      </c>
      <c r="D564" s="37">
        <f>IF($A564="","",IF(D563="","",D563*(1+B564)))</f>
        <v/>
      </c>
      <c r="E564" s="37">
        <f>IF($A564="","",MAX($D$5:D564))</f>
        <v/>
      </c>
      <c r="F564" s="25">
        <f>IF($A564="","",(E564-D564)/E564)</f>
        <v/>
      </c>
    </row>
    <row r="565">
      <c r="A565" s="23">
        <f>IF('05 Simple Returns'!A565="","",'05 Simple Returns'!A565)</f>
        <v/>
      </c>
      <c r="B565" s="25">
        <f>IF($A565="","",SUM(MMULT('05 Simple Returns'!B565:G565,'08 Optimisation'!$B$36:$B$41)))</f>
        <v/>
      </c>
      <c r="C565" s="25">
        <f>IF($A565="","",SUM(MMULT('06 Log Returns'!B565:G565,'08 Optimisation'!$B$36:$B$41)))</f>
        <v/>
      </c>
      <c r="D565" s="37">
        <f>IF($A565="","",IF(D564="","",D564*(1+B565)))</f>
        <v/>
      </c>
      <c r="E565" s="37">
        <f>IF($A565="","",MAX($D$5:D565))</f>
        <v/>
      </c>
      <c r="F565" s="25">
        <f>IF($A565="","",(E565-D565)/E565)</f>
        <v/>
      </c>
    </row>
    <row r="566">
      <c r="A566" s="23">
        <f>IF('05 Simple Returns'!A566="","",'05 Simple Returns'!A566)</f>
        <v/>
      </c>
      <c r="B566" s="25">
        <f>IF($A566="","",SUM(MMULT('05 Simple Returns'!B566:G566,'08 Optimisation'!$B$36:$B$41)))</f>
        <v/>
      </c>
      <c r="C566" s="25">
        <f>IF($A566="","",SUM(MMULT('06 Log Returns'!B566:G566,'08 Optimisation'!$B$36:$B$41)))</f>
        <v/>
      </c>
      <c r="D566" s="37">
        <f>IF($A566="","",IF(D565="","",D565*(1+B566)))</f>
        <v/>
      </c>
      <c r="E566" s="37">
        <f>IF($A566="","",MAX($D$5:D566))</f>
        <v/>
      </c>
      <c r="F566" s="25">
        <f>IF($A566="","",(E566-D566)/E566)</f>
        <v/>
      </c>
    </row>
    <row r="567">
      <c r="A567" s="23">
        <f>IF('05 Simple Returns'!A567="","",'05 Simple Returns'!A567)</f>
        <v/>
      </c>
      <c r="B567" s="25">
        <f>IF($A567="","",SUM(MMULT('05 Simple Returns'!B567:G567,'08 Optimisation'!$B$36:$B$41)))</f>
        <v/>
      </c>
      <c r="C567" s="25">
        <f>IF($A567="","",SUM(MMULT('06 Log Returns'!B567:G567,'08 Optimisation'!$B$36:$B$41)))</f>
        <v/>
      </c>
      <c r="D567" s="37">
        <f>IF($A567="","",IF(D566="","",D566*(1+B567)))</f>
        <v/>
      </c>
      <c r="E567" s="37">
        <f>IF($A567="","",MAX($D$5:D567))</f>
        <v/>
      </c>
      <c r="F567" s="25">
        <f>IF($A567="","",(E567-D567)/E567)</f>
        <v/>
      </c>
    </row>
    <row r="568">
      <c r="A568" s="23">
        <f>IF('05 Simple Returns'!A568="","",'05 Simple Returns'!A568)</f>
        <v/>
      </c>
      <c r="B568" s="25">
        <f>IF($A568="","",SUM(MMULT('05 Simple Returns'!B568:G568,'08 Optimisation'!$B$36:$B$41)))</f>
        <v/>
      </c>
      <c r="C568" s="25">
        <f>IF($A568="","",SUM(MMULT('06 Log Returns'!B568:G568,'08 Optimisation'!$B$36:$B$41)))</f>
        <v/>
      </c>
      <c r="D568" s="37">
        <f>IF($A568="","",IF(D567="","",D567*(1+B568)))</f>
        <v/>
      </c>
      <c r="E568" s="37">
        <f>IF($A568="","",MAX($D$5:D568))</f>
        <v/>
      </c>
      <c r="F568" s="25">
        <f>IF($A568="","",(E568-D568)/E568)</f>
        <v/>
      </c>
    </row>
    <row r="569">
      <c r="A569" s="23">
        <f>IF('05 Simple Returns'!A569="","",'05 Simple Returns'!A569)</f>
        <v/>
      </c>
      <c r="B569" s="25">
        <f>IF($A569="","",SUM(MMULT('05 Simple Returns'!B569:G569,'08 Optimisation'!$B$36:$B$41)))</f>
        <v/>
      </c>
      <c r="C569" s="25">
        <f>IF($A569="","",SUM(MMULT('06 Log Returns'!B569:G569,'08 Optimisation'!$B$36:$B$41)))</f>
        <v/>
      </c>
      <c r="D569" s="37">
        <f>IF($A569="","",IF(D568="","",D568*(1+B569)))</f>
        <v/>
      </c>
      <c r="E569" s="37">
        <f>IF($A569="","",MAX($D$5:D569))</f>
        <v/>
      </c>
      <c r="F569" s="25">
        <f>IF($A569="","",(E569-D569)/E569)</f>
        <v/>
      </c>
    </row>
    <row r="570">
      <c r="A570" s="23">
        <f>IF('05 Simple Returns'!A570="","",'05 Simple Returns'!A570)</f>
        <v/>
      </c>
      <c r="B570" s="25">
        <f>IF($A570="","",SUM(MMULT('05 Simple Returns'!B570:G570,'08 Optimisation'!$B$36:$B$41)))</f>
        <v/>
      </c>
      <c r="C570" s="25">
        <f>IF($A570="","",SUM(MMULT('06 Log Returns'!B570:G570,'08 Optimisation'!$B$36:$B$41)))</f>
        <v/>
      </c>
      <c r="D570" s="37">
        <f>IF($A570="","",IF(D569="","",D569*(1+B570)))</f>
        <v/>
      </c>
      <c r="E570" s="37">
        <f>IF($A570="","",MAX($D$5:D570))</f>
        <v/>
      </c>
      <c r="F570" s="25">
        <f>IF($A570="","",(E570-D570)/E570)</f>
        <v/>
      </c>
    </row>
    <row r="571">
      <c r="A571" s="23">
        <f>IF('05 Simple Returns'!A571="","",'05 Simple Returns'!A571)</f>
        <v/>
      </c>
      <c r="B571" s="25">
        <f>IF($A571="","",SUM(MMULT('05 Simple Returns'!B571:G571,'08 Optimisation'!$B$36:$B$41)))</f>
        <v/>
      </c>
      <c r="C571" s="25">
        <f>IF($A571="","",SUM(MMULT('06 Log Returns'!B571:G571,'08 Optimisation'!$B$36:$B$41)))</f>
        <v/>
      </c>
      <c r="D571" s="37">
        <f>IF($A571="","",IF(D570="","",D570*(1+B571)))</f>
        <v/>
      </c>
      <c r="E571" s="37">
        <f>IF($A571="","",MAX($D$5:D571))</f>
        <v/>
      </c>
      <c r="F571" s="25">
        <f>IF($A571="","",(E571-D571)/E571)</f>
        <v/>
      </c>
    </row>
    <row r="572">
      <c r="A572" s="23">
        <f>IF('05 Simple Returns'!A572="","",'05 Simple Returns'!A572)</f>
        <v/>
      </c>
      <c r="B572" s="25">
        <f>IF($A572="","",SUM(MMULT('05 Simple Returns'!B572:G572,'08 Optimisation'!$B$36:$B$41)))</f>
        <v/>
      </c>
      <c r="C572" s="25">
        <f>IF($A572="","",SUM(MMULT('06 Log Returns'!B572:G572,'08 Optimisation'!$B$36:$B$41)))</f>
        <v/>
      </c>
      <c r="D572" s="37">
        <f>IF($A572="","",IF(D571="","",D571*(1+B572)))</f>
        <v/>
      </c>
      <c r="E572" s="37">
        <f>IF($A572="","",MAX($D$5:D572))</f>
        <v/>
      </c>
      <c r="F572" s="25">
        <f>IF($A572="","",(E572-D572)/E572)</f>
        <v/>
      </c>
    </row>
    <row r="573">
      <c r="A573" s="23">
        <f>IF('05 Simple Returns'!A573="","",'05 Simple Returns'!A573)</f>
        <v/>
      </c>
      <c r="B573" s="25">
        <f>IF($A573="","",SUM(MMULT('05 Simple Returns'!B573:G573,'08 Optimisation'!$B$36:$B$41)))</f>
        <v/>
      </c>
      <c r="C573" s="25">
        <f>IF($A573="","",SUM(MMULT('06 Log Returns'!B573:G573,'08 Optimisation'!$B$36:$B$41)))</f>
        <v/>
      </c>
      <c r="D573" s="37">
        <f>IF($A573="","",IF(D572="","",D572*(1+B573)))</f>
        <v/>
      </c>
      <c r="E573" s="37">
        <f>IF($A573="","",MAX($D$5:D573))</f>
        <v/>
      </c>
      <c r="F573" s="25">
        <f>IF($A573="","",(E573-D573)/E573)</f>
        <v/>
      </c>
    </row>
    <row r="574">
      <c r="A574" s="23">
        <f>IF('05 Simple Returns'!A574="","",'05 Simple Returns'!A574)</f>
        <v/>
      </c>
      <c r="B574" s="25">
        <f>IF($A574="","",SUM(MMULT('05 Simple Returns'!B574:G574,'08 Optimisation'!$B$36:$B$41)))</f>
        <v/>
      </c>
      <c r="C574" s="25">
        <f>IF($A574="","",SUM(MMULT('06 Log Returns'!B574:G574,'08 Optimisation'!$B$36:$B$41)))</f>
        <v/>
      </c>
      <c r="D574" s="37">
        <f>IF($A574="","",IF(D573="","",D573*(1+B574)))</f>
        <v/>
      </c>
      <c r="E574" s="37">
        <f>IF($A574="","",MAX($D$5:D574))</f>
        <v/>
      </c>
      <c r="F574" s="25">
        <f>IF($A574="","",(E574-D574)/E574)</f>
        <v/>
      </c>
    </row>
    <row r="575">
      <c r="A575" s="23">
        <f>IF('05 Simple Returns'!A575="","",'05 Simple Returns'!A575)</f>
        <v/>
      </c>
      <c r="B575" s="25">
        <f>IF($A575="","",SUM(MMULT('05 Simple Returns'!B575:G575,'08 Optimisation'!$B$36:$B$41)))</f>
        <v/>
      </c>
      <c r="C575" s="25">
        <f>IF($A575="","",SUM(MMULT('06 Log Returns'!B575:G575,'08 Optimisation'!$B$36:$B$41)))</f>
        <v/>
      </c>
      <c r="D575" s="37">
        <f>IF($A575="","",IF(D574="","",D574*(1+B575)))</f>
        <v/>
      </c>
      <c r="E575" s="37">
        <f>IF($A575="","",MAX($D$5:D575))</f>
        <v/>
      </c>
      <c r="F575" s="25">
        <f>IF($A575="","",(E575-D575)/E575)</f>
        <v/>
      </c>
    </row>
    <row r="576">
      <c r="A576" s="23">
        <f>IF('05 Simple Returns'!A576="","",'05 Simple Returns'!A576)</f>
        <v/>
      </c>
      <c r="B576" s="25">
        <f>IF($A576="","",SUM(MMULT('05 Simple Returns'!B576:G576,'08 Optimisation'!$B$36:$B$41)))</f>
        <v/>
      </c>
      <c r="C576" s="25">
        <f>IF($A576="","",SUM(MMULT('06 Log Returns'!B576:G576,'08 Optimisation'!$B$36:$B$41)))</f>
        <v/>
      </c>
      <c r="D576" s="37">
        <f>IF($A576="","",IF(D575="","",D575*(1+B576)))</f>
        <v/>
      </c>
      <c r="E576" s="37">
        <f>IF($A576="","",MAX($D$5:D576))</f>
        <v/>
      </c>
      <c r="F576" s="25">
        <f>IF($A576="","",(E576-D576)/E576)</f>
        <v/>
      </c>
    </row>
    <row r="577">
      <c r="A577" s="23">
        <f>IF('05 Simple Returns'!A577="","",'05 Simple Returns'!A577)</f>
        <v/>
      </c>
      <c r="B577" s="25">
        <f>IF($A577="","",SUM(MMULT('05 Simple Returns'!B577:G577,'08 Optimisation'!$B$36:$B$41)))</f>
        <v/>
      </c>
      <c r="C577" s="25">
        <f>IF($A577="","",SUM(MMULT('06 Log Returns'!B577:G577,'08 Optimisation'!$B$36:$B$41)))</f>
        <v/>
      </c>
      <c r="D577" s="37">
        <f>IF($A577="","",IF(D576="","",D576*(1+B577)))</f>
        <v/>
      </c>
      <c r="E577" s="37">
        <f>IF($A577="","",MAX($D$5:D577))</f>
        <v/>
      </c>
      <c r="F577" s="25">
        <f>IF($A577="","",(E577-D577)/E577)</f>
        <v/>
      </c>
    </row>
    <row r="578">
      <c r="A578" s="23">
        <f>IF('05 Simple Returns'!A578="","",'05 Simple Returns'!A578)</f>
        <v/>
      </c>
      <c r="B578" s="25">
        <f>IF($A578="","",SUM(MMULT('05 Simple Returns'!B578:G578,'08 Optimisation'!$B$36:$B$41)))</f>
        <v/>
      </c>
      <c r="C578" s="25">
        <f>IF($A578="","",SUM(MMULT('06 Log Returns'!B578:G578,'08 Optimisation'!$B$36:$B$41)))</f>
        <v/>
      </c>
      <c r="D578" s="37">
        <f>IF($A578="","",IF(D577="","",D577*(1+B578)))</f>
        <v/>
      </c>
      <c r="E578" s="37">
        <f>IF($A578="","",MAX($D$5:D578))</f>
        <v/>
      </c>
      <c r="F578" s="25">
        <f>IF($A578="","",(E578-D578)/E578)</f>
        <v/>
      </c>
    </row>
    <row r="579">
      <c r="A579" s="23">
        <f>IF('05 Simple Returns'!A579="","",'05 Simple Returns'!A579)</f>
        <v/>
      </c>
      <c r="B579" s="25">
        <f>IF($A579="","",SUM(MMULT('05 Simple Returns'!B579:G579,'08 Optimisation'!$B$36:$B$41)))</f>
        <v/>
      </c>
      <c r="C579" s="25">
        <f>IF($A579="","",SUM(MMULT('06 Log Returns'!B579:G579,'08 Optimisation'!$B$36:$B$41)))</f>
        <v/>
      </c>
      <c r="D579" s="37">
        <f>IF($A579="","",IF(D578="","",D578*(1+B579)))</f>
        <v/>
      </c>
      <c r="E579" s="37">
        <f>IF($A579="","",MAX($D$5:D579))</f>
        <v/>
      </c>
      <c r="F579" s="25">
        <f>IF($A579="","",(E579-D579)/E579)</f>
        <v/>
      </c>
    </row>
    <row r="580">
      <c r="A580" s="23">
        <f>IF('05 Simple Returns'!A580="","",'05 Simple Returns'!A580)</f>
        <v/>
      </c>
      <c r="B580" s="25">
        <f>IF($A580="","",SUM(MMULT('05 Simple Returns'!B580:G580,'08 Optimisation'!$B$36:$B$41)))</f>
        <v/>
      </c>
      <c r="C580" s="25">
        <f>IF($A580="","",SUM(MMULT('06 Log Returns'!B580:G580,'08 Optimisation'!$B$36:$B$41)))</f>
        <v/>
      </c>
      <c r="D580" s="37">
        <f>IF($A580="","",IF(D579="","",D579*(1+B580)))</f>
        <v/>
      </c>
      <c r="E580" s="37">
        <f>IF($A580="","",MAX($D$5:D580))</f>
        <v/>
      </c>
      <c r="F580" s="25">
        <f>IF($A580="","",(E580-D580)/E580)</f>
        <v/>
      </c>
    </row>
    <row r="581">
      <c r="A581" s="23">
        <f>IF('05 Simple Returns'!A581="","",'05 Simple Returns'!A581)</f>
        <v/>
      </c>
      <c r="B581" s="25">
        <f>IF($A581="","",SUM(MMULT('05 Simple Returns'!B581:G581,'08 Optimisation'!$B$36:$B$41)))</f>
        <v/>
      </c>
      <c r="C581" s="25">
        <f>IF($A581="","",SUM(MMULT('06 Log Returns'!B581:G581,'08 Optimisation'!$B$36:$B$41)))</f>
        <v/>
      </c>
      <c r="D581" s="37">
        <f>IF($A581="","",IF(D580="","",D580*(1+B581)))</f>
        <v/>
      </c>
      <c r="E581" s="37">
        <f>IF($A581="","",MAX($D$5:D581))</f>
        <v/>
      </c>
      <c r="F581" s="25">
        <f>IF($A581="","",(E581-D581)/E581)</f>
        <v/>
      </c>
    </row>
    <row r="582">
      <c r="A582" s="23">
        <f>IF('05 Simple Returns'!A582="","",'05 Simple Returns'!A582)</f>
        <v/>
      </c>
      <c r="B582" s="25">
        <f>IF($A582="","",SUM(MMULT('05 Simple Returns'!B582:G582,'08 Optimisation'!$B$36:$B$41)))</f>
        <v/>
      </c>
      <c r="C582" s="25">
        <f>IF($A582="","",SUM(MMULT('06 Log Returns'!B582:G582,'08 Optimisation'!$B$36:$B$41)))</f>
        <v/>
      </c>
      <c r="D582" s="37">
        <f>IF($A582="","",IF(D581="","",D581*(1+B582)))</f>
        <v/>
      </c>
      <c r="E582" s="37">
        <f>IF($A582="","",MAX($D$5:D582))</f>
        <v/>
      </c>
      <c r="F582" s="25">
        <f>IF($A582="","",(E582-D582)/E582)</f>
        <v/>
      </c>
    </row>
    <row r="583">
      <c r="A583" s="23">
        <f>IF('05 Simple Returns'!A583="","",'05 Simple Returns'!A583)</f>
        <v/>
      </c>
      <c r="B583" s="25">
        <f>IF($A583="","",SUM(MMULT('05 Simple Returns'!B583:G583,'08 Optimisation'!$B$36:$B$41)))</f>
        <v/>
      </c>
      <c r="C583" s="25">
        <f>IF($A583="","",SUM(MMULT('06 Log Returns'!B583:G583,'08 Optimisation'!$B$36:$B$41)))</f>
        <v/>
      </c>
      <c r="D583" s="37">
        <f>IF($A583="","",IF(D582="","",D582*(1+B583)))</f>
        <v/>
      </c>
      <c r="E583" s="37">
        <f>IF($A583="","",MAX($D$5:D583))</f>
        <v/>
      </c>
      <c r="F583" s="25">
        <f>IF($A583="","",(E583-D583)/E583)</f>
        <v/>
      </c>
    </row>
    <row r="584">
      <c r="A584" s="23">
        <f>IF('05 Simple Returns'!A584="","",'05 Simple Returns'!A584)</f>
        <v/>
      </c>
      <c r="B584" s="25">
        <f>IF($A584="","",SUM(MMULT('05 Simple Returns'!B584:G584,'08 Optimisation'!$B$36:$B$41)))</f>
        <v/>
      </c>
      <c r="C584" s="25">
        <f>IF($A584="","",SUM(MMULT('06 Log Returns'!B584:G584,'08 Optimisation'!$B$36:$B$41)))</f>
        <v/>
      </c>
      <c r="D584" s="37">
        <f>IF($A584="","",IF(D583="","",D583*(1+B584)))</f>
        <v/>
      </c>
      <c r="E584" s="37">
        <f>IF($A584="","",MAX($D$5:D584))</f>
        <v/>
      </c>
      <c r="F584" s="25">
        <f>IF($A584="","",(E584-D584)/E584)</f>
        <v/>
      </c>
    </row>
    <row r="585">
      <c r="A585" s="23">
        <f>IF('05 Simple Returns'!A585="","",'05 Simple Returns'!A585)</f>
        <v/>
      </c>
      <c r="B585" s="25">
        <f>IF($A585="","",SUM(MMULT('05 Simple Returns'!B585:G585,'08 Optimisation'!$B$36:$B$41)))</f>
        <v/>
      </c>
      <c r="C585" s="25">
        <f>IF($A585="","",SUM(MMULT('06 Log Returns'!B585:G585,'08 Optimisation'!$B$36:$B$41)))</f>
        <v/>
      </c>
      <c r="D585" s="37">
        <f>IF($A585="","",IF(D584="","",D584*(1+B585)))</f>
        <v/>
      </c>
      <c r="E585" s="37">
        <f>IF($A585="","",MAX($D$5:D585))</f>
        <v/>
      </c>
      <c r="F585" s="25">
        <f>IF($A585="","",(E585-D585)/E585)</f>
        <v/>
      </c>
    </row>
    <row r="586">
      <c r="A586" s="23">
        <f>IF('05 Simple Returns'!A586="","",'05 Simple Returns'!A586)</f>
        <v/>
      </c>
      <c r="B586" s="25">
        <f>IF($A586="","",SUM(MMULT('05 Simple Returns'!B586:G586,'08 Optimisation'!$B$36:$B$41)))</f>
        <v/>
      </c>
      <c r="C586" s="25">
        <f>IF($A586="","",SUM(MMULT('06 Log Returns'!B586:G586,'08 Optimisation'!$B$36:$B$41)))</f>
        <v/>
      </c>
      <c r="D586" s="37">
        <f>IF($A586="","",IF(D585="","",D585*(1+B586)))</f>
        <v/>
      </c>
      <c r="E586" s="37">
        <f>IF($A586="","",MAX($D$5:D586))</f>
        <v/>
      </c>
      <c r="F586" s="25">
        <f>IF($A586="","",(E586-D586)/E586)</f>
        <v/>
      </c>
    </row>
    <row r="587">
      <c r="A587" s="23">
        <f>IF('05 Simple Returns'!A587="","",'05 Simple Returns'!A587)</f>
        <v/>
      </c>
      <c r="B587" s="25">
        <f>IF($A587="","",SUM(MMULT('05 Simple Returns'!B587:G587,'08 Optimisation'!$B$36:$B$41)))</f>
        <v/>
      </c>
      <c r="C587" s="25">
        <f>IF($A587="","",SUM(MMULT('06 Log Returns'!B587:G587,'08 Optimisation'!$B$36:$B$41)))</f>
        <v/>
      </c>
      <c r="D587" s="37">
        <f>IF($A587="","",IF(D586="","",D586*(1+B587)))</f>
        <v/>
      </c>
      <c r="E587" s="37">
        <f>IF($A587="","",MAX($D$5:D587))</f>
        <v/>
      </c>
      <c r="F587" s="25">
        <f>IF($A587="","",(E587-D587)/E587)</f>
        <v/>
      </c>
    </row>
    <row r="588">
      <c r="A588" s="23">
        <f>IF('05 Simple Returns'!A588="","",'05 Simple Returns'!A588)</f>
        <v/>
      </c>
      <c r="B588" s="25">
        <f>IF($A588="","",SUM(MMULT('05 Simple Returns'!B588:G588,'08 Optimisation'!$B$36:$B$41)))</f>
        <v/>
      </c>
      <c r="C588" s="25">
        <f>IF($A588="","",SUM(MMULT('06 Log Returns'!B588:G588,'08 Optimisation'!$B$36:$B$41)))</f>
        <v/>
      </c>
      <c r="D588" s="37">
        <f>IF($A588="","",IF(D587="","",D587*(1+B588)))</f>
        <v/>
      </c>
      <c r="E588" s="37">
        <f>IF($A588="","",MAX($D$5:D588))</f>
        <v/>
      </c>
      <c r="F588" s="25">
        <f>IF($A588="","",(E588-D588)/E588)</f>
        <v/>
      </c>
    </row>
    <row r="589">
      <c r="A589" s="23">
        <f>IF('05 Simple Returns'!A589="","",'05 Simple Returns'!A589)</f>
        <v/>
      </c>
      <c r="B589" s="25">
        <f>IF($A589="","",SUM(MMULT('05 Simple Returns'!B589:G589,'08 Optimisation'!$B$36:$B$41)))</f>
        <v/>
      </c>
      <c r="C589" s="25">
        <f>IF($A589="","",SUM(MMULT('06 Log Returns'!B589:G589,'08 Optimisation'!$B$36:$B$41)))</f>
        <v/>
      </c>
      <c r="D589" s="37">
        <f>IF($A589="","",IF(D588="","",D588*(1+B589)))</f>
        <v/>
      </c>
      <c r="E589" s="37">
        <f>IF($A589="","",MAX($D$5:D589))</f>
        <v/>
      </c>
      <c r="F589" s="25">
        <f>IF($A589="","",(E589-D589)/E589)</f>
        <v/>
      </c>
    </row>
    <row r="590">
      <c r="A590" s="23">
        <f>IF('05 Simple Returns'!A590="","",'05 Simple Returns'!A590)</f>
        <v/>
      </c>
      <c r="B590" s="25">
        <f>IF($A590="","",SUM(MMULT('05 Simple Returns'!B590:G590,'08 Optimisation'!$B$36:$B$41)))</f>
        <v/>
      </c>
      <c r="C590" s="25">
        <f>IF($A590="","",SUM(MMULT('06 Log Returns'!B590:G590,'08 Optimisation'!$B$36:$B$41)))</f>
        <v/>
      </c>
      <c r="D590" s="37">
        <f>IF($A590="","",IF(D589="","",D589*(1+B590)))</f>
        <v/>
      </c>
      <c r="E590" s="37">
        <f>IF($A590="","",MAX($D$5:D590))</f>
        <v/>
      </c>
      <c r="F590" s="25">
        <f>IF($A590="","",(E590-D590)/E590)</f>
        <v/>
      </c>
    </row>
    <row r="591">
      <c r="A591" s="23">
        <f>IF('05 Simple Returns'!A591="","",'05 Simple Returns'!A591)</f>
        <v/>
      </c>
      <c r="B591" s="25">
        <f>IF($A591="","",SUM(MMULT('05 Simple Returns'!B591:G591,'08 Optimisation'!$B$36:$B$41)))</f>
        <v/>
      </c>
      <c r="C591" s="25">
        <f>IF($A591="","",SUM(MMULT('06 Log Returns'!B591:G591,'08 Optimisation'!$B$36:$B$41)))</f>
        <v/>
      </c>
      <c r="D591" s="37">
        <f>IF($A591="","",IF(D590="","",D590*(1+B591)))</f>
        <v/>
      </c>
      <c r="E591" s="37">
        <f>IF($A591="","",MAX($D$5:D591))</f>
        <v/>
      </c>
      <c r="F591" s="25">
        <f>IF($A591="","",(E591-D591)/E591)</f>
        <v/>
      </c>
    </row>
    <row r="592">
      <c r="A592" s="23">
        <f>IF('05 Simple Returns'!A592="","",'05 Simple Returns'!A592)</f>
        <v/>
      </c>
      <c r="B592" s="25">
        <f>IF($A592="","",SUM(MMULT('05 Simple Returns'!B592:G592,'08 Optimisation'!$B$36:$B$41)))</f>
        <v/>
      </c>
      <c r="C592" s="25">
        <f>IF($A592="","",SUM(MMULT('06 Log Returns'!B592:G592,'08 Optimisation'!$B$36:$B$41)))</f>
        <v/>
      </c>
      <c r="D592" s="37">
        <f>IF($A592="","",IF(D591="","",D591*(1+B592)))</f>
        <v/>
      </c>
      <c r="E592" s="37">
        <f>IF($A592="","",MAX($D$5:D592))</f>
        <v/>
      </c>
      <c r="F592" s="25">
        <f>IF($A592="","",(E592-D592)/E592)</f>
        <v/>
      </c>
    </row>
    <row r="593">
      <c r="A593" s="23">
        <f>IF('05 Simple Returns'!A593="","",'05 Simple Returns'!A593)</f>
        <v/>
      </c>
      <c r="B593" s="25">
        <f>IF($A593="","",SUM(MMULT('05 Simple Returns'!B593:G593,'08 Optimisation'!$B$36:$B$41)))</f>
        <v/>
      </c>
      <c r="C593" s="25">
        <f>IF($A593="","",SUM(MMULT('06 Log Returns'!B593:G593,'08 Optimisation'!$B$36:$B$41)))</f>
        <v/>
      </c>
      <c r="D593" s="37">
        <f>IF($A593="","",IF(D592="","",D592*(1+B593)))</f>
        <v/>
      </c>
      <c r="E593" s="37">
        <f>IF($A593="","",MAX($D$5:D593))</f>
        <v/>
      </c>
      <c r="F593" s="25">
        <f>IF($A593="","",(E593-D593)/E593)</f>
        <v/>
      </c>
    </row>
    <row r="594">
      <c r="A594" s="23">
        <f>IF('05 Simple Returns'!A594="","",'05 Simple Returns'!A594)</f>
        <v/>
      </c>
      <c r="B594" s="25">
        <f>IF($A594="","",SUM(MMULT('05 Simple Returns'!B594:G594,'08 Optimisation'!$B$36:$B$41)))</f>
        <v/>
      </c>
      <c r="C594" s="25">
        <f>IF($A594="","",SUM(MMULT('06 Log Returns'!B594:G594,'08 Optimisation'!$B$36:$B$41)))</f>
        <v/>
      </c>
      <c r="D594" s="37">
        <f>IF($A594="","",IF(D593="","",D593*(1+B594)))</f>
        <v/>
      </c>
      <c r="E594" s="37">
        <f>IF($A594="","",MAX($D$5:D594))</f>
        <v/>
      </c>
      <c r="F594" s="25">
        <f>IF($A594="","",(E594-D594)/E594)</f>
        <v/>
      </c>
    </row>
    <row r="595">
      <c r="A595" s="23">
        <f>IF('05 Simple Returns'!A595="","",'05 Simple Returns'!A595)</f>
        <v/>
      </c>
      <c r="B595" s="25">
        <f>IF($A595="","",SUM(MMULT('05 Simple Returns'!B595:G595,'08 Optimisation'!$B$36:$B$41)))</f>
        <v/>
      </c>
      <c r="C595" s="25">
        <f>IF($A595="","",SUM(MMULT('06 Log Returns'!B595:G595,'08 Optimisation'!$B$36:$B$41)))</f>
        <v/>
      </c>
      <c r="D595" s="37">
        <f>IF($A595="","",IF(D594="","",D594*(1+B595)))</f>
        <v/>
      </c>
      <c r="E595" s="37">
        <f>IF($A595="","",MAX($D$5:D595))</f>
        <v/>
      </c>
      <c r="F595" s="25">
        <f>IF($A595="","",(E595-D595)/E595)</f>
        <v/>
      </c>
    </row>
    <row r="596">
      <c r="A596" s="23">
        <f>IF('05 Simple Returns'!A596="","",'05 Simple Returns'!A596)</f>
        <v/>
      </c>
      <c r="B596" s="25">
        <f>IF($A596="","",SUM(MMULT('05 Simple Returns'!B596:G596,'08 Optimisation'!$B$36:$B$41)))</f>
        <v/>
      </c>
      <c r="C596" s="25">
        <f>IF($A596="","",SUM(MMULT('06 Log Returns'!B596:G596,'08 Optimisation'!$B$36:$B$41)))</f>
        <v/>
      </c>
      <c r="D596" s="37">
        <f>IF($A596="","",IF(D595="","",D595*(1+B596)))</f>
        <v/>
      </c>
      <c r="E596" s="37">
        <f>IF($A596="","",MAX($D$5:D596))</f>
        <v/>
      </c>
      <c r="F596" s="25">
        <f>IF($A596="","",(E596-D596)/E596)</f>
        <v/>
      </c>
    </row>
    <row r="597">
      <c r="A597" s="23">
        <f>IF('05 Simple Returns'!A597="","",'05 Simple Returns'!A597)</f>
        <v/>
      </c>
      <c r="B597" s="25">
        <f>IF($A597="","",SUM(MMULT('05 Simple Returns'!B597:G597,'08 Optimisation'!$B$36:$B$41)))</f>
        <v/>
      </c>
      <c r="C597" s="25">
        <f>IF($A597="","",SUM(MMULT('06 Log Returns'!B597:G597,'08 Optimisation'!$B$36:$B$41)))</f>
        <v/>
      </c>
      <c r="D597" s="37">
        <f>IF($A597="","",IF(D596="","",D596*(1+B597)))</f>
        <v/>
      </c>
      <c r="E597" s="37">
        <f>IF($A597="","",MAX($D$5:D597))</f>
        <v/>
      </c>
      <c r="F597" s="25">
        <f>IF($A597="","",(E597-D597)/E597)</f>
        <v/>
      </c>
    </row>
    <row r="598">
      <c r="A598" s="23">
        <f>IF('05 Simple Returns'!A598="","",'05 Simple Returns'!A598)</f>
        <v/>
      </c>
      <c r="B598" s="25">
        <f>IF($A598="","",SUM(MMULT('05 Simple Returns'!B598:G598,'08 Optimisation'!$B$36:$B$41)))</f>
        <v/>
      </c>
      <c r="C598" s="25">
        <f>IF($A598="","",SUM(MMULT('06 Log Returns'!B598:G598,'08 Optimisation'!$B$36:$B$41)))</f>
        <v/>
      </c>
      <c r="D598" s="37">
        <f>IF($A598="","",IF(D597="","",D597*(1+B598)))</f>
        <v/>
      </c>
      <c r="E598" s="37">
        <f>IF($A598="","",MAX($D$5:D598))</f>
        <v/>
      </c>
      <c r="F598" s="25">
        <f>IF($A598="","",(E598-D598)/E598)</f>
        <v/>
      </c>
    </row>
    <row r="599">
      <c r="A599" s="23">
        <f>IF('05 Simple Returns'!A599="","",'05 Simple Returns'!A599)</f>
        <v/>
      </c>
      <c r="B599" s="25">
        <f>IF($A599="","",SUM(MMULT('05 Simple Returns'!B599:G599,'08 Optimisation'!$B$36:$B$41)))</f>
        <v/>
      </c>
      <c r="C599" s="25">
        <f>IF($A599="","",SUM(MMULT('06 Log Returns'!B599:G599,'08 Optimisation'!$B$36:$B$41)))</f>
        <v/>
      </c>
      <c r="D599" s="37">
        <f>IF($A599="","",IF(D598="","",D598*(1+B599)))</f>
        <v/>
      </c>
      <c r="E599" s="37">
        <f>IF($A599="","",MAX($D$5:D599))</f>
        <v/>
      </c>
      <c r="F599" s="25">
        <f>IF($A599="","",(E599-D599)/E599)</f>
        <v/>
      </c>
    </row>
    <row r="600">
      <c r="A600" s="23">
        <f>IF('05 Simple Returns'!A600="","",'05 Simple Returns'!A600)</f>
        <v/>
      </c>
      <c r="B600" s="25">
        <f>IF($A600="","",SUM(MMULT('05 Simple Returns'!B600:G600,'08 Optimisation'!$B$36:$B$41)))</f>
        <v/>
      </c>
      <c r="C600" s="25">
        <f>IF($A600="","",SUM(MMULT('06 Log Returns'!B600:G600,'08 Optimisation'!$B$36:$B$41)))</f>
        <v/>
      </c>
      <c r="D600" s="37">
        <f>IF($A600="","",IF(D599="","",D599*(1+B600)))</f>
        <v/>
      </c>
      <c r="E600" s="37">
        <f>IF($A600="","",MAX($D$5:D600))</f>
        <v/>
      </c>
      <c r="F600" s="25">
        <f>IF($A600="","",(E600-D600)/E600)</f>
        <v/>
      </c>
    </row>
    <row r="601">
      <c r="A601" s="23">
        <f>IF('05 Simple Returns'!A601="","",'05 Simple Returns'!A601)</f>
        <v/>
      </c>
      <c r="B601" s="25">
        <f>IF($A601="","",SUM(MMULT('05 Simple Returns'!B601:G601,'08 Optimisation'!$B$36:$B$41)))</f>
        <v/>
      </c>
      <c r="C601" s="25">
        <f>IF($A601="","",SUM(MMULT('06 Log Returns'!B601:G601,'08 Optimisation'!$B$36:$B$41)))</f>
        <v/>
      </c>
      <c r="D601" s="37">
        <f>IF($A601="","",IF(D600="","",D600*(1+B601)))</f>
        <v/>
      </c>
      <c r="E601" s="37">
        <f>IF($A601="","",MAX($D$5:D601))</f>
        <v/>
      </c>
      <c r="F601" s="25">
        <f>IF($A601="","",(E601-D601)/E601)</f>
        <v/>
      </c>
    </row>
    <row r="602">
      <c r="A602" s="23">
        <f>IF('05 Simple Returns'!A602="","",'05 Simple Returns'!A602)</f>
        <v/>
      </c>
      <c r="B602" s="25">
        <f>IF($A602="","",SUM(MMULT('05 Simple Returns'!B602:G602,'08 Optimisation'!$B$36:$B$41)))</f>
        <v/>
      </c>
      <c r="C602" s="25">
        <f>IF($A602="","",SUM(MMULT('06 Log Returns'!B602:G602,'08 Optimisation'!$B$36:$B$41)))</f>
        <v/>
      </c>
      <c r="D602" s="37">
        <f>IF($A602="","",IF(D601="","",D601*(1+B602)))</f>
        <v/>
      </c>
      <c r="E602" s="37">
        <f>IF($A602="","",MAX($D$5:D602))</f>
        <v/>
      </c>
      <c r="F602" s="25">
        <f>IF($A602="","",(E602-D602)/E602)</f>
        <v/>
      </c>
    </row>
    <row r="603">
      <c r="A603" s="23">
        <f>IF('05 Simple Returns'!A603="","",'05 Simple Returns'!A603)</f>
        <v/>
      </c>
      <c r="B603" s="25">
        <f>IF($A603="","",SUM(MMULT('05 Simple Returns'!B603:G603,'08 Optimisation'!$B$36:$B$41)))</f>
        <v/>
      </c>
      <c r="C603" s="25">
        <f>IF($A603="","",SUM(MMULT('06 Log Returns'!B603:G603,'08 Optimisation'!$B$36:$B$41)))</f>
        <v/>
      </c>
      <c r="D603" s="37">
        <f>IF($A603="","",IF(D602="","",D602*(1+B603)))</f>
        <v/>
      </c>
      <c r="E603" s="37">
        <f>IF($A603="","",MAX($D$5:D603))</f>
        <v/>
      </c>
      <c r="F603" s="25">
        <f>IF($A603="","",(E603-D603)/E603)</f>
        <v/>
      </c>
    </row>
    <row r="604">
      <c r="A604" s="23">
        <f>IF('05 Simple Returns'!A604="","",'05 Simple Returns'!A604)</f>
        <v/>
      </c>
      <c r="B604" s="25">
        <f>IF($A604="","",SUM(MMULT('05 Simple Returns'!B604:G604,'08 Optimisation'!$B$36:$B$41)))</f>
        <v/>
      </c>
      <c r="C604" s="25">
        <f>IF($A604="","",SUM(MMULT('06 Log Returns'!B604:G604,'08 Optimisation'!$B$36:$B$41)))</f>
        <v/>
      </c>
      <c r="D604" s="37">
        <f>IF($A604="","",IF(D603="","",D603*(1+B604)))</f>
        <v/>
      </c>
      <c r="E604" s="37">
        <f>IF($A604="","",MAX($D$5:D604))</f>
        <v/>
      </c>
      <c r="F604" s="25">
        <f>IF($A604="","",(E604-D604)/E604)</f>
        <v/>
      </c>
    </row>
    <row r="605">
      <c r="A605" s="23">
        <f>IF('05 Simple Returns'!A605="","",'05 Simple Returns'!A605)</f>
        <v/>
      </c>
      <c r="B605" s="25">
        <f>IF($A605="","",SUM(MMULT('05 Simple Returns'!B605:G605,'08 Optimisation'!$B$36:$B$41)))</f>
        <v/>
      </c>
      <c r="C605" s="25">
        <f>IF($A605="","",SUM(MMULT('06 Log Returns'!B605:G605,'08 Optimisation'!$B$36:$B$41)))</f>
        <v/>
      </c>
      <c r="D605" s="37">
        <f>IF($A605="","",IF(D604="","",D604*(1+B605)))</f>
        <v/>
      </c>
      <c r="E605" s="37">
        <f>IF($A605="","",MAX($D$5:D605))</f>
        <v/>
      </c>
      <c r="F605" s="25">
        <f>IF($A605="","",(E605-D605)/E605)</f>
        <v/>
      </c>
    </row>
    <row r="606">
      <c r="A606" s="23">
        <f>IF('05 Simple Returns'!A606="","",'05 Simple Returns'!A606)</f>
        <v/>
      </c>
      <c r="B606" s="25">
        <f>IF($A606="","",SUM(MMULT('05 Simple Returns'!B606:G606,'08 Optimisation'!$B$36:$B$41)))</f>
        <v/>
      </c>
      <c r="C606" s="25">
        <f>IF($A606="","",SUM(MMULT('06 Log Returns'!B606:G606,'08 Optimisation'!$B$36:$B$41)))</f>
        <v/>
      </c>
      <c r="D606" s="37">
        <f>IF($A606="","",IF(D605="","",D605*(1+B606)))</f>
        <v/>
      </c>
      <c r="E606" s="37">
        <f>IF($A606="","",MAX($D$5:D606))</f>
        <v/>
      </c>
      <c r="F606" s="25">
        <f>IF($A606="","",(E606-D606)/E606)</f>
        <v/>
      </c>
    </row>
    <row r="607">
      <c r="A607" s="23">
        <f>IF('05 Simple Returns'!A607="","",'05 Simple Returns'!A607)</f>
        <v/>
      </c>
      <c r="B607" s="25">
        <f>IF($A607="","",SUM(MMULT('05 Simple Returns'!B607:G607,'08 Optimisation'!$B$36:$B$41)))</f>
        <v/>
      </c>
      <c r="C607" s="25">
        <f>IF($A607="","",SUM(MMULT('06 Log Returns'!B607:G607,'08 Optimisation'!$B$36:$B$41)))</f>
        <v/>
      </c>
      <c r="D607" s="37">
        <f>IF($A607="","",IF(D606="","",D606*(1+B607)))</f>
        <v/>
      </c>
      <c r="E607" s="37">
        <f>IF($A607="","",MAX($D$5:D607))</f>
        <v/>
      </c>
      <c r="F607" s="25">
        <f>IF($A607="","",(E607-D607)/E607)</f>
        <v/>
      </c>
    </row>
    <row r="608">
      <c r="A608" s="23">
        <f>IF('05 Simple Returns'!A608="","",'05 Simple Returns'!A608)</f>
        <v/>
      </c>
      <c r="B608" s="25">
        <f>IF($A608="","",SUM(MMULT('05 Simple Returns'!B608:G608,'08 Optimisation'!$B$36:$B$41)))</f>
        <v/>
      </c>
      <c r="C608" s="25">
        <f>IF($A608="","",SUM(MMULT('06 Log Returns'!B608:G608,'08 Optimisation'!$B$36:$B$41)))</f>
        <v/>
      </c>
      <c r="D608" s="37">
        <f>IF($A608="","",IF(D607="","",D607*(1+B608)))</f>
        <v/>
      </c>
      <c r="E608" s="37">
        <f>IF($A608="","",MAX($D$5:D608))</f>
        <v/>
      </c>
      <c r="F608" s="25">
        <f>IF($A608="","",(E608-D608)/E608)</f>
        <v/>
      </c>
    </row>
    <row r="609">
      <c r="A609" s="23">
        <f>IF('05 Simple Returns'!A609="","",'05 Simple Returns'!A609)</f>
        <v/>
      </c>
      <c r="B609" s="25">
        <f>IF($A609="","",SUM(MMULT('05 Simple Returns'!B609:G609,'08 Optimisation'!$B$36:$B$41)))</f>
        <v/>
      </c>
      <c r="C609" s="25">
        <f>IF($A609="","",SUM(MMULT('06 Log Returns'!B609:G609,'08 Optimisation'!$B$36:$B$41)))</f>
        <v/>
      </c>
      <c r="D609" s="37">
        <f>IF($A609="","",IF(D608="","",D608*(1+B609)))</f>
        <v/>
      </c>
      <c r="E609" s="37">
        <f>IF($A609="","",MAX($D$5:D609))</f>
        <v/>
      </c>
      <c r="F609" s="25">
        <f>IF($A609="","",(E609-D609)/E609)</f>
        <v/>
      </c>
    </row>
    <row r="610">
      <c r="A610" s="23">
        <f>IF('05 Simple Returns'!A610="","",'05 Simple Returns'!A610)</f>
        <v/>
      </c>
      <c r="B610" s="25">
        <f>IF($A610="","",SUM(MMULT('05 Simple Returns'!B610:G610,'08 Optimisation'!$B$36:$B$41)))</f>
        <v/>
      </c>
      <c r="C610" s="25">
        <f>IF($A610="","",SUM(MMULT('06 Log Returns'!B610:G610,'08 Optimisation'!$B$36:$B$41)))</f>
        <v/>
      </c>
      <c r="D610" s="37">
        <f>IF($A610="","",IF(D609="","",D609*(1+B610)))</f>
        <v/>
      </c>
      <c r="E610" s="37">
        <f>IF($A610="","",MAX($D$5:D610))</f>
        <v/>
      </c>
      <c r="F610" s="25">
        <f>IF($A610="","",(E610-D610)/E610)</f>
        <v/>
      </c>
    </row>
    <row r="611">
      <c r="A611" s="23">
        <f>IF('05 Simple Returns'!A611="","",'05 Simple Returns'!A611)</f>
        <v/>
      </c>
      <c r="B611" s="25">
        <f>IF($A611="","",SUM(MMULT('05 Simple Returns'!B611:G611,'08 Optimisation'!$B$36:$B$41)))</f>
        <v/>
      </c>
      <c r="C611" s="25">
        <f>IF($A611="","",SUM(MMULT('06 Log Returns'!B611:G611,'08 Optimisation'!$B$36:$B$41)))</f>
        <v/>
      </c>
      <c r="D611" s="37">
        <f>IF($A611="","",IF(D610="","",D610*(1+B611)))</f>
        <v/>
      </c>
      <c r="E611" s="37">
        <f>IF($A611="","",MAX($D$5:D611))</f>
        <v/>
      </c>
      <c r="F611" s="25">
        <f>IF($A611="","",(E611-D611)/E611)</f>
        <v/>
      </c>
    </row>
    <row r="612">
      <c r="A612" s="23">
        <f>IF('05 Simple Returns'!A612="","",'05 Simple Returns'!A612)</f>
        <v/>
      </c>
      <c r="B612" s="25">
        <f>IF($A612="","",SUM(MMULT('05 Simple Returns'!B612:G612,'08 Optimisation'!$B$36:$B$41)))</f>
        <v/>
      </c>
      <c r="C612" s="25">
        <f>IF($A612="","",SUM(MMULT('06 Log Returns'!B612:G612,'08 Optimisation'!$B$36:$B$41)))</f>
        <v/>
      </c>
      <c r="D612" s="37">
        <f>IF($A612="","",IF(D611="","",D611*(1+B612)))</f>
        <v/>
      </c>
      <c r="E612" s="37">
        <f>IF($A612="","",MAX($D$5:D612))</f>
        <v/>
      </c>
      <c r="F612" s="25">
        <f>IF($A612="","",(E612-D612)/E612)</f>
        <v/>
      </c>
    </row>
    <row r="613">
      <c r="A613" s="23">
        <f>IF('05 Simple Returns'!A613="","",'05 Simple Returns'!A613)</f>
        <v/>
      </c>
      <c r="B613" s="25">
        <f>IF($A613="","",SUM(MMULT('05 Simple Returns'!B613:G613,'08 Optimisation'!$B$36:$B$41)))</f>
        <v/>
      </c>
      <c r="C613" s="25">
        <f>IF($A613="","",SUM(MMULT('06 Log Returns'!B613:G613,'08 Optimisation'!$B$36:$B$41)))</f>
        <v/>
      </c>
      <c r="D613" s="37">
        <f>IF($A613="","",IF(D612="","",D612*(1+B613)))</f>
        <v/>
      </c>
      <c r="E613" s="37">
        <f>IF($A613="","",MAX($D$5:D613))</f>
        <v/>
      </c>
      <c r="F613" s="25">
        <f>IF($A613="","",(E613-D613)/E613)</f>
        <v/>
      </c>
    </row>
    <row r="614">
      <c r="A614" s="23">
        <f>IF('05 Simple Returns'!A614="","",'05 Simple Returns'!A614)</f>
        <v/>
      </c>
      <c r="B614" s="25">
        <f>IF($A614="","",SUM(MMULT('05 Simple Returns'!B614:G614,'08 Optimisation'!$B$36:$B$41)))</f>
        <v/>
      </c>
      <c r="C614" s="25">
        <f>IF($A614="","",SUM(MMULT('06 Log Returns'!B614:G614,'08 Optimisation'!$B$36:$B$41)))</f>
        <v/>
      </c>
      <c r="D614" s="37">
        <f>IF($A614="","",IF(D613="","",D613*(1+B614)))</f>
        <v/>
      </c>
      <c r="E614" s="37">
        <f>IF($A614="","",MAX($D$5:D614))</f>
        <v/>
      </c>
      <c r="F614" s="25">
        <f>IF($A614="","",(E614-D614)/E614)</f>
        <v/>
      </c>
    </row>
    <row r="615">
      <c r="A615" s="23">
        <f>IF('05 Simple Returns'!A615="","",'05 Simple Returns'!A615)</f>
        <v/>
      </c>
      <c r="B615" s="25">
        <f>IF($A615="","",SUM(MMULT('05 Simple Returns'!B615:G615,'08 Optimisation'!$B$36:$B$41)))</f>
        <v/>
      </c>
      <c r="C615" s="25">
        <f>IF($A615="","",SUM(MMULT('06 Log Returns'!B615:G615,'08 Optimisation'!$B$36:$B$41)))</f>
        <v/>
      </c>
      <c r="D615" s="37">
        <f>IF($A615="","",IF(D614="","",D614*(1+B615)))</f>
        <v/>
      </c>
      <c r="E615" s="37">
        <f>IF($A615="","",MAX($D$5:D615))</f>
        <v/>
      </c>
      <c r="F615" s="25">
        <f>IF($A615="","",(E615-D615)/E615)</f>
        <v/>
      </c>
    </row>
    <row r="616">
      <c r="A616" s="23">
        <f>IF('05 Simple Returns'!A616="","",'05 Simple Returns'!A616)</f>
        <v/>
      </c>
      <c r="B616" s="25">
        <f>IF($A616="","",SUM(MMULT('05 Simple Returns'!B616:G616,'08 Optimisation'!$B$36:$B$41)))</f>
        <v/>
      </c>
      <c r="C616" s="25">
        <f>IF($A616="","",SUM(MMULT('06 Log Returns'!B616:G616,'08 Optimisation'!$B$36:$B$41)))</f>
        <v/>
      </c>
      <c r="D616" s="37">
        <f>IF($A616="","",IF(D615="","",D615*(1+B616)))</f>
        <v/>
      </c>
      <c r="E616" s="37">
        <f>IF($A616="","",MAX($D$5:D616))</f>
        <v/>
      </c>
      <c r="F616" s="25">
        <f>IF($A616="","",(E616-D616)/E616)</f>
        <v/>
      </c>
    </row>
    <row r="617">
      <c r="A617" s="23">
        <f>IF('05 Simple Returns'!A617="","",'05 Simple Returns'!A617)</f>
        <v/>
      </c>
      <c r="B617" s="25">
        <f>IF($A617="","",SUM(MMULT('05 Simple Returns'!B617:G617,'08 Optimisation'!$B$36:$B$41)))</f>
        <v/>
      </c>
      <c r="C617" s="25">
        <f>IF($A617="","",SUM(MMULT('06 Log Returns'!B617:G617,'08 Optimisation'!$B$36:$B$41)))</f>
        <v/>
      </c>
      <c r="D617" s="37">
        <f>IF($A617="","",IF(D616="","",D616*(1+B617)))</f>
        <v/>
      </c>
      <c r="E617" s="37">
        <f>IF($A617="","",MAX($D$5:D617))</f>
        <v/>
      </c>
      <c r="F617" s="25">
        <f>IF($A617="","",(E617-D617)/E617)</f>
        <v/>
      </c>
    </row>
    <row r="618">
      <c r="A618" s="23">
        <f>IF('05 Simple Returns'!A618="","",'05 Simple Returns'!A618)</f>
        <v/>
      </c>
      <c r="B618" s="25">
        <f>IF($A618="","",SUM(MMULT('05 Simple Returns'!B618:G618,'08 Optimisation'!$B$36:$B$41)))</f>
        <v/>
      </c>
      <c r="C618" s="25">
        <f>IF($A618="","",SUM(MMULT('06 Log Returns'!B618:G618,'08 Optimisation'!$B$36:$B$41)))</f>
        <v/>
      </c>
      <c r="D618" s="37">
        <f>IF($A618="","",IF(D617="","",D617*(1+B618)))</f>
        <v/>
      </c>
      <c r="E618" s="37">
        <f>IF($A618="","",MAX($D$5:D618))</f>
        <v/>
      </c>
      <c r="F618" s="25">
        <f>IF($A618="","",(E618-D618)/E618)</f>
        <v/>
      </c>
    </row>
    <row r="619">
      <c r="A619" s="23">
        <f>IF('05 Simple Returns'!A619="","",'05 Simple Returns'!A619)</f>
        <v/>
      </c>
      <c r="B619" s="25">
        <f>IF($A619="","",SUM(MMULT('05 Simple Returns'!B619:G619,'08 Optimisation'!$B$36:$B$41)))</f>
        <v/>
      </c>
      <c r="C619" s="25">
        <f>IF($A619="","",SUM(MMULT('06 Log Returns'!B619:G619,'08 Optimisation'!$B$36:$B$41)))</f>
        <v/>
      </c>
      <c r="D619" s="37">
        <f>IF($A619="","",IF(D618="","",D618*(1+B619)))</f>
        <v/>
      </c>
      <c r="E619" s="37">
        <f>IF($A619="","",MAX($D$5:D619))</f>
        <v/>
      </c>
      <c r="F619" s="25">
        <f>IF($A619="","",(E619-D619)/E619)</f>
        <v/>
      </c>
    </row>
    <row r="620">
      <c r="A620" s="23">
        <f>IF('05 Simple Returns'!A620="","",'05 Simple Returns'!A620)</f>
        <v/>
      </c>
      <c r="B620" s="25">
        <f>IF($A620="","",SUM(MMULT('05 Simple Returns'!B620:G620,'08 Optimisation'!$B$36:$B$41)))</f>
        <v/>
      </c>
      <c r="C620" s="25">
        <f>IF($A620="","",SUM(MMULT('06 Log Returns'!B620:G620,'08 Optimisation'!$B$36:$B$41)))</f>
        <v/>
      </c>
      <c r="D620" s="37">
        <f>IF($A620="","",IF(D619="","",D619*(1+B620)))</f>
        <v/>
      </c>
      <c r="E620" s="37">
        <f>IF($A620="","",MAX($D$5:D620))</f>
        <v/>
      </c>
      <c r="F620" s="25">
        <f>IF($A620="","",(E620-D620)/E620)</f>
        <v/>
      </c>
    </row>
    <row r="621">
      <c r="A621" s="23">
        <f>IF('05 Simple Returns'!A621="","",'05 Simple Returns'!A621)</f>
        <v/>
      </c>
      <c r="B621" s="25">
        <f>IF($A621="","",SUM(MMULT('05 Simple Returns'!B621:G621,'08 Optimisation'!$B$36:$B$41)))</f>
        <v/>
      </c>
      <c r="C621" s="25">
        <f>IF($A621="","",SUM(MMULT('06 Log Returns'!B621:G621,'08 Optimisation'!$B$36:$B$41)))</f>
        <v/>
      </c>
      <c r="D621" s="37">
        <f>IF($A621="","",IF(D620="","",D620*(1+B621)))</f>
        <v/>
      </c>
      <c r="E621" s="37">
        <f>IF($A621="","",MAX($D$5:D621))</f>
        <v/>
      </c>
      <c r="F621" s="25">
        <f>IF($A621="","",(E621-D621)/E621)</f>
        <v/>
      </c>
    </row>
    <row r="622">
      <c r="A622" s="23">
        <f>IF('05 Simple Returns'!A622="","",'05 Simple Returns'!A622)</f>
        <v/>
      </c>
      <c r="B622" s="25">
        <f>IF($A622="","",SUM(MMULT('05 Simple Returns'!B622:G622,'08 Optimisation'!$B$36:$B$41)))</f>
        <v/>
      </c>
      <c r="C622" s="25">
        <f>IF($A622="","",SUM(MMULT('06 Log Returns'!B622:G622,'08 Optimisation'!$B$36:$B$41)))</f>
        <v/>
      </c>
      <c r="D622" s="37">
        <f>IF($A622="","",IF(D621="","",D621*(1+B622)))</f>
        <v/>
      </c>
      <c r="E622" s="37">
        <f>IF($A622="","",MAX($D$5:D622))</f>
        <v/>
      </c>
      <c r="F622" s="25">
        <f>IF($A622="","",(E622-D622)/E622)</f>
        <v/>
      </c>
    </row>
    <row r="623">
      <c r="A623" s="23">
        <f>IF('05 Simple Returns'!A623="","",'05 Simple Returns'!A623)</f>
        <v/>
      </c>
      <c r="B623" s="25">
        <f>IF($A623="","",SUM(MMULT('05 Simple Returns'!B623:G623,'08 Optimisation'!$B$36:$B$41)))</f>
        <v/>
      </c>
      <c r="C623" s="25">
        <f>IF($A623="","",SUM(MMULT('06 Log Returns'!B623:G623,'08 Optimisation'!$B$36:$B$41)))</f>
        <v/>
      </c>
      <c r="D623" s="37">
        <f>IF($A623="","",IF(D622="","",D622*(1+B623)))</f>
        <v/>
      </c>
      <c r="E623" s="37">
        <f>IF($A623="","",MAX($D$5:D623))</f>
        <v/>
      </c>
      <c r="F623" s="25">
        <f>IF($A623="","",(E623-D623)/E623)</f>
        <v/>
      </c>
    </row>
    <row r="624">
      <c r="A624" s="23">
        <f>IF('05 Simple Returns'!A624="","",'05 Simple Returns'!A624)</f>
        <v/>
      </c>
      <c r="B624" s="25">
        <f>IF($A624="","",SUM(MMULT('05 Simple Returns'!B624:G624,'08 Optimisation'!$B$36:$B$41)))</f>
        <v/>
      </c>
      <c r="C624" s="25">
        <f>IF($A624="","",SUM(MMULT('06 Log Returns'!B624:G624,'08 Optimisation'!$B$36:$B$41)))</f>
        <v/>
      </c>
      <c r="D624" s="37">
        <f>IF($A624="","",IF(D623="","",D623*(1+B624)))</f>
        <v/>
      </c>
      <c r="E624" s="37">
        <f>IF($A624="","",MAX($D$5:D624))</f>
        <v/>
      </c>
      <c r="F624" s="25">
        <f>IF($A624="","",(E624-D624)/E624)</f>
        <v/>
      </c>
    </row>
    <row r="625">
      <c r="A625" s="23">
        <f>IF('05 Simple Returns'!A625="","",'05 Simple Returns'!A625)</f>
        <v/>
      </c>
      <c r="B625" s="25">
        <f>IF($A625="","",SUM(MMULT('05 Simple Returns'!B625:G625,'08 Optimisation'!$B$36:$B$41)))</f>
        <v/>
      </c>
      <c r="C625" s="25">
        <f>IF($A625="","",SUM(MMULT('06 Log Returns'!B625:G625,'08 Optimisation'!$B$36:$B$41)))</f>
        <v/>
      </c>
      <c r="D625" s="37">
        <f>IF($A625="","",IF(D624="","",D624*(1+B625)))</f>
        <v/>
      </c>
      <c r="E625" s="37">
        <f>IF($A625="","",MAX($D$5:D625))</f>
        <v/>
      </c>
      <c r="F625" s="25">
        <f>IF($A625="","",(E625-D625)/E625)</f>
        <v/>
      </c>
    </row>
    <row r="626">
      <c r="A626" s="23">
        <f>IF('05 Simple Returns'!A626="","",'05 Simple Returns'!A626)</f>
        <v/>
      </c>
      <c r="B626" s="25">
        <f>IF($A626="","",SUM(MMULT('05 Simple Returns'!B626:G626,'08 Optimisation'!$B$36:$B$41)))</f>
        <v/>
      </c>
      <c r="C626" s="25">
        <f>IF($A626="","",SUM(MMULT('06 Log Returns'!B626:G626,'08 Optimisation'!$B$36:$B$41)))</f>
        <v/>
      </c>
      <c r="D626" s="37">
        <f>IF($A626="","",IF(D625="","",D625*(1+B626)))</f>
        <v/>
      </c>
      <c r="E626" s="37">
        <f>IF($A626="","",MAX($D$5:D626))</f>
        <v/>
      </c>
      <c r="F626" s="25">
        <f>IF($A626="","",(E626-D626)/E626)</f>
        <v/>
      </c>
    </row>
    <row r="627">
      <c r="A627" s="23">
        <f>IF('05 Simple Returns'!A627="","",'05 Simple Returns'!A627)</f>
        <v/>
      </c>
      <c r="B627" s="25">
        <f>IF($A627="","",SUM(MMULT('05 Simple Returns'!B627:G627,'08 Optimisation'!$B$36:$B$41)))</f>
        <v/>
      </c>
      <c r="C627" s="25">
        <f>IF($A627="","",SUM(MMULT('06 Log Returns'!B627:G627,'08 Optimisation'!$B$36:$B$41)))</f>
        <v/>
      </c>
      <c r="D627" s="37">
        <f>IF($A627="","",IF(D626="","",D626*(1+B627)))</f>
        <v/>
      </c>
      <c r="E627" s="37">
        <f>IF($A627="","",MAX($D$5:D627))</f>
        <v/>
      </c>
      <c r="F627" s="25">
        <f>IF($A627="","",(E627-D627)/E627)</f>
        <v/>
      </c>
    </row>
    <row r="628">
      <c r="A628" s="23">
        <f>IF('05 Simple Returns'!A628="","",'05 Simple Returns'!A628)</f>
        <v/>
      </c>
      <c r="B628" s="25">
        <f>IF($A628="","",SUM(MMULT('05 Simple Returns'!B628:G628,'08 Optimisation'!$B$36:$B$41)))</f>
        <v/>
      </c>
      <c r="C628" s="25">
        <f>IF($A628="","",SUM(MMULT('06 Log Returns'!B628:G628,'08 Optimisation'!$B$36:$B$41)))</f>
        <v/>
      </c>
      <c r="D628" s="37">
        <f>IF($A628="","",IF(D627="","",D627*(1+B628)))</f>
        <v/>
      </c>
      <c r="E628" s="37">
        <f>IF($A628="","",MAX($D$5:D628))</f>
        <v/>
      </c>
      <c r="F628" s="25">
        <f>IF($A628="","",(E628-D628)/E628)</f>
        <v/>
      </c>
    </row>
    <row r="629">
      <c r="A629" s="23">
        <f>IF('05 Simple Returns'!A629="","",'05 Simple Returns'!A629)</f>
        <v/>
      </c>
      <c r="B629" s="25">
        <f>IF($A629="","",SUM(MMULT('05 Simple Returns'!B629:G629,'08 Optimisation'!$B$36:$B$41)))</f>
        <v/>
      </c>
      <c r="C629" s="25">
        <f>IF($A629="","",SUM(MMULT('06 Log Returns'!B629:G629,'08 Optimisation'!$B$36:$B$41)))</f>
        <v/>
      </c>
      <c r="D629" s="37">
        <f>IF($A629="","",IF(D628="","",D628*(1+B629)))</f>
        <v/>
      </c>
      <c r="E629" s="37">
        <f>IF($A629="","",MAX($D$5:D629))</f>
        <v/>
      </c>
      <c r="F629" s="25">
        <f>IF($A629="","",(E629-D629)/E629)</f>
        <v/>
      </c>
    </row>
    <row r="630">
      <c r="A630" s="23">
        <f>IF('05 Simple Returns'!A630="","",'05 Simple Returns'!A630)</f>
        <v/>
      </c>
      <c r="B630" s="25">
        <f>IF($A630="","",SUM(MMULT('05 Simple Returns'!B630:G630,'08 Optimisation'!$B$36:$B$41)))</f>
        <v/>
      </c>
      <c r="C630" s="25">
        <f>IF($A630="","",SUM(MMULT('06 Log Returns'!B630:G630,'08 Optimisation'!$B$36:$B$41)))</f>
        <v/>
      </c>
      <c r="D630" s="37">
        <f>IF($A630="","",IF(D629="","",D629*(1+B630)))</f>
        <v/>
      </c>
      <c r="E630" s="37">
        <f>IF($A630="","",MAX($D$5:D630))</f>
        <v/>
      </c>
      <c r="F630" s="25">
        <f>IF($A630="","",(E630-D630)/E630)</f>
        <v/>
      </c>
    </row>
    <row r="631">
      <c r="A631" s="23">
        <f>IF('05 Simple Returns'!A631="","",'05 Simple Returns'!A631)</f>
        <v/>
      </c>
      <c r="B631" s="25">
        <f>IF($A631="","",SUM(MMULT('05 Simple Returns'!B631:G631,'08 Optimisation'!$B$36:$B$41)))</f>
        <v/>
      </c>
      <c r="C631" s="25">
        <f>IF($A631="","",SUM(MMULT('06 Log Returns'!B631:G631,'08 Optimisation'!$B$36:$B$41)))</f>
        <v/>
      </c>
      <c r="D631" s="37">
        <f>IF($A631="","",IF(D630="","",D630*(1+B631)))</f>
        <v/>
      </c>
      <c r="E631" s="37">
        <f>IF($A631="","",MAX($D$5:D631))</f>
        <v/>
      </c>
      <c r="F631" s="25">
        <f>IF($A631="","",(E631-D631)/E631)</f>
        <v/>
      </c>
    </row>
    <row r="632">
      <c r="A632" s="23">
        <f>IF('05 Simple Returns'!A632="","",'05 Simple Returns'!A632)</f>
        <v/>
      </c>
      <c r="B632" s="25">
        <f>IF($A632="","",SUM(MMULT('05 Simple Returns'!B632:G632,'08 Optimisation'!$B$36:$B$41)))</f>
        <v/>
      </c>
      <c r="C632" s="25">
        <f>IF($A632="","",SUM(MMULT('06 Log Returns'!B632:G632,'08 Optimisation'!$B$36:$B$41)))</f>
        <v/>
      </c>
      <c r="D632" s="37">
        <f>IF($A632="","",IF(D631="","",D631*(1+B632)))</f>
        <v/>
      </c>
      <c r="E632" s="37">
        <f>IF($A632="","",MAX($D$5:D632))</f>
        <v/>
      </c>
      <c r="F632" s="25">
        <f>IF($A632="","",(E632-D632)/E632)</f>
        <v/>
      </c>
    </row>
    <row r="633">
      <c r="A633" s="23">
        <f>IF('05 Simple Returns'!A633="","",'05 Simple Returns'!A633)</f>
        <v/>
      </c>
      <c r="B633" s="25">
        <f>IF($A633="","",SUM(MMULT('05 Simple Returns'!B633:G633,'08 Optimisation'!$B$36:$B$41)))</f>
        <v/>
      </c>
      <c r="C633" s="25">
        <f>IF($A633="","",SUM(MMULT('06 Log Returns'!B633:G633,'08 Optimisation'!$B$36:$B$41)))</f>
        <v/>
      </c>
      <c r="D633" s="37">
        <f>IF($A633="","",IF(D632="","",D632*(1+B633)))</f>
        <v/>
      </c>
      <c r="E633" s="37">
        <f>IF($A633="","",MAX($D$5:D633))</f>
        <v/>
      </c>
      <c r="F633" s="25">
        <f>IF($A633="","",(E633-D633)/E633)</f>
        <v/>
      </c>
    </row>
    <row r="634">
      <c r="A634" s="23">
        <f>IF('05 Simple Returns'!A634="","",'05 Simple Returns'!A634)</f>
        <v/>
      </c>
      <c r="B634" s="25">
        <f>IF($A634="","",SUM(MMULT('05 Simple Returns'!B634:G634,'08 Optimisation'!$B$36:$B$41)))</f>
        <v/>
      </c>
      <c r="C634" s="25">
        <f>IF($A634="","",SUM(MMULT('06 Log Returns'!B634:G634,'08 Optimisation'!$B$36:$B$41)))</f>
        <v/>
      </c>
      <c r="D634" s="37">
        <f>IF($A634="","",IF(D633="","",D633*(1+B634)))</f>
        <v/>
      </c>
      <c r="E634" s="37">
        <f>IF($A634="","",MAX($D$5:D634))</f>
        <v/>
      </c>
      <c r="F634" s="25">
        <f>IF($A634="","",(E634-D634)/E634)</f>
        <v/>
      </c>
    </row>
    <row r="635">
      <c r="A635" s="23">
        <f>IF('05 Simple Returns'!A635="","",'05 Simple Returns'!A635)</f>
        <v/>
      </c>
      <c r="B635" s="25">
        <f>IF($A635="","",SUM(MMULT('05 Simple Returns'!B635:G635,'08 Optimisation'!$B$36:$B$41)))</f>
        <v/>
      </c>
      <c r="C635" s="25">
        <f>IF($A635="","",SUM(MMULT('06 Log Returns'!B635:G635,'08 Optimisation'!$B$36:$B$41)))</f>
        <v/>
      </c>
      <c r="D635" s="37">
        <f>IF($A635="","",IF(D634="","",D634*(1+B635)))</f>
        <v/>
      </c>
      <c r="E635" s="37">
        <f>IF($A635="","",MAX($D$5:D635))</f>
        <v/>
      </c>
      <c r="F635" s="25">
        <f>IF($A635="","",(E635-D635)/E635)</f>
        <v/>
      </c>
    </row>
    <row r="636">
      <c r="A636" s="23">
        <f>IF('05 Simple Returns'!A636="","",'05 Simple Returns'!A636)</f>
        <v/>
      </c>
      <c r="B636" s="25">
        <f>IF($A636="","",SUM(MMULT('05 Simple Returns'!B636:G636,'08 Optimisation'!$B$36:$B$41)))</f>
        <v/>
      </c>
      <c r="C636" s="25">
        <f>IF($A636="","",SUM(MMULT('06 Log Returns'!B636:G636,'08 Optimisation'!$B$36:$B$41)))</f>
        <v/>
      </c>
      <c r="D636" s="37">
        <f>IF($A636="","",IF(D635="","",D635*(1+B636)))</f>
        <v/>
      </c>
      <c r="E636" s="37">
        <f>IF($A636="","",MAX($D$5:D636))</f>
        <v/>
      </c>
      <c r="F636" s="25">
        <f>IF($A636="","",(E636-D636)/E636)</f>
        <v/>
      </c>
    </row>
    <row r="637">
      <c r="A637" s="23">
        <f>IF('05 Simple Returns'!A637="","",'05 Simple Returns'!A637)</f>
        <v/>
      </c>
      <c r="B637" s="25">
        <f>IF($A637="","",SUM(MMULT('05 Simple Returns'!B637:G637,'08 Optimisation'!$B$36:$B$41)))</f>
        <v/>
      </c>
      <c r="C637" s="25">
        <f>IF($A637="","",SUM(MMULT('06 Log Returns'!B637:G637,'08 Optimisation'!$B$36:$B$41)))</f>
        <v/>
      </c>
      <c r="D637" s="37">
        <f>IF($A637="","",IF(D636="","",D636*(1+B637)))</f>
        <v/>
      </c>
      <c r="E637" s="37">
        <f>IF($A637="","",MAX($D$5:D637))</f>
        <v/>
      </c>
      <c r="F637" s="25">
        <f>IF($A637="","",(E637-D637)/E637)</f>
        <v/>
      </c>
    </row>
    <row r="638">
      <c r="A638" s="23">
        <f>IF('05 Simple Returns'!A638="","",'05 Simple Returns'!A638)</f>
        <v/>
      </c>
      <c r="B638" s="25">
        <f>IF($A638="","",SUM(MMULT('05 Simple Returns'!B638:G638,'08 Optimisation'!$B$36:$B$41)))</f>
        <v/>
      </c>
      <c r="C638" s="25">
        <f>IF($A638="","",SUM(MMULT('06 Log Returns'!B638:G638,'08 Optimisation'!$B$36:$B$41)))</f>
        <v/>
      </c>
      <c r="D638" s="37">
        <f>IF($A638="","",IF(D637="","",D637*(1+B638)))</f>
        <v/>
      </c>
      <c r="E638" s="37">
        <f>IF($A638="","",MAX($D$5:D638))</f>
        <v/>
      </c>
      <c r="F638" s="25">
        <f>IF($A638="","",(E638-D638)/E638)</f>
        <v/>
      </c>
    </row>
    <row r="639">
      <c r="A639" s="23">
        <f>IF('05 Simple Returns'!A639="","",'05 Simple Returns'!A639)</f>
        <v/>
      </c>
      <c r="B639" s="25">
        <f>IF($A639="","",SUM(MMULT('05 Simple Returns'!B639:G639,'08 Optimisation'!$B$36:$B$41)))</f>
        <v/>
      </c>
      <c r="C639" s="25">
        <f>IF($A639="","",SUM(MMULT('06 Log Returns'!B639:G639,'08 Optimisation'!$B$36:$B$41)))</f>
        <v/>
      </c>
      <c r="D639" s="37">
        <f>IF($A639="","",IF(D638="","",D638*(1+B639)))</f>
        <v/>
      </c>
      <c r="E639" s="37">
        <f>IF($A639="","",MAX($D$5:D639))</f>
        <v/>
      </c>
      <c r="F639" s="25">
        <f>IF($A639="","",(E639-D639)/E639)</f>
        <v/>
      </c>
    </row>
    <row r="640">
      <c r="A640" s="23">
        <f>IF('05 Simple Returns'!A640="","",'05 Simple Returns'!A640)</f>
        <v/>
      </c>
      <c r="B640" s="25">
        <f>IF($A640="","",SUM(MMULT('05 Simple Returns'!B640:G640,'08 Optimisation'!$B$36:$B$41)))</f>
        <v/>
      </c>
      <c r="C640" s="25">
        <f>IF($A640="","",SUM(MMULT('06 Log Returns'!B640:G640,'08 Optimisation'!$B$36:$B$41)))</f>
        <v/>
      </c>
      <c r="D640" s="37">
        <f>IF($A640="","",IF(D639="","",D639*(1+B640)))</f>
        <v/>
      </c>
      <c r="E640" s="37">
        <f>IF($A640="","",MAX($D$5:D640))</f>
        <v/>
      </c>
      <c r="F640" s="25">
        <f>IF($A640="","",(E640-D640)/E640)</f>
        <v/>
      </c>
    </row>
    <row r="641">
      <c r="A641" s="23">
        <f>IF('05 Simple Returns'!A641="","",'05 Simple Returns'!A641)</f>
        <v/>
      </c>
      <c r="B641" s="25">
        <f>IF($A641="","",SUM(MMULT('05 Simple Returns'!B641:G641,'08 Optimisation'!$B$36:$B$41)))</f>
        <v/>
      </c>
      <c r="C641" s="25">
        <f>IF($A641="","",SUM(MMULT('06 Log Returns'!B641:G641,'08 Optimisation'!$B$36:$B$41)))</f>
        <v/>
      </c>
      <c r="D641" s="37">
        <f>IF($A641="","",IF(D640="","",D640*(1+B641)))</f>
        <v/>
      </c>
      <c r="E641" s="37">
        <f>IF($A641="","",MAX($D$5:D641))</f>
        <v/>
      </c>
      <c r="F641" s="25">
        <f>IF($A641="","",(E641-D641)/E641)</f>
        <v/>
      </c>
    </row>
    <row r="642">
      <c r="A642" s="23">
        <f>IF('05 Simple Returns'!A642="","",'05 Simple Returns'!A642)</f>
        <v/>
      </c>
      <c r="B642" s="25">
        <f>IF($A642="","",SUM(MMULT('05 Simple Returns'!B642:G642,'08 Optimisation'!$B$36:$B$41)))</f>
        <v/>
      </c>
      <c r="C642" s="25">
        <f>IF($A642="","",SUM(MMULT('06 Log Returns'!B642:G642,'08 Optimisation'!$B$36:$B$41)))</f>
        <v/>
      </c>
      <c r="D642" s="37">
        <f>IF($A642="","",IF(D641="","",D641*(1+B642)))</f>
        <v/>
      </c>
      <c r="E642" s="37">
        <f>IF($A642="","",MAX($D$5:D642))</f>
        <v/>
      </c>
      <c r="F642" s="25">
        <f>IF($A642="","",(E642-D642)/E642)</f>
        <v/>
      </c>
    </row>
    <row r="643">
      <c r="A643" s="23">
        <f>IF('05 Simple Returns'!A643="","",'05 Simple Returns'!A643)</f>
        <v/>
      </c>
      <c r="B643" s="25">
        <f>IF($A643="","",SUM(MMULT('05 Simple Returns'!B643:G643,'08 Optimisation'!$B$36:$B$41)))</f>
        <v/>
      </c>
      <c r="C643" s="25">
        <f>IF($A643="","",SUM(MMULT('06 Log Returns'!B643:G643,'08 Optimisation'!$B$36:$B$41)))</f>
        <v/>
      </c>
      <c r="D643" s="37">
        <f>IF($A643="","",IF(D642="","",D642*(1+B643)))</f>
        <v/>
      </c>
      <c r="E643" s="37">
        <f>IF($A643="","",MAX($D$5:D643))</f>
        <v/>
      </c>
      <c r="F643" s="25">
        <f>IF($A643="","",(E643-D643)/E643)</f>
        <v/>
      </c>
    </row>
    <row r="644">
      <c r="A644" s="23">
        <f>IF('05 Simple Returns'!A644="","",'05 Simple Returns'!A644)</f>
        <v/>
      </c>
      <c r="B644" s="25">
        <f>IF($A644="","",SUM(MMULT('05 Simple Returns'!B644:G644,'08 Optimisation'!$B$36:$B$41)))</f>
        <v/>
      </c>
      <c r="C644" s="25">
        <f>IF($A644="","",SUM(MMULT('06 Log Returns'!B644:G644,'08 Optimisation'!$B$36:$B$41)))</f>
        <v/>
      </c>
      <c r="D644" s="37">
        <f>IF($A644="","",IF(D643="","",D643*(1+B644)))</f>
        <v/>
      </c>
      <c r="E644" s="37">
        <f>IF($A644="","",MAX($D$5:D644))</f>
        <v/>
      </c>
      <c r="F644" s="25">
        <f>IF($A644="","",(E644-D644)/E644)</f>
        <v/>
      </c>
    </row>
    <row r="645">
      <c r="A645" s="23">
        <f>IF('05 Simple Returns'!A645="","",'05 Simple Returns'!A645)</f>
        <v/>
      </c>
      <c r="B645" s="25">
        <f>IF($A645="","",SUM(MMULT('05 Simple Returns'!B645:G645,'08 Optimisation'!$B$36:$B$41)))</f>
        <v/>
      </c>
      <c r="C645" s="25">
        <f>IF($A645="","",SUM(MMULT('06 Log Returns'!B645:G645,'08 Optimisation'!$B$36:$B$41)))</f>
        <v/>
      </c>
      <c r="D645" s="37">
        <f>IF($A645="","",IF(D644="","",D644*(1+B645)))</f>
        <v/>
      </c>
      <c r="E645" s="37">
        <f>IF($A645="","",MAX($D$5:D645))</f>
        <v/>
      </c>
      <c r="F645" s="25">
        <f>IF($A645="","",(E645-D645)/E645)</f>
        <v/>
      </c>
    </row>
    <row r="646">
      <c r="A646" s="23">
        <f>IF('05 Simple Returns'!A646="","",'05 Simple Returns'!A646)</f>
        <v/>
      </c>
      <c r="B646" s="25">
        <f>IF($A646="","",SUM(MMULT('05 Simple Returns'!B646:G646,'08 Optimisation'!$B$36:$B$41)))</f>
        <v/>
      </c>
      <c r="C646" s="25">
        <f>IF($A646="","",SUM(MMULT('06 Log Returns'!B646:G646,'08 Optimisation'!$B$36:$B$41)))</f>
        <v/>
      </c>
      <c r="D646" s="37">
        <f>IF($A646="","",IF(D645="","",D645*(1+B646)))</f>
        <v/>
      </c>
      <c r="E646" s="37">
        <f>IF($A646="","",MAX($D$5:D646))</f>
        <v/>
      </c>
      <c r="F646" s="25">
        <f>IF($A646="","",(E646-D646)/E646)</f>
        <v/>
      </c>
    </row>
    <row r="647">
      <c r="A647" s="23">
        <f>IF('05 Simple Returns'!A647="","",'05 Simple Returns'!A647)</f>
        <v/>
      </c>
      <c r="B647" s="25">
        <f>IF($A647="","",SUM(MMULT('05 Simple Returns'!B647:G647,'08 Optimisation'!$B$36:$B$41)))</f>
        <v/>
      </c>
      <c r="C647" s="25">
        <f>IF($A647="","",SUM(MMULT('06 Log Returns'!B647:G647,'08 Optimisation'!$B$36:$B$41)))</f>
        <v/>
      </c>
      <c r="D647" s="37">
        <f>IF($A647="","",IF(D646="","",D646*(1+B647)))</f>
        <v/>
      </c>
      <c r="E647" s="37">
        <f>IF($A647="","",MAX($D$5:D647))</f>
        <v/>
      </c>
      <c r="F647" s="25">
        <f>IF($A647="","",(E647-D647)/E647)</f>
        <v/>
      </c>
    </row>
    <row r="648">
      <c r="A648" s="23">
        <f>IF('05 Simple Returns'!A648="","",'05 Simple Returns'!A648)</f>
        <v/>
      </c>
      <c r="B648" s="25">
        <f>IF($A648="","",SUM(MMULT('05 Simple Returns'!B648:G648,'08 Optimisation'!$B$36:$B$41)))</f>
        <v/>
      </c>
      <c r="C648" s="25">
        <f>IF($A648="","",SUM(MMULT('06 Log Returns'!B648:G648,'08 Optimisation'!$B$36:$B$41)))</f>
        <v/>
      </c>
      <c r="D648" s="37">
        <f>IF($A648="","",IF(D647="","",D647*(1+B648)))</f>
        <v/>
      </c>
      <c r="E648" s="37">
        <f>IF($A648="","",MAX($D$5:D648))</f>
        <v/>
      </c>
      <c r="F648" s="25">
        <f>IF($A648="","",(E648-D648)/E648)</f>
        <v/>
      </c>
    </row>
    <row r="649">
      <c r="A649" s="23">
        <f>IF('05 Simple Returns'!A649="","",'05 Simple Returns'!A649)</f>
        <v/>
      </c>
      <c r="B649" s="25">
        <f>IF($A649="","",SUM(MMULT('05 Simple Returns'!B649:G649,'08 Optimisation'!$B$36:$B$41)))</f>
        <v/>
      </c>
      <c r="C649" s="25">
        <f>IF($A649="","",SUM(MMULT('06 Log Returns'!B649:G649,'08 Optimisation'!$B$36:$B$41)))</f>
        <v/>
      </c>
      <c r="D649" s="37">
        <f>IF($A649="","",IF(D648="","",D648*(1+B649)))</f>
        <v/>
      </c>
      <c r="E649" s="37">
        <f>IF($A649="","",MAX($D$5:D649))</f>
        <v/>
      </c>
      <c r="F649" s="25">
        <f>IF($A649="","",(E649-D649)/E649)</f>
        <v/>
      </c>
    </row>
    <row r="650">
      <c r="A650" s="23">
        <f>IF('05 Simple Returns'!A650="","",'05 Simple Returns'!A650)</f>
        <v/>
      </c>
      <c r="B650" s="25">
        <f>IF($A650="","",SUM(MMULT('05 Simple Returns'!B650:G650,'08 Optimisation'!$B$36:$B$41)))</f>
        <v/>
      </c>
      <c r="C650" s="25">
        <f>IF($A650="","",SUM(MMULT('06 Log Returns'!B650:G650,'08 Optimisation'!$B$36:$B$41)))</f>
        <v/>
      </c>
      <c r="D650" s="37">
        <f>IF($A650="","",IF(D649="","",D649*(1+B650)))</f>
        <v/>
      </c>
      <c r="E650" s="37">
        <f>IF($A650="","",MAX($D$5:D650))</f>
        <v/>
      </c>
      <c r="F650" s="25">
        <f>IF($A650="","",(E650-D650)/E650)</f>
        <v/>
      </c>
    </row>
    <row r="651">
      <c r="A651" s="23">
        <f>IF('05 Simple Returns'!A651="","",'05 Simple Returns'!A651)</f>
        <v/>
      </c>
      <c r="B651" s="25">
        <f>IF($A651="","",SUM(MMULT('05 Simple Returns'!B651:G651,'08 Optimisation'!$B$36:$B$41)))</f>
        <v/>
      </c>
      <c r="C651" s="25">
        <f>IF($A651="","",SUM(MMULT('06 Log Returns'!B651:G651,'08 Optimisation'!$B$36:$B$41)))</f>
        <v/>
      </c>
      <c r="D651" s="37">
        <f>IF($A651="","",IF(D650="","",D650*(1+B651)))</f>
        <v/>
      </c>
      <c r="E651" s="37">
        <f>IF($A651="","",MAX($D$5:D651))</f>
        <v/>
      </c>
      <c r="F651" s="25">
        <f>IF($A651="","",(E651-D651)/E651)</f>
        <v/>
      </c>
    </row>
    <row r="652">
      <c r="A652" s="23">
        <f>IF('05 Simple Returns'!A652="","",'05 Simple Returns'!A652)</f>
        <v/>
      </c>
      <c r="B652" s="25">
        <f>IF($A652="","",SUM(MMULT('05 Simple Returns'!B652:G652,'08 Optimisation'!$B$36:$B$41)))</f>
        <v/>
      </c>
      <c r="C652" s="25">
        <f>IF($A652="","",SUM(MMULT('06 Log Returns'!B652:G652,'08 Optimisation'!$B$36:$B$41)))</f>
        <v/>
      </c>
      <c r="D652" s="37">
        <f>IF($A652="","",IF(D651="","",D651*(1+B652)))</f>
        <v/>
      </c>
      <c r="E652" s="37">
        <f>IF($A652="","",MAX($D$5:D652))</f>
        <v/>
      </c>
      <c r="F652" s="25">
        <f>IF($A652="","",(E652-D652)/E652)</f>
        <v/>
      </c>
    </row>
    <row r="653">
      <c r="A653" s="23">
        <f>IF('05 Simple Returns'!A653="","",'05 Simple Returns'!A653)</f>
        <v/>
      </c>
      <c r="B653" s="25">
        <f>IF($A653="","",SUM(MMULT('05 Simple Returns'!B653:G653,'08 Optimisation'!$B$36:$B$41)))</f>
        <v/>
      </c>
      <c r="C653" s="25">
        <f>IF($A653="","",SUM(MMULT('06 Log Returns'!B653:G653,'08 Optimisation'!$B$36:$B$41)))</f>
        <v/>
      </c>
      <c r="D653" s="37">
        <f>IF($A653="","",IF(D652="","",D652*(1+B653)))</f>
        <v/>
      </c>
      <c r="E653" s="37">
        <f>IF($A653="","",MAX($D$5:D653))</f>
        <v/>
      </c>
      <c r="F653" s="25">
        <f>IF($A653="","",(E653-D653)/E653)</f>
        <v/>
      </c>
    </row>
    <row r="654">
      <c r="A654" s="23">
        <f>IF('05 Simple Returns'!A654="","",'05 Simple Returns'!A654)</f>
        <v/>
      </c>
      <c r="B654" s="25">
        <f>IF($A654="","",SUM(MMULT('05 Simple Returns'!B654:G654,'08 Optimisation'!$B$36:$B$41)))</f>
        <v/>
      </c>
      <c r="C654" s="25">
        <f>IF($A654="","",SUM(MMULT('06 Log Returns'!B654:G654,'08 Optimisation'!$B$36:$B$41)))</f>
        <v/>
      </c>
      <c r="D654" s="37">
        <f>IF($A654="","",IF(D653="","",D653*(1+B654)))</f>
        <v/>
      </c>
      <c r="E654" s="37">
        <f>IF($A654="","",MAX($D$5:D654))</f>
        <v/>
      </c>
      <c r="F654" s="25">
        <f>IF($A654="","",(E654-D654)/E654)</f>
        <v/>
      </c>
    </row>
    <row r="655">
      <c r="A655" s="23">
        <f>IF('05 Simple Returns'!A655="","",'05 Simple Returns'!A655)</f>
        <v/>
      </c>
      <c r="B655" s="25">
        <f>IF($A655="","",SUM(MMULT('05 Simple Returns'!B655:G655,'08 Optimisation'!$B$36:$B$41)))</f>
        <v/>
      </c>
      <c r="C655" s="25">
        <f>IF($A655="","",SUM(MMULT('06 Log Returns'!B655:G655,'08 Optimisation'!$B$36:$B$41)))</f>
        <v/>
      </c>
      <c r="D655" s="37">
        <f>IF($A655="","",IF(D654="","",D654*(1+B655)))</f>
        <v/>
      </c>
      <c r="E655" s="37">
        <f>IF($A655="","",MAX($D$5:D655))</f>
        <v/>
      </c>
      <c r="F655" s="25">
        <f>IF($A655="","",(E655-D655)/E655)</f>
        <v/>
      </c>
    </row>
    <row r="656">
      <c r="A656" s="23">
        <f>IF('05 Simple Returns'!A656="","",'05 Simple Returns'!A656)</f>
        <v/>
      </c>
      <c r="B656" s="25">
        <f>IF($A656="","",SUM(MMULT('05 Simple Returns'!B656:G656,'08 Optimisation'!$B$36:$B$41)))</f>
        <v/>
      </c>
      <c r="C656" s="25">
        <f>IF($A656="","",SUM(MMULT('06 Log Returns'!B656:G656,'08 Optimisation'!$B$36:$B$41)))</f>
        <v/>
      </c>
      <c r="D656" s="37">
        <f>IF($A656="","",IF(D655="","",D655*(1+B656)))</f>
        <v/>
      </c>
      <c r="E656" s="37">
        <f>IF($A656="","",MAX($D$5:D656))</f>
        <v/>
      </c>
      <c r="F656" s="25">
        <f>IF($A656="","",(E656-D656)/E656)</f>
        <v/>
      </c>
    </row>
    <row r="657">
      <c r="A657" s="23">
        <f>IF('05 Simple Returns'!A657="","",'05 Simple Returns'!A657)</f>
        <v/>
      </c>
      <c r="B657" s="25">
        <f>IF($A657="","",SUM(MMULT('05 Simple Returns'!B657:G657,'08 Optimisation'!$B$36:$B$41)))</f>
        <v/>
      </c>
      <c r="C657" s="25">
        <f>IF($A657="","",SUM(MMULT('06 Log Returns'!B657:G657,'08 Optimisation'!$B$36:$B$41)))</f>
        <v/>
      </c>
      <c r="D657" s="37">
        <f>IF($A657="","",IF(D656="","",D656*(1+B657)))</f>
        <v/>
      </c>
      <c r="E657" s="37">
        <f>IF($A657="","",MAX($D$5:D657))</f>
        <v/>
      </c>
      <c r="F657" s="25">
        <f>IF($A657="","",(E657-D657)/E657)</f>
        <v/>
      </c>
    </row>
    <row r="658">
      <c r="A658" s="23">
        <f>IF('05 Simple Returns'!A658="","",'05 Simple Returns'!A658)</f>
        <v/>
      </c>
      <c r="B658" s="25">
        <f>IF($A658="","",SUM(MMULT('05 Simple Returns'!B658:G658,'08 Optimisation'!$B$36:$B$41)))</f>
        <v/>
      </c>
      <c r="C658" s="25">
        <f>IF($A658="","",SUM(MMULT('06 Log Returns'!B658:G658,'08 Optimisation'!$B$36:$B$41)))</f>
        <v/>
      </c>
      <c r="D658" s="37">
        <f>IF($A658="","",IF(D657="","",D657*(1+B658)))</f>
        <v/>
      </c>
      <c r="E658" s="37">
        <f>IF($A658="","",MAX($D$5:D658))</f>
        <v/>
      </c>
      <c r="F658" s="25">
        <f>IF($A658="","",(E658-D658)/E658)</f>
        <v/>
      </c>
    </row>
    <row r="659">
      <c r="A659" s="23">
        <f>IF('05 Simple Returns'!A659="","",'05 Simple Returns'!A659)</f>
        <v/>
      </c>
      <c r="B659" s="25">
        <f>IF($A659="","",SUM(MMULT('05 Simple Returns'!B659:G659,'08 Optimisation'!$B$36:$B$41)))</f>
        <v/>
      </c>
      <c r="C659" s="25">
        <f>IF($A659="","",SUM(MMULT('06 Log Returns'!B659:G659,'08 Optimisation'!$B$36:$B$41)))</f>
        <v/>
      </c>
      <c r="D659" s="37">
        <f>IF($A659="","",IF(D658="","",D658*(1+B659)))</f>
        <v/>
      </c>
      <c r="E659" s="37">
        <f>IF($A659="","",MAX($D$5:D659))</f>
        <v/>
      </c>
      <c r="F659" s="25">
        <f>IF($A659="","",(E659-D659)/E659)</f>
        <v/>
      </c>
    </row>
    <row r="660">
      <c r="A660" s="23">
        <f>IF('05 Simple Returns'!A660="","",'05 Simple Returns'!A660)</f>
        <v/>
      </c>
      <c r="B660" s="25">
        <f>IF($A660="","",SUM(MMULT('05 Simple Returns'!B660:G660,'08 Optimisation'!$B$36:$B$41)))</f>
        <v/>
      </c>
      <c r="C660" s="25">
        <f>IF($A660="","",SUM(MMULT('06 Log Returns'!B660:G660,'08 Optimisation'!$B$36:$B$41)))</f>
        <v/>
      </c>
      <c r="D660" s="37">
        <f>IF($A660="","",IF(D659="","",D659*(1+B660)))</f>
        <v/>
      </c>
      <c r="E660" s="37">
        <f>IF($A660="","",MAX($D$5:D660))</f>
        <v/>
      </c>
      <c r="F660" s="25">
        <f>IF($A660="","",(E660-D660)/E660)</f>
        <v/>
      </c>
    </row>
    <row r="661">
      <c r="A661" s="23">
        <f>IF('05 Simple Returns'!A661="","",'05 Simple Returns'!A661)</f>
        <v/>
      </c>
      <c r="B661" s="25">
        <f>IF($A661="","",SUM(MMULT('05 Simple Returns'!B661:G661,'08 Optimisation'!$B$36:$B$41)))</f>
        <v/>
      </c>
      <c r="C661" s="25">
        <f>IF($A661="","",SUM(MMULT('06 Log Returns'!B661:G661,'08 Optimisation'!$B$36:$B$41)))</f>
        <v/>
      </c>
      <c r="D661" s="37">
        <f>IF($A661="","",IF(D660="","",D660*(1+B661)))</f>
        <v/>
      </c>
      <c r="E661" s="37">
        <f>IF($A661="","",MAX($D$5:D661))</f>
        <v/>
      </c>
      <c r="F661" s="25">
        <f>IF($A661="","",(E661-D661)/E661)</f>
        <v/>
      </c>
    </row>
    <row r="662">
      <c r="A662" s="23">
        <f>IF('05 Simple Returns'!A662="","",'05 Simple Returns'!A662)</f>
        <v/>
      </c>
      <c r="B662" s="25">
        <f>IF($A662="","",SUM(MMULT('05 Simple Returns'!B662:G662,'08 Optimisation'!$B$36:$B$41)))</f>
        <v/>
      </c>
      <c r="C662" s="25">
        <f>IF($A662="","",SUM(MMULT('06 Log Returns'!B662:G662,'08 Optimisation'!$B$36:$B$41)))</f>
        <v/>
      </c>
      <c r="D662" s="37">
        <f>IF($A662="","",IF(D661="","",D661*(1+B662)))</f>
        <v/>
      </c>
      <c r="E662" s="37">
        <f>IF($A662="","",MAX($D$5:D662))</f>
        <v/>
      </c>
      <c r="F662" s="25">
        <f>IF($A662="","",(E662-D662)/E662)</f>
        <v/>
      </c>
    </row>
    <row r="663">
      <c r="A663" s="23">
        <f>IF('05 Simple Returns'!A663="","",'05 Simple Returns'!A663)</f>
        <v/>
      </c>
      <c r="B663" s="25">
        <f>IF($A663="","",SUM(MMULT('05 Simple Returns'!B663:G663,'08 Optimisation'!$B$36:$B$41)))</f>
        <v/>
      </c>
      <c r="C663" s="25">
        <f>IF($A663="","",SUM(MMULT('06 Log Returns'!B663:G663,'08 Optimisation'!$B$36:$B$41)))</f>
        <v/>
      </c>
      <c r="D663" s="37">
        <f>IF($A663="","",IF(D662="","",D662*(1+B663)))</f>
        <v/>
      </c>
      <c r="E663" s="37">
        <f>IF($A663="","",MAX($D$5:D663))</f>
        <v/>
      </c>
      <c r="F663" s="25">
        <f>IF($A663="","",(E663-D663)/E663)</f>
        <v/>
      </c>
    </row>
    <row r="664">
      <c r="A664" s="23">
        <f>IF('05 Simple Returns'!A664="","",'05 Simple Returns'!A664)</f>
        <v/>
      </c>
      <c r="B664" s="25">
        <f>IF($A664="","",SUM(MMULT('05 Simple Returns'!B664:G664,'08 Optimisation'!$B$36:$B$41)))</f>
        <v/>
      </c>
      <c r="C664" s="25">
        <f>IF($A664="","",SUM(MMULT('06 Log Returns'!B664:G664,'08 Optimisation'!$B$36:$B$41)))</f>
        <v/>
      </c>
      <c r="D664" s="37">
        <f>IF($A664="","",IF(D663="","",D663*(1+B664)))</f>
        <v/>
      </c>
      <c r="E664" s="37">
        <f>IF($A664="","",MAX($D$5:D664))</f>
        <v/>
      </c>
      <c r="F664" s="25">
        <f>IF($A664="","",(E664-D664)/E664)</f>
        <v/>
      </c>
    </row>
    <row r="665">
      <c r="A665" s="23">
        <f>IF('05 Simple Returns'!A665="","",'05 Simple Returns'!A665)</f>
        <v/>
      </c>
      <c r="B665" s="25">
        <f>IF($A665="","",SUM(MMULT('05 Simple Returns'!B665:G665,'08 Optimisation'!$B$36:$B$41)))</f>
        <v/>
      </c>
      <c r="C665" s="25">
        <f>IF($A665="","",SUM(MMULT('06 Log Returns'!B665:G665,'08 Optimisation'!$B$36:$B$41)))</f>
        <v/>
      </c>
      <c r="D665" s="37">
        <f>IF($A665="","",IF(D664="","",D664*(1+B665)))</f>
        <v/>
      </c>
      <c r="E665" s="37">
        <f>IF($A665="","",MAX($D$5:D665))</f>
        <v/>
      </c>
      <c r="F665" s="25">
        <f>IF($A665="","",(E665-D665)/E665)</f>
        <v/>
      </c>
    </row>
    <row r="666">
      <c r="A666" s="23">
        <f>IF('05 Simple Returns'!A666="","",'05 Simple Returns'!A666)</f>
        <v/>
      </c>
      <c r="B666" s="25">
        <f>IF($A666="","",SUM(MMULT('05 Simple Returns'!B666:G666,'08 Optimisation'!$B$36:$B$41)))</f>
        <v/>
      </c>
      <c r="C666" s="25">
        <f>IF($A666="","",SUM(MMULT('06 Log Returns'!B666:G666,'08 Optimisation'!$B$36:$B$41)))</f>
        <v/>
      </c>
      <c r="D666" s="37">
        <f>IF($A666="","",IF(D665="","",D665*(1+B666)))</f>
        <v/>
      </c>
      <c r="E666" s="37">
        <f>IF($A666="","",MAX($D$5:D666))</f>
        <v/>
      </c>
      <c r="F666" s="25">
        <f>IF($A666="","",(E666-D666)/E666)</f>
        <v/>
      </c>
    </row>
    <row r="667">
      <c r="A667" s="23">
        <f>IF('05 Simple Returns'!A667="","",'05 Simple Returns'!A667)</f>
        <v/>
      </c>
      <c r="B667" s="25">
        <f>IF($A667="","",SUM(MMULT('05 Simple Returns'!B667:G667,'08 Optimisation'!$B$36:$B$41)))</f>
        <v/>
      </c>
      <c r="C667" s="25">
        <f>IF($A667="","",SUM(MMULT('06 Log Returns'!B667:G667,'08 Optimisation'!$B$36:$B$41)))</f>
        <v/>
      </c>
      <c r="D667" s="37">
        <f>IF($A667="","",IF(D666="","",D666*(1+B667)))</f>
        <v/>
      </c>
      <c r="E667" s="37">
        <f>IF($A667="","",MAX($D$5:D667))</f>
        <v/>
      </c>
      <c r="F667" s="25">
        <f>IF($A667="","",(E667-D667)/E667)</f>
        <v/>
      </c>
    </row>
    <row r="668">
      <c r="A668" s="23">
        <f>IF('05 Simple Returns'!A668="","",'05 Simple Returns'!A668)</f>
        <v/>
      </c>
      <c r="B668" s="25">
        <f>IF($A668="","",SUM(MMULT('05 Simple Returns'!B668:G668,'08 Optimisation'!$B$36:$B$41)))</f>
        <v/>
      </c>
      <c r="C668" s="25">
        <f>IF($A668="","",SUM(MMULT('06 Log Returns'!B668:G668,'08 Optimisation'!$B$36:$B$41)))</f>
        <v/>
      </c>
      <c r="D668" s="37">
        <f>IF($A668="","",IF(D667="","",D667*(1+B668)))</f>
        <v/>
      </c>
      <c r="E668" s="37">
        <f>IF($A668="","",MAX($D$5:D668))</f>
        <v/>
      </c>
      <c r="F668" s="25">
        <f>IF($A668="","",(E668-D668)/E668)</f>
        <v/>
      </c>
    </row>
    <row r="669">
      <c r="A669" s="23">
        <f>IF('05 Simple Returns'!A669="","",'05 Simple Returns'!A669)</f>
        <v/>
      </c>
      <c r="B669" s="25">
        <f>IF($A669="","",SUM(MMULT('05 Simple Returns'!B669:G669,'08 Optimisation'!$B$36:$B$41)))</f>
        <v/>
      </c>
      <c r="C669" s="25">
        <f>IF($A669="","",SUM(MMULT('06 Log Returns'!B669:G669,'08 Optimisation'!$B$36:$B$41)))</f>
        <v/>
      </c>
      <c r="D669" s="37">
        <f>IF($A669="","",IF(D668="","",D668*(1+B669)))</f>
        <v/>
      </c>
      <c r="E669" s="37">
        <f>IF($A669="","",MAX($D$5:D669))</f>
        <v/>
      </c>
      <c r="F669" s="25">
        <f>IF($A669="","",(E669-D669)/E669)</f>
        <v/>
      </c>
    </row>
    <row r="670">
      <c r="A670" s="23">
        <f>IF('05 Simple Returns'!A670="","",'05 Simple Returns'!A670)</f>
        <v/>
      </c>
      <c r="B670" s="25">
        <f>IF($A670="","",SUM(MMULT('05 Simple Returns'!B670:G670,'08 Optimisation'!$B$36:$B$41)))</f>
        <v/>
      </c>
      <c r="C670" s="25">
        <f>IF($A670="","",SUM(MMULT('06 Log Returns'!B670:G670,'08 Optimisation'!$B$36:$B$41)))</f>
        <v/>
      </c>
      <c r="D670" s="37">
        <f>IF($A670="","",IF(D669="","",D669*(1+B670)))</f>
        <v/>
      </c>
      <c r="E670" s="37">
        <f>IF($A670="","",MAX($D$5:D670))</f>
        <v/>
      </c>
      <c r="F670" s="25">
        <f>IF($A670="","",(E670-D670)/E670)</f>
        <v/>
      </c>
    </row>
    <row r="671">
      <c r="A671" s="23">
        <f>IF('05 Simple Returns'!A671="","",'05 Simple Returns'!A671)</f>
        <v/>
      </c>
      <c r="B671" s="25">
        <f>IF($A671="","",SUM(MMULT('05 Simple Returns'!B671:G671,'08 Optimisation'!$B$36:$B$41)))</f>
        <v/>
      </c>
      <c r="C671" s="25">
        <f>IF($A671="","",SUM(MMULT('06 Log Returns'!B671:G671,'08 Optimisation'!$B$36:$B$41)))</f>
        <v/>
      </c>
      <c r="D671" s="37">
        <f>IF($A671="","",IF(D670="","",D670*(1+B671)))</f>
        <v/>
      </c>
      <c r="E671" s="37">
        <f>IF($A671="","",MAX($D$5:D671))</f>
        <v/>
      </c>
      <c r="F671" s="25">
        <f>IF($A671="","",(E671-D671)/E671)</f>
        <v/>
      </c>
    </row>
    <row r="672">
      <c r="A672" s="23">
        <f>IF('05 Simple Returns'!A672="","",'05 Simple Returns'!A672)</f>
        <v/>
      </c>
      <c r="B672" s="25">
        <f>IF($A672="","",SUM(MMULT('05 Simple Returns'!B672:G672,'08 Optimisation'!$B$36:$B$41)))</f>
        <v/>
      </c>
      <c r="C672" s="25">
        <f>IF($A672="","",SUM(MMULT('06 Log Returns'!B672:G672,'08 Optimisation'!$B$36:$B$41)))</f>
        <v/>
      </c>
      <c r="D672" s="37">
        <f>IF($A672="","",IF(D671="","",D671*(1+B672)))</f>
        <v/>
      </c>
      <c r="E672" s="37">
        <f>IF($A672="","",MAX($D$5:D672))</f>
        <v/>
      </c>
      <c r="F672" s="25">
        <f>IF($A672="","",(E672-D672)/E672)</f>
        <v/>
      </c>
    </row>
    <row r="673">
      <c r="A673" s="23">
        <f>IF('05 Simple Returns'!A673="","",'05 Simple Returns'!A673)</f>
        <v/>
      </c>
      <c r="B673" s="25">
        <f>IF($A673="","",SUM(MMULT('05 Simple Returns'!B673:G673,'08 Optimisation'!$B$36:$B$41)))</f>
        <v/>
      </c>
      <c r="C673" s="25">
        <f>IF($A673="","",SUM(MMULT('06 Log Returns'!B673:G673,'08 Optimisation'!$B$36:$B$41)))</f>
        <v/>
      </c>
      <c r="D673" s="37">
        <f>IF($A673="","",IF(D672="","",D672*(1+B673)))</f>
        <v/>
      </c>
      <c r="E673" s="37">
        <f>IF($A673="","",MAX($D$5:D673))</f>
        <v/>
      </c>
      <c r="F673" s="25">
        <f>IF($A673="","",(E673-D673)/E673)</f>
        <v/>
      </c>
    </row>
    <row r="674">
      <c r="A674" s="23">
        <f>IF('05 Simple Returns'!A674="","",'05 Simple Returns'!A674)</f>
        <v/>
      </c>
      <c r="B674" s="25">
        <f>IF($A674="","",SUM(MMULT('05 Simple Returns'!B674:G674,'08 Optimisation'!$B$36:$B$41)))</f>
        <v/>
      </c>
      <c r="C674" s="25">
        <f>IF($A674="","",SUM(MMULT('06 Log Returns'!B674:G674,'08 Optimisation'!$B$36:$B$41)))</f>
        <v/>
      </c>
      <c r="D674" s="37">
        <f>IF($A674="","",IF(D673="","",D673*(1+B674)))</f>
        <v/>
      </c>
      <c r="E674" s="37">
        <f>IF($A674="","",MAX($D$5:D674))</f>
        <v/>
      </c>
      <c r="F674" s="25">
        <f>IF($A674="","",(E674-D674)/E674)</f>
        <v/>
      </c>
    </row>
    <row r="675">
      <c r="A675" s="23">
        <f>IF('05 Simple Returns'!A675="","",'05 Simple Returns'!A675)</f>
        <v/>
      </c>
      <c r="B675" s="25">
        <f>IF($A675="","",SUM(MMULT('05 Simple Returns'!B675:G675,'08 Optimisation'!$B$36:$B$41)))</f>
        <v/>
      </c>
      <c r="C675" s="25">
        <f>IF($A675="","",SUM(MMULT('06 Log Returns'!B675:G675,'08 Optimisation'!$B$36:$B$41)))</f>
        <v/>
      </c>
      <c r="D675" s="37">
        <f>IF($A675="","",IF(D674="","",D674*(1+B675)))</f>
        <v/>
      </c>
      <c r="E675" s="37">
        <f>IF($A675="","",MAX($D$5:D675))</f>
        <v/>
      </c>
      <c r="F675" s="25">
        <f>IF($A675="","",(E675-D675)/E675)</f>
        <v/>
      </c>
    </row>
    <row r="676">
      <c r="A676" s="23">
        <f>IF('05 Simple Returns'!A676="","",'05 Simple Returns'!A676)</f>
        <v/>
      </c>
      <c r="B676" s="25">
        <f>IF($A676="","",SUM(MMULT('05 Simple Returns'!B676:G676,'08 Optimisation'!$B$36:$B$41)))</f>
        <v/>
      </c>
      <c r="C676" s="25">
        <f>IF($A676="","",SUM(MMULT('06 Log Returns'!B676:G676,'08 Optimisation'!$B$36:$B$41)))</f>
        <v/>
      </c>
      <c r="D676" s="37">
        <f>IF($A676="","",IF(D675="","",D675*(1+B676)))</f>
        <v/>
      </c>
      <c r="E676" s="37">
        <f>IF($A676="","",MAX($D$5:D676))</f>
        <v/>
      </c>
      <c r="F676" s="25">
        <f>IF($A676="","",(E676-D676)/E676)</f>
        <v/>
      </c>
    </row>
    <row r="677">
      <c r="A677" s="23">
        <f>IF('05 Simple Returns'!A677="","",'05 Simple Returns'!A677)</f>
        <v/>
      </c>
      <c r="B677" s="25">
        <f>IF($A677="","",SUM(MMULT('05 Simple Returns'!B677:G677,'08 Optimisation'!$B$36:$B$41)))</f>
        <v/>
      </c>
      <c r="C677" s="25">
        <f>IF($A677="","",SUM(MMULT('06 Log Returns'!B677:G677,'08 Optimisation'!$B$36:$B$41)))</f>
        <v/>
      </c>
      <c r="D677" s="37">
        <f>IF($A677="","",IF(D676="","",D676*(1+B677)))</f>
        <v/>
      </c>
      <c r="E677" s="37">
        <f>IF($A677="","",MAX($D$5:D677))</f>
        <v/>
      </c>
      <c r="F677" s="25">
        <f>IF($A677="","",(E677-D677)/E677)</f>
        <v/>
      </c>
    </row>
    <row r="678">
      <c r="A678" s="23">
        <f>IF('05 Simple Returns'!A678="","",'05 Simple Returns'!A678)</f>
        <v/>
      </c>
      <c r="B678" s="25">
        <f>IF($A678="","",SUM(MMULT('05 Simple Returns'!B678:G678,'08 Optimisation'!$B$36:$B$41)))</f>
        <v/>
      </c>
      <c r="C678" s="25">
        <f>IF($A678="","",SUM(MMULT('06 Log Returns'!B678:G678,'08 Optimisation'!$B$36:$B$41)))</f>
        <v/>
      </c>
      <c r="D678" s="37">
        <f>IF($A678="","",IF(D677="","",D677*(1+B678)))</f>
        <v/>
      </c>
      <c r="E678" s="37">
        <f>IF($A678="","",MAX($D$5:D678))</f>
        <v/>
      </c>
      <c r="F678" s="25">
        <f>IF($A678="","",(E678-D678)/E678)</f>
        <v/>
      </c>
    </row>
    <row r="679">
      <c r="A679" s="23">
        <f>IF('05 Simple Returns'!A679="","",'05 Simple Returns'!A679)</f>
        <v/>
      </c>
      <c r="B679" s="25">
        <f>IF($A679="","",SUM(MMULT('05 Simple Returns'!B679:G679,'08 Optimisation'!$B$36:$B$41)))</f>
        <v/>
      </c>
      <c r="C679" s="25">
        <f>IF($A679="","",SUM(MMULT('06 Log Returns'!B679:G679,'08 Optimisation'!$B$36:$B$41)))</f>
        <v/>
      </c>
      <c r="D679" s="37">
        <f>IF($A679="","",IF(D678="","",D678*(1+B679)))</f>
        <v/>
      </c>
      <c r="E679" s="37">
        <f>IF($A679="","",MAX($D$5:D679))</f>
        <v/>
      </c>
      <c r="F679" s="25">
        <f>IF($A679="","",(E679-D679)/E679)</f>
        <v/>
      </c>
    </row>
    <row r="680">
      <c r="A680" s="23">
        <f>IF('05 Simple Returns'!A680="","",'05 Simple Returns'!A680)</f>
        <v/>
      </c>
      <c r="B680" s="25">
        <f>IF($A680="","",SUM(MMULT('05 Simple Returns'!B680:G680,'08 Optimisation'!$B$36:$B$41)))</f>
        <v/>
      </c>
      <c r="C680" s="25">
        <f>IF($A680="","",SUM(MMULT('06 Log Returns'!B680:G680,'08 Optimisation'!$B$36:$B$41)))</f>
        <v/>
      </c>
      <c r="D680" s="37">
        <f>IF($A680="","",IF(D679="","",D679*(1+B680)))</f>
        <v/>
      </c>
      <c r="E680" s="37">
        <f>IF($A680="","",MAX($D$5:D680))</f>
        <v/>
      </c>
      <c r="F680" s="25">
        <f>IF($A680="","",(E680-D680)/E680)</f>
        <v/>
      </c>
    </row>
    <row r="681">
      <c r="A681" s="23">
        <f>IF('05 Simple Returns'!A681="","",'05 Simple Returns'!A681)</f>
        <v/>
      </c>
      <c r="B681" s="25">
        <f>IF($A681="","",SUM(MMULT('05 Simple Returns'!B681:G681,'08 Optimisation'!$B$36:$B$41)))</f>
        <v/>
      </c>
      <c r="C681" s="25">
        <f>IF($A681="","",SUM(MMULT('06 Log Returns'!B681:G681,'08 Optimisation'!$B$36:$B$41)))</f>
        <v/>
      </c>
      <c r="D681" s="37">
        <f>IF($A681="","",IF(D680="","",D680*(1+B681)))</f>
        <v/>
      </c>
      <c r="E681" s="37">
        <f>IF($A681="","",MAX($D$5:D681))</f>
        <v/>
      </c>
      <c r="F681" s="25">
        <f>IF($A681="","",(E681-D681)/E681)</f>
        <v/>
      </c>
    </row>
    <row r="682">
      <c r="A682" s="23">
        <f>IF('05 Simple Returns'!A682="","",'05 Simple Returns'!A682)</f>
        <v/>
      </c>
      <c r="B682" s="25">
        <f>IF($A682="","",SUM(MMULT('05 Simple Returns'!B682:G682,'08 Optimisation'!$B$36:$B$41)))</f>
        <v/>
      </c>
      <c r="C682" s="25">
        <f>IF($A682="","",SUM(MMULT('06 Log Returns'!B682:G682,'08 Optimisation'!$B$36:$B$41)))</f>
        <v/>
      </c>
      <c r="D682" s="37">
        <f>IF($A682="","",IF(D681="","",D681*(1+B682)))</f>
        <v/>
      </c>
      <c r="E682" s="37">
        <f>IF($A682="","",MAX($D$5:D682))</f>
        <v/>
      </c>
      <c r="F682" s="25">
        <f>IF($A682="","",(E682-D682)/E682)</f>
        <v/>
      </c>
    </row>
    <row r="683">
      <c r="A683" s="23">
        <f>IF('05 Simple Returns'!A683="","",'05 Simple Returns'!A683)</f>
        <v/>
      </c>
      <c r="B683" s="25">
        <f>IF($A683="","",SUM(MMULT('05 Simple Returns'!B683:G683,'08 Optimisation'!$B$36:$B$41)))</f>
        <v/>
      </c>
      <c r="C683" s="25">
        <f>IF($A683="","",SUM(MMULT('06 Log Returns'!B683:G683,'08 Optimisation'!$B$36:$B$41)))</f>
        <v/>
      </c>
      <c r="D683" s="37">
        <f>IF($A683="","",IF(D682="","",D682*(1+B683)))</f>
        <v/>
      </c>
      <c r="E683" s="37">
        <f>IF($A683="","",MAX($D$5:D683))</f>
        <v/>
      </c>
      <c r="F683" s="25">
        <f>IF($A683="","",(E683-D683)/E683)</f>
        <v/>
      </c>
    </row>
    <row r="684">
      <c r="A684" s="23">
        <f>IF('05 Simple Returns'!A684="","",'05 Simple Returns'!A684)</f>
        <v/>
      </c>
      <c r="B684" s="25">
        <f>IF($A684="","",SUM(MMULT('05 Simple Returns'!B684:G684,'08 Optimisation'!$B$36:$B$41)))</f>
        <v/>
      </c>
      <c r="C684" s="25">
        <f>IF($A684="","",SUM(MMULT('06 Log Returns'!B684:G684,'08 Optimisation'!$B$36:$B$41)))</f>
        <v/>
      </c>
      <c r="D684" s="37">
        <f>IF($A684="","",IF(D683="","",D683*(1+B684)))</f>
        <v/>
      </c>
      <c r="E684" s="37">
        <f>IF($A684="","",MAX($D$5:D684))</f>
        <v/>
      </c>
      <c r="F684" s="25">
        <f>IF($A684="","",(E684-D684)/E684)</f>
        <v/>
      </c>
    </row>
    <row r="685">
      <c r="A685" s="23">
        <f>IF('05 Simple Returns'!A685="","",'05 Simple Returns'!A685)</f>
        <v/>
      </c>
      <c r="B685" s="25">
        <f>IF($A685="","",SUM(MMULT('05 Simple Returns'!B685:G685,'08 Optimisation'!$B$36:$B$41)))</f>
        <v/>
      </c>
      <c r="C685" s="25">
        <f>IF($A685="","",SUM(MMULT('06 Log Returns'!B685:G685,'08 Optimisation'!$B$36:$B$41)))</f>
        <v/>
      </c>
      <c r="D685" s="37">
        <f>IF($A685="","",IF(D684="","",D684*(1+B685)))</f>
        <v/>
      </c>
      <c r="E685" s="37">
        <f>IF($A685="","",MAX($D$5:D685))</f>
        <v/>
      </c>
      <c r="F685" s="25">
        <f>IF($A685="","",(E685-D685)/E685)</f>
        <v/>
      </c>
    </row>
    <row r="686">
      <c r="A686" s="23">
        <f>IF('05 Simple Returns'!A686="","",'05 Simple Returns'!A686)</f>
        <v/>
      </c>
      <c r="B686" s="25">
        <f>IF($A686="","",SUM(MMULT('05 Simple Returns'!B686:G686,'08 Optimisation'!$B$36:$B$41)))</f>
        <v/>
      </c>
      <c r="C686" s="25">
        <f>IF($A686="","",SUM(MMULT('06 Log Returns'!B686:G686,'08 Optimisation'!$B$36:$B$41)))</f>
        <v/>
      </c>
      <c r="D686" s="37">
        <f>IF($A686="","",IF(D685="","",D685*(1+B686)))</f>
        <v/>
      </c>
      <c r="E686" s="37">
        <f>IF($A686="","",MAX($D$5:D686))</f>
        <v/>
      </c>
      <c r="F686" s="25">
        <f>IF($A686="","",(E686-D686)/E686)</f>
        <v/>
      </c>
    </row>
    <row r="687">
      <c r="A687" s="23">
        <f>IF('05 Simple Returns'!A687="","",'05 Simple Returns'!A687)</f>
        <v/>
      </c>
      <c r="B687" s="25">
        <f>IF($A687="","",SUM(MMULT('05 Simple Returns'!B687:G687,'08 Optimisation'!$B$36:$B$41)))</f>
        <v/>
      </c>
      <c r="C687" s="25">
        <f>IF($A687="","",SUM(MMULT('06 Log Returns'!B687:G687,'08 Optimisation'!$B$36:$B$41)))</f>
        <v/>
      </c>
      <c r="D687" s="37">
        <f>IF($A687="","",IF(D686="","",D686*(1+B687)))</f>
        <v/>
      </c>
      <c r="E687" s="37">
        <f>IF($A687="","",MAX($D$5:D687))</f>
        <v/>
      </c>
      <c r="F687" s="25">
        <f>IF($A687="","",(E687-D687)/E687)</f>
        <v/>
      </c>
    </row>
    <row r="688">
      <c r="A688" s="23">
        <f>IF('05 Simple Returns'!A688="","",'05 Simple Returns'!A688)</f>
        <v/>
      </c>
      <c r="B688" s="25">
        <f>IF($A688="","",SUM(MMULT('05 Simple Returns'!B688:G688,'08 Optimisation'!$B$36:$B$41)))</f>
        <v/>
      </c>
      <c r="C688" s="25">
        <f>IF($A688="","",SUM(MMULT('06 Log Returns'!B688:G688,'08 Optimisation'!$B$36:$B$41)))</f>
        <v/>
      </c>
      <c r="D688" s="37">
        <f>IF($A688="","",IF(D687="","",D687*(1+B688)))</f>
        <v/>
      </c>
      <c r="E688" s="37">
        <f>IF($A688="","",MAX($D$5:D688))</f>
        <v/>
      </c>
      <c r="F688" s="25">
        <f>IF($A688="","",(E688-D688)/E688)</f>
        <v/>
      </c>
    </row>
    <row r="689">
      <c r="A689" s="23">
        <f>IF('05 Simple Returns'!A689="","",'05 Simple Returns'!A689)</f>
        <v/>
      </c>
      <c r="B689" s="25">
        <f>IF($A689="","",SUM(MMULT('05 Simple Returns'!B689:G689,'08 Optimisation'!$B$36:$B$41)))</f>
        <v/>
      </c>
      <c r="C689" s="25">
        <f>IF($A689="","",SUM(MMULT('06 Log Returns'!B689:G689,'08 Optimisation'!$B$36:$B$41)))</f>
        <v/>
      </c>
      <c r="D689" s="37">
        <f>IF($A689="","",IF(D688="","",D688*(1+B689)))</f>
        <v/>
      </c>
      <c r="E689" s="37">
        <f>IF($A689="","",MAX($D$5:D689))</f>
        <v/>
      </c>
      <c r="F689" s="25">
        <f>IF($A689="","",(E689-D689)/E689)</f>
        <v/>
      </c>
    </row>
    <row r="690">
      <c r="A690" s="23">
        <f>IF('05 Simple Returns'!A690="","",'05 Simple Returns'!A690)</f>
        <v/>
      </c>
      <c r="B690" s="25">
        <f>IF($A690="","",SUM(MMULT('05 Simple Returns'!B690:G690,'08 Optimisation'!$B$36:$B$41)))</f>
        <v/>
      </c>
      <c r="C690" s="25">
        <f>IF($A690="","",SUM(MMULT('06 Log Returns'!B690:G690,'08 Optimisation'!$B$36:$B$41)))</f>
        <v/>
      </c>
      <c r="D690" s="37">
        <f>IF($A690="","",IF(D689="","",D689*(1+B690)))</f>
        <v/>
      </c>
      <c r="E690" s="37">
        <f>IF($A690="","",MAX($D$5:D690))</f>
        <v/>
      </c>
      <c r="F690" s="25">
        <f>IF($A690="","",(E690-D690)/E690)</f>
        <v/>
      </c>
    </row>
    <row r="691">
      <c r="A691" s="23">
        <f>IF('05 Simple Returns'!A691="","",'05 Simple Returns'!A691)</f>
        <v/>
      </c>
      <c r="B691" s="25">
        <f>IF($A691="","",SUM(MMULT('05 Simple Returns'!B691:G691,'08 Optimisation'!$B$36:$B$41)))</f>
        <v/>
      </c>
      <c r="C691" s="25">
        <f>IF($A691="","",SUM(MMULT('06 Log Returns'!B691:G691,'08 Optimisation'!$B$36:$B$41)))</f>
        <v/>
      </c>
      <c r="D691" s="37">
        <f>IF($A691="","",IF(D690="","",D690*(1+B691)))</f>
        <v/>
      </c>
      <c r="E691" s="37">
        <f>IF($A691="","",MAX($D$5:D691))</f>
        <v/>
      </c>
      <c r="F691" s="25">
        <f>IF($A691="","",(E691-D691)/E691)</f>
        <v/>
      </c>
    </row>
    <row r="692">
      <c r="A692" s="23">
        <f>IF('05 Simple Returns'!A692="","",'05 Simple Returns'!A692)</f>
        <v/>
      </c>
      <c r="B692" s="25">
        <f>IF($A692="","",SUM(MMULT('05 Simple Returns'!B692:G692,'08 Optimisation'!$B$36:$B$41)))</f>
        <v/>
      </c>
      <c r="C692" s="25">
        <f>IF($A692="","",SUM(MMULT('06 Log Returns'!B692:G692,'08 Optimisation'!$B$36:$B$41)))</f>
        <v/>
      </c>
      <c r="D692" s="37">
        <f>IF($A692="","",IF(D691="","",D691*(1+B692)))</f>
        <v/>
      </c>
      <c r="E692" s="37">
        <f>IF($A692="","",MAX($D$5:D692))</f>
        <v/>
      </c>
      <c r="F692" s="25">
        <f>IF($A692="","",(E692-D692)/E692)</f>
        <v/>
      </c>
    </row>
    <row r="693">
      <c r="A693" s="23">
        <f>IF('05 Simple Returns'!A693="","",'05 Simple Returns'!A693)</f>
        <v/>
      </c>
      <c r="B693" s="25">
        <f>IF($A693="","",SUM(MMULT('05 Simple Returns'!B693:G693,'08 Optimisation'!$B$36:$B$41)))</f>
        <v/>
      </c>
      <c r="C693" s="25">
        <f>IF($A693="","",SUM(MMULT('06 Log Returns'!B693:G693,'08 Optimisation'!$B$36:$B$41)))</f>
        <v/>
      </c>
      <c r="D693" s="37">
        <f>IF($A693="","",IF(D692="","",D692*(1+B693)))</f>
        <v/>
      </c>
      <c r="E693" s="37">
        <f>IF($A693="","",MAX($D$5:D693))</f>
        <v/>
      </c>
      <c r="F693" s="25">
        <f>IF($A693="","",(E693-D693)/E693)</f>
        <v/>
      </c>
    </row>
    <row r="694">
      <c r="A694" s="23">
        <f>IF('05 Simple Returns'!A694="","",'05 Simple Returns'!A694)</f>
        <v/>
      </c>
      <c r="B694" s="25">
        <f>IF($A694="","",SUM(MMULT('05 Simple Returns'!B694:G694,'08 Optimisation'!$B$36:$B$41)))</f>
        <v/>
      </c>
      <c r="C694" s="25">
        <f>IF($A694="","",SUM(MMULT('06 Log Returns'!B694:G694,'08 Optimisation'!$B$36:$B$41)))</f>
        <v/>
      </c>
      <c r="D694" s="37">
        <f>IF($A694="","",IF(D693="","",D693*(1+B694)))</f>
        <v/>
      </c>
      <c r="E694" s="37">
        <f>IF($A694="","",MAX($D$5:D694))</f>
        <v/>
      </c>
      <c r="F694" s="25">
        <f>IF($A694="","",(E694-D694)/E694)</f>
        <v/>
      </c>
    </row>
    <row r="695">
      <c r="A695" s="23">
        <f>IF('05 Simple Returns'!A695="","",'05 Simple Returns'!A695)</f>
        <v/>
      </c>
      <c r="B695" s="25">
        <f>IF($A695="","",SUM(MMULT('05 Simple Returns'!B695:G695,'08 Optimisation'!$B$36:$B$41)))</f>
        <v/>
      </c>
      <c r="C695" s="25">
        <f>IF($A695="","",SUM(MMULT('06 Log Returns'!B695:G695,'08 Optimisation'!$B$36:$B$41)))</f>
        <v/>
      </c>
      <c r="D695" s="37">
        <f>IF($A695="","",IF(D694="","",D694*(1+B695)))</f>
        <v/>
      </c>
      <c r="E695" s="37">
        <f>IF($A695="","",MAX($D$5:D695))</f>
        <v/>
      </c>
      <c r="F695" s="25">
        <f>IF($A695="","",(E695-D695)/E695)</f>
        <v/>
      </c>
    </row>
    <row r="696">
      <c r="A696" s="23">
        <f>IF('05 Simple Returns'!A696="","",'05 Simple Returns'!A696)</f>
        <v/>
      </c>
      <c r="B696" s="25">
        <f>IF($A696="","",SUM(MMULT('05 Simple Returns'!B696:G696,'08 Optimisation'!$B$36:$B$41)))</f>
        <v/>
      </c>
      <c r="C696" s="25">
        <f>IF($A696="","",SUM(MMULT('06 Log Returns'!B696:G696,'08 Optimisation'!$B$36:$B$41)))</f>
        <v/>
      </c>
      <c r="D696" s="37">
        <f>IF($A696="","",IF(D695="","",D695*(1+B696)))</f>
        <v/>
      </c>
      <c r="E696" s="37">
        <f>IF($A696="","",MAX($D$5:D696))</f>
        <v/>
      </c>
      <c r="F696" s="25">
        <f>IF($A696="","",(E696-D696)/E696)</f>
        <v/>
      </c>
    </row>
    <row r="697">
      <c r="A697" s="23">
        <f>IF('05 Simple Returns'!A697="","",'05 Simple Returns'!A697)</f>
        <v/>
      </c>
      <c r="B697" s="25">
        <f>IF($A697="","",SUM(MMULT('05 Simple Returns'!B697:G697,'08 Optimisation'!$B$36:$B$41)))</f>
        <v/>
      </c>
      <c r="C697" s="25">
        <f>IF($A697="","",SUM(MMULT('06 Log Returns'!B697:G697,'08 Optimisation'!$B$36:$B$41)))</f>
        <v/>
      </c>
      <c r="D697" s="37">
        <f>IF($A697="","",IF(D696="","",D696*(1+B697)))</f>
        <v/>
      </c>
      <c r="E697" s="37">
        <f>IF($A697="","",MAX($D$5:D697))</f>
        <v/>
      </c>
      <c r="F697" s="25">
        <f>IF($A697="","",(E697-D697)/E697)</f>
        <v/>
      </c>
    </row>
    <row r="698">
      <c r="A698" s="23">
        <f>IF('05 Simple Returns'!A698="","",'05 Simple Returns'!A698)</f>
        <v/>
      </c>
      <c r="B698" s="25">
        <f>IF($A698="","",SUM(MMULT('05 Simple Returns'!B698:G698,'08 Optimisation'!$B$36:$B$41)))</f>
        <v/>
      </c>
      <c r="C698" s="25">
        <f>IF($A698="","",SUM(MMULT('06 Log Returns'!B698:G698,'08 Optimisation'!$B$36:$B$41)))</f>
        <v/>
      </c>
      <c r="D698" s="37">
        <f>IF($A698="","",IF(D697="","",D697*(1+B698)))</f>
        <v/>
      </c>
      <c r="E698" s="37">
        <f>IF($A698="","",MAX($D$5:D698))</f>
        <v/>
      </c>
      <c r="F698" s="25">
        <f>IF($A698="","",(E698-D698)/E698)</f>
        <v/>
      </c>
    </row>
    <row r="699">
      <c r="A699" s="23">
        <f>IF('05 Simple Returns'!A699="","",'05 Simple Returns'!A699)</f>
        <v/>
      </c>
      <c r="B699" s="25">
        <f>IF($A699="","",SUM(MMULT('05 Simple Returns'!B699:G699,'08 Optimisation'!$B$36:$B$41)))</f>
        <v/>
      </c>
      <c r="C699" s="25">
        <f>IF($A699="","",SUM(MMULT('06 Log Returns'!B699:G699,'08 Optimisation'!$B$36:$B$41)))</f>
        <v/>
      </c>
      <c r="D699" s="37">
        <f>IF($A699="","",IF(D698="","",D698*(1+B699)))</f>
        <v/>
      </c>
      <c r="E699" s="37">
        <f>IF($A699="","",MAX($D$5:D699))</f>
        <v/>
      </c>
      <c r="F699" s="25">
        <f>IF($A699="","",(E699-D699)/E699)</f>
        <v/>
      </c>
    </row>
    <row r="700">
      <c r="A700" s="23">
        <f>IF('05 Simple Returns'!A700="","",'05 Simple Returns'!A700)</f>
        <v/>
      </c>
      <c r="B700" s="25">
        <f>IF($A700="","",SUM(MMULT('05 Simple Returns'!B700:G700,'08 Optimisation'!$B$36:$B$41)))</f>
        <v/>
      </c>
      <c r="C700" s="25">
        <f>IF($A700="","",SUM(MMULT('06 Log Returns'!B700:G700,'08 Optimisation'!$B$36:$B$41)))</f>
        <v/>
      </c>
      <c r="D700" s="37">
        <f>IF($A700="","",IF(D699="","",D699*(1+B700)))</f>
        <v/>
      </c>
      <c r="E700" s="37">
        <f>IF($A700="","",MAX($D$5:D700))</f>
        <v/>
      </c>
      <c r="F700" s="25">
        <f>IF($A700="","",(E700-D700)/E700)</f>
        <v/>
      </c>
    </row>
    <row r="701">
      <c r="A701" s="23">
        <f>IF('05 Simple Returns'!A701="","",'05 Simple Returns'!A701)</f>
        <v/>
      </c>
      <c r="B701" s="25">
        <f>IF($A701="","",SUM(MMULT('05 Simple Returns'!B701:G701,'08 Optimisation'!$B$36:$B$41)))</f>
        <v/>
      </c>
      <c r="C701" s="25">
        <f>IF($A701="","",SUM(MMULT('06 Log Returns'!B701:G701,'08 Optimisation'!$B$36:$B$41)))</f>
        <v/>
      </c>
      <c r="D701" s="37">
        <f>IF($A701="","",IF(D700="","",D700*(1+B701)))</f>
        <v/>
      </c>
      <c r="E701" s="37">
        <f>IF($A701="","",MAX($D$5:D701))</f>
        <v/>
      </c>
      <c r="F701" s="25">
        <f>IF($A701="","",(E701-D701)/E701)</f>
        <v/>
      </c>
    </row>
    <row r="702">
      <c r="A702" s="23">
        <f>IF('05 Simple Returns'!A702="","",'05 Simple Returns'!A702)</f>
        <v/>
      </c>
      <c r="B702" s="25">
        <f>IF($A702="","",SUM(MMULT('05 Simple Returns'!B702:G702,'08 Optimisation'!$B$36:$B$41)))</f>
        <v/>
      </c>
      <c r="C702" s="25">
        <f>IF($A702="","",SUM(MMULT('06 Log Returns'!B702:G702,'08 Optimisation'!$B$36:$B$41)))</f>
        <v/>
      </c>
      <c r="D702" s="37">
        <f>IF($A702="","",IF(D701="","",D701*(1+B702)))</f>
        <v/>
      </c>
      <c r="E702" s="37">
        <f>IF($A702="","",MAX($D$5:D702))</f>
        <v/>
      </c>
      <c r="F702" s="25">
        <f>IF($A702="","",(E702-D702)/E702)</f>
        <v/>
      </c>
    </row>
    <row r="703">
      <c r="A703" s="23">
        <f>IF('05 Simple Returns'!A703="","",'05 Simple Returns'!A703)</f>
        <v/>
      </c>
      <c r="B703" s="25">
        <f>IF($A703="","",SUM(MMULT('05 Simple Returns'!B703:G703,'08 Optimisation'!$B$36:$B$41)))</f>
        <v/>
      </c>
      <c r="C703" s="25">
        <f>IF($A703="","",SUM(MMULT('06 Log Returns'!B703:G703,'08 Optimisation'!$B$36:$B$41)))</f>
        <v/>
      </c>
      <c r="D703" s="37">
        <f>IF($A703="","",IF(D702="","",D702*(1+B703)))</f>
        <v/>
      </c>
      <c r="E703" s="37">
        <f>IF($A703="","",MAX($D$5:D703))</f>
        <v/>
      </c>
      <c r="F703" s="25">
        <f>IF($A703="","",(E703-D703)/E703)</f>
        <v/>
      </c>
    </row>
    <row r="704">
      <c r="A704" s="23">
        <f>IF('05 Simple Returns'!A704="","",'05 Simple Returns'!A704)</f>
        <v/>
      </c>
      <c r="B704" s="25">
        <f>IF($A704="","",SUM(MMULT('05 Simple Returns'!B704:G704,'08 Optimisation'!$B$36:$B$41)))</f>
        <v/>
      </c>
      <c r="C704" s="25">
        <f>IF($A704="","",SUM(MMULT('06 Log Returns'!B704:G704,'08 Optimisation'!$B$36:$B$41)))</f>
        <v/>
      </c>
      <c r="D704" s="37">
        <f>IF($A704="","",IF(D703="","",D703*(1+B704)))</f>
        <v/>
      </c>
      <c r="E704" s="37">
        <f>IF($A704="","",MAX($D$5:D704))</f>
        <v/>
      </c>
      <c r="F704" s="25">
        <f>IF($A704="","",(E704-D704)/E704)</f>
        <v/>
      </c>
    </row>
    <row r="705">
      <c r="A705" s="23">
        <f>IF('05 Simple Returns'!A705="","",'05 Simple Returns'!A705)</f>
        <v/>
      </c>
      <c r="B705" s="25">
        <f>IF($A705="","",SUM(MMULT('05 Simple Returns'!B705:G705,'08 Optimisation'!$B$36:$B$41)))</f>
        <v/>
      </c>
      <c r="C705" s="25">
        <f>IF($A705="","",SUM(MMULT('06 Log Returns'!B705:G705,'08 Optimisation'!$B$36:$B$41)))</f>
        <v/>
      </c>
      <c r="D705" s="37">
        <f>IF($A705="","",IF(D704="","",D704*(1+B705)))</f>
        <v/>
      </c>
      <c r="E705" s="37">
        <f>IF($A705="","",MAX($D$5:D705))</f>
        <v/>
      </c>
      <c r="F705" s="25">
        <f>IF($A705="","",(E705-D705)/E705)</f>
        <v/>
      </c>
    </row>
    <row r="706">
      <c r="A706" s="23">
        <f>IF('05 Simple Returns'!A706="","",'05 Simple Returns'!A706)</f>
        <v/>
      </c>
      <c r="B706" s="25">
        <f>IF($A706="","",SUM(MMULT('05 Simple Returns'!B706:G706,'08 Optimisation'!$B$36:$B$41)))</f>
        <v/>
      </c>
      <c r="C706" s="25">
        <f>IF($A706="","",SUM(MMULT('06 Log Returns'!B706:G706,'08 Optimisation'!$B$36:$B$41)))</f>
        <v/>
      </c>
      <c r="D706" s="37">
        <f>IF($A706="","",IF(D705="","",D705*(1+B706)))</f>
        <v/>
      </c>
      <c r="E706" s="37">
        <f>IF($A706="","",MAX($D$5:D706))</f>
        <v/>
      </c>
      <c r="F706" s="25">
        <f>IF($A706="","",(E706-D706)/E706)</f>
        <v/>
      </c>
    </row>
    <row r="707">
      <c r="A707" s="23">
        <f>IF('05 Simple Returns'!A707="","",'05 Simple Returns'!A707)</f>
        <v/>
      </c>
      <c r="B707" s="25">
        <f>IF($A707="","",SUM(MMULT('05 Simple Returns'!B707:G707,'08 Optimisation'!$B$36:$B$41)))</f>
        <v/>
      </c>
      <c r="C707" s="25">
        <f>IF($A707="","",SUM(MMULT('06 Log Returns'!B707:G707,'08 Optimisation'!$B$36:$B$41)))</f>
        <v/>
      </c>
      <c r="D707" s="37">
        <f>IF($A707="","",IF(D706="","",D706*(1+B707)))</f>
        <v/>
      </c>
      <c r="E707" s="37">
        <f>IF($A707="","",MAX($D$5:D707))</f>
        <v/>
      </c>
      <c r="F707" s="25">
        <f>IF($A707="","",(E707-D707)/E707)</f>
        <v/>
      </c>
    </row>
    <row r="708">
      <c r="A708" s="23">
        <f>IF('05 Simple Returns'!A708="","",'05 Simple Returns'!A708)</f>
        <v/>
      </c>
      <c r="B708" s="25">
        <f>IF($A708="","",SUM(MMULT('05 Simple Returns'!B708:G708,'08 Optimisation'!$B$36:$B$41)))</f>
        <v/>
      </c>
      <c r="C708" s="25">
        <f>IF($A708="","",SUM(MMULT('06 Log Returns'!B708:G708,'08 Optimisation'!$B$36:$B$41)))</f>
        <v/>
      </c>
      <c r="D708" s="37">
        <f>IF($A708="","",IF(D707="","",D707*(1+B708)))</f>
        <v/>
      </c>
      <c r="E708" s="37">
        <f>IF($A708="","",MAX($D$5:D708))</f>
        <v/>
      </c>
      <c r="F708" s="25">
        <f>IF($A708="","",(E708-D708)/E708)</f>
        <v/>
      </c>
    </row>
    <row r="709">
      <c r="A709" s="23">
        <f>IF('05 Simple Returns'!A709="","",'05 Simple Returns'!A709)</f>
        <v/>
      </c>
      <c r="B709" s="25">
        <f>IF($A709="","",SUM(MMULT('05 Simple Returns'!B709:G709,'08 Optimisation'!$B$36:$B$41)))</f>
        <v/>
      </c>
      <c r="C709" s="25">
        <f>IF($A709="","",SUM(MMULT('06 Log Returns'!B709:G709,'08 Optimisation'!$B$36:$B$41)))</f>
        <v/>
      </c>
      <c r="D709" s="37">
        <f>IF($A709="","",IF(D708="","",D708*(1+B709)))</f>
        <v/>
      </c>
      <c r="E709" s="37">
        <f>IF($A709="","",MAX($D$5:D709))</f>
        <v/>
      </c>
      <c r="F709" s="25">
        <f>IF($A709="","",(E709-D709)/E709)</f>
        <v/>
      </c>
    </row>
    <row r="710">
      <c r="A710" s="23">
        <f>IF('05 Simple Returns'!A710="","",'05 Simple Returns'!A710)</f>
        <v/>
      </c>
      <c r="B710" s="25">
        <f>IF($A710="","",SUM(MMULT('05 Simple Returns'!B710:G710,'08 Optimisation'!$B$36:$B$41)))</f>
        <v/>
      </c>
      <c r="C710" s="25">
        <f>IF($A710="","",SUM(MMULT('06 Log Returns'!B710:G710,'08 Optimisation'!$B$36:$B$41)))</f>
        <v/>
      </c>
      <c r="D710" s="37">
        <f>IF($A710="","",IF(D709="","",D709*(1+B710)))</f>
        <v/>
      </c>
      <c r="E710" s="37">
        <f>IF($A710="","",MAX($D$5:D710))</f>
        <v/>
      </c>
      <c r="F710" s="25">
        <f>IF($A710="","",(E710-D710)/E710)</f>
        <v/>
      </c>
    </row>
    <row r="711">
      <c r="A711" s="23">
        <f>IF('05 Simple Returns'!A711="","",'05 Simple Returns'!A711)</f>
        <v/>
      </c>
      <c r="B711" s="25">
        <f>IF($A711="","",SUM(MMULT('05 Simple Returns'!B711:G711,'08 Optimisation'!$B$36:$B$41)))</f>
        <v/>
      </c>
      <c r="C711" s="25">
        <f>IF($A711="","",SUM(MMULT('06 Log Returns'!B711:G711,'08 Optimisation'!$B$36:$B$41)))</f>
        <v/>
      </c>
      <c r="D711" s="37">
        <f>IF($A711="","",IF(D710="","",D710*(1+B711)))</f>
        <v/>
      </c>
      <c r="E711" s="37">
        <f>IF($A711="","",MAX($D$5:D711))</f>
        <v/>
      </c>
      <c r="F711" s="25">
        <f>IF($A711="","",(E711-D711)/E711)</f>
        <v/>
      </c>
    </row>
    <row r="712">
      <c r="A712" s="23">
        <f>IF('05 Simple Returns'!A712="","",'05 Simple Returns'!A712)</f>
        <v/>
      </c>
      <c r="B712" s="25">
        <f>IF($A712="","",SUM(MMULT('05 Simple Returns'!B712:G712,'08 Optimisation'!$B$36:$B$41)))</f>
        <v/>
      </c>
      <c r="C712" s="25">
        <f>IF($A712="","",SUM(MMULT('06 Log Returns'!B712:G712,'08 Optimisation'!$B$36:$B$41)))</f>
        <v/>
      </c>
      <c r="D712" s="37">
        <f>IF($A712="","",IF(D711="","",D711*(1+B712)))</f>
        <v/>
      </c>
      <c r="E712" s="37">
        <f>IF($A712="","",MAX($D$5:D712))</f>
        <v/>
      </c>
      <c r="F712" s="25">
        <f>IF($A712="","",(E712-D712)/E712)</f>
        <v/>
      </c>
    </row>
    <row r="713">
      <c r="A713" s="23">
        <f>IF('05 Simple Returns'!A713="","",'05 Simple Returns'!A713)</f>
        <v/>
      </c>
      <c r="B713" s="25">
        <f>IF($A713="","",SUM(MMULT('05 Simple Returns'!B713:G713,'08 Optimisation'!$B$36:$B$41)))</f>
        <v/>
      </c>
      <c r="C713" s="25">
        <f>IF($A713="","",SUM(MMULT('06 Log Returns'!B713:G713,'08 Optimisation'!$B$36:$B$41)))</f>
        <v/>
      </c>
      <c r="D713" s="37">
        <f>IF($A713="","",IF(D712="","",D712*(1+B713)))</f>
        <v/>
      </c>
      <c r="E713" s="37">
        <f>IF($A713="","",MAX($D$5:D713))</f>
        <v/>
      </c>
      <c r="F713" s="25">
        <f>IF($A713="","",(E713-D713)/E713)</f>
        <v/>
      </c>
    </row>
    <row r="714">
      <c r="A714" s="23">
        <f>IF('05 Simple Returns'!A714="","",'05 Simple Returns'!A714)</f>
        <v/>
      </c>
      <c r="B714" s="25">
        <f>IF($A714="","",SUM(MMULT('05 Simple Returns'!B714:G714,'08 Optimisation'!$B$36:$B$41)))</f>
        <v/>
      </c>
      <c r="C714" s="25">
        <f>IF($A714="","",SUM(MMULT('06 Log Returns'!B714:G714,'08 Optimisation'!$B$36:$B$41)))</f>
        <v/>
      </c>
      <c r="D714" s="37">
        <f>IF($A714="","",IF(D713="","",D713*(1+B714)))</f>
        <v/>
      </c>
      <c r="E714" s="37">
        <f>IF($A714="","",MAX($D$5:D714))</f>
        <v/>
      </c>
      <c r="F714" s="25">
        <f>IF($A714="","",(E714-D714)/E714)</f>
        <v/>
      </c>
    </row>
    <row r="715">
      <c r="A715" s="23">
        <f>IF('05 Simple Returns'!A715="","",'05 Simple Returns'!A715)</f>
        <v/>
      </c>
      <c r="B715" s="25">
        <f>IF($A715="","",SUM(MMULT('05 Simple Returns'!B715:G715,'08 Optimisation'!$B$36:$B$41)))</f>
        <v/>
      </c>
      <c r="C715" s="25">
        <f>IF($A715="","",SUM(MMULT('06 Log Returns'!B715:G715,'08 Optimisation'!$B$36:$B$41)))</f>
        <v/>
      </c>
      <c r="D715" s="37">
        <f>IF($A715="","",IF(D714="","",D714*(1+B715)))</f>
        <v/>
      </c>
      <c r="E715" s="37">
        <f>IF($A715="","",MAX($D$5:D715))</f>
        <v/>
      </c>
      <c r="F715" s="25">
        <f>IF($A715="","",(E715-D715)/E715)</f>
        <v/>
      </c>
    </row>
    <row r="716">
      <c r="A716" s="23">
        <f>IF('05 Simple Returns'!A716="","",'05 Simple Returns'!A716)</f>
        <v/>
      </c>
      <c r="B716" s="25">
        <f>IF($A716="","",SUM(MMULT('05 Simple Returns'!B716:G716,'08 Optimisation'!$B$36:$B$41)))</f>
        <v/>
      </c>
      <c r="C716" s="25">
        <f>IF($A716="","",SUM(MMULT('06 Log Returns'!B716:G716,'08 Optimisation'!$B$36:$B$41)))</f>
        <v/>
      </c>
      <c r="D716" s="37">
        <f>IF($A716="","",IF(D715="","",D715*(1+B716)))</f>
        <v/>
      </c>
      <c r="E716" s="37">
        <f>IF($A716="","",MAX($D$5:D716))</f>
        <v/>
      </c>
      <c r="F716" s="25">
        <f>IF($A716="","",(E716-D716)/E716)</f>
        <v/>
      </c>
    </row>
    <row r="717">
      <c r="A717" s="23">
        <f>IF('05 Simple Returns'!A717="","",'05 Simple Returns'!A717)</f>
        <v/>
      </c>
      <c r="B717" s="25">
        <f>IF($A717="","",SUM(MMULT('05 Simple Returns'!B717:G717,'08 Optimisation'!$B$36:$B$41)))</f>
        <v/>
      </c>
      <c r="C717" s="25">
        <f>IF($A717="","",SUM(MMULT('06 Log Returns'!B717:G717,'08 Optimisation'!$B$36:$B$41)))</f>
        <v/>
      </c>
      <c r="D717" s="37">
        <f>IF($A717="","",IF(D716="","",D716*(1+B717)))</f>
        <v/>
      </c>
      <c r="E717" s="37">
        <f>IF($A717="","",MAX($D$5:D717))</f>
        <v/>
      </c>
      <c r="F717" s="25">
        <f>IF($A717="","",(E717-D717)/E717)</f>
        <v/>
      </c>
    </row>
    <row r="718">
      <c r="A718" s="23">
        <f>IF('05 Simple Returns'!A718="","",'05 Simple Returns'!A718)</f>
        <v/>
      </c>
      <c r="B718" s="25">
        <f>IF($A718="","",SUM(MMULT('05 Simple Returns'!B718:G718,'08 Optimisation'!$B$36:$B$41)))</f>
        <v/>
      </c>
      <c r="C718" s="25">
        <f>IF($A718="","",SUM(MMULT('06 Log Returns'!B718:G718,'08 Optimisation'!$B$36:$B$41)))</f>
        <v/>
      </c>
      <c r="D718" s="37">
        <f>IF($A718="","",IF(D717="","",D717*(1+B718)))</f>
        <v/>
      </c>
      <c r="E718" s="37">
        <f>IF($A718="","",MAX($D$5:D718))</f>
        <v/>
      </c>
      <c r="F718" s="25">
        <f>IF($A718="","",(E718-D718)/E718)</f>
        <v/>
      </c>
    </row>
    <row r="719">
      <c r="A719" s="23">
        <f>IF('05 Simple Returns'!A719="","",'05 Simple Returns'!A719)</f>
        <v/>
      </c>
      <c r="B719" s="25">
        <f>IF($A719="","",SUM(MMULT('05 Simple Returns'!B719:G719,'08 Optimisation'!$B$36:$B$41)))</f>
        <v/>
      </c>
      <c r="C719" s="25">
        <f>IF($A719="","",SUM(MMULT('06 Log Returns'!B719:G719,'08 Optimisation'!$B$36:$B$41)))</f>
        <v/>
      </c>
      <c r="D719" s="37">
        <f>IF($A719="","",IF(D718="","",D718*(1+B719)))</f>
        <v/>
      </c>
      <c r="E719" s="37">
        <f>IF($A719="","",MAX($D$5:D719))</f>
        <v/>
      </c>
      <c r="F719" s="25">
        <f>IF($A719="","",(E719-D719)/E719)</f>
        <v/>
      </c>
    </row>
    <row r="720">
      <c r="A720" s="23">
        <f>IF('05 Simple Returns'!A720="","",'05 Simple Returns'!A720)</f>
        <v/>
      </c>
      <c r="B720" s="25">
        <f>IF($A720="","",SUM(MMULT('05 Simple Returns'!B720:G720,'08 Optimisation'!$B$36:$B$41)))</f>
        <v/>
      </c>
      <c r="C720" s="25">
        <f>IF($A720="","",SUM(MMULT('06 Log Returns'!B720:G720,'08 Optimisation'!$B$36:$B$41)))</f>
        <v/>
      </c>
      <c r="D720" s="37">
        <f>IF($A720="","",IF(D719="","",D719*(1+B720)))</f>
        <v/>
      </c>
      <c r="E720" s="37">
        <f>IF($A720="","",MAX($D$5:D720))</f>
        <v/>
      </c>
      <c r="F720" s="25">
        <f>IF($A720="","",(E720-D720)/E720)</f>
        <v/>
      </c>
    </row>
    <row r="721">
      <c r="A721" s="23">
        <f>IF('05 Simple Returns'!A721="","",'05 Simple Returns'!A721)</f>
        <v/>
      </c>
      <c r="B721" s="25">
        <f>IF($A721="","",SUM(MMULT('05 Simple Returns'!B721:G721,'08 Optimisation'!$B$36:$B$41)))</f>
        <v/>
      </c>
      <c r="C721" s="25">
        <f>IF($A721="","",SUM(MMULT('06 Log Returns'!B721:G721,'08 Optimisation'!$B$36:$B$41)))</f>
        <v/>
      </c>
      <c r="D721" s="37">
        <f>IF($A721="","",IF(D720="","",D720*(1+B721)))</f>
        <v/>
      </c>
      <c r="E721" s="37">
        <f>IF($A721="","",MAX($D$5:D721))</f>
        <v/>
      </c>
      <c r="F721" s="25">
        <f>IF($A721="","",(E721-D721)/E721)</f>
        <v/>
      </c>
    </row>
    <row r="722">
      <c r="A722" s="23">
        <f>IF('05 Simple Returns'!A722="","",'05 Simple Returns'!A722)</f>
        <v/>
      </c>
      <c r="B722" s="25">
        <f>IF($A722="","",SUM(MMULT('05 Simple Returns'!B722:G722,'08 Optimisation'!$B$36:$B$41)))</f>
        <v/>
      </c>
      <c r="C722" s="25">
        <f>IF($A722="","",SUM(MMULT('06 Log Returns'!B722:G722,'08 Optimisation'!$B$36:$B$41)))</f>
        <v/>
      </c>
      <c r="D722" s="37">
        <f>IF($A722="","",IF(D721="","",D721*(1+B722)))</f>
        <v/>
      </c>
      <c r="E722" s="37">
        <f>IF($A722="","",MAX($D$5:D722))</f>
        <v/>
      </c>
      <c r="F722" s="25">
        <f>IF($A722="","",(E722-D722)/E722)</f>
        <v/>
      </c>
    </row>
    <row r="723">
      <c r="A723" s="23">
        <f>IF('05 Simple Returns'!A723="","",'05 Simple Returns'!A723)</f>
        <v/>
      </c>
      <c r="B723" s="25">
        <f>IF($A723="","",SUM(MMULT('05 Simple Returns'!B723:G723,'08 Optimisation'!$B$36:$B$41)))</f>
        <v/>
      </c>
      <c r="C723" s="25">
        <f>IF($A723="","",SUM(MMULT('06 Log Returns'!B723:G723,'08 Optimisation'!$B$36:$B$41)))</f>
        <v/>
      </c>
      <c r="D723" s="37">
        <f>IF($A723="","",IF(D722="","",D722*(1+B723)))</f>
        <v/>
      </c>
      <c r="E723" s="37">
        <f>IF($A723="","",MAX($D$5:D723))</f>
        <v/>
      </c>
      <c r="F723" s="25">
        <f>IF($A723="","",(E723-D723)/E723)</f>
        <v/>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40" customWidth="1" min="1" max="1"/>
    <col width="16" customWidth="1" min="2" max="2"/>
    <col width="46" customWidth="1" min="3" max="3"/>
    <col width="86" customWidth="1" min="4" max="4"/>
    <col width="14" customWidth="1" min="5" max="5"/>
    <col width="14" customWidth="1" min="6" max="6"/>
  </cols>
  <sheetData>
    <row r="1">
      <c r="A1" s="1" t="inlineStr">
        <is>
          <t>Performance &amp; Risk Metrics</t>
        </is>
      </c>
    </row>
    <row r="2">
      <c r="A2" s="2" t="inlineStr">
        <is>
          <t>Every headline number main.py prints to the console, as a live formula. All of them read the portfolio return series on sheet '10 Portfolio Returns' and the risk-free rate on '02 Config'.</t>
        </is>
      </c>
    </row>
    <row r="3">
      <c r="A3" s="3" t="inlineStr">
        <is>
          <t>Mirrors: risk_metrics.py + the annualisation helpers in returns.py</t>
        </is>
      </c>
    </row>
    <row r="5">
      <c r="A5" s="4" t="inlineStr">
        <is>
          <t>RETURN &amp; VOLATILITY</t>
        </is>
      </c>
    </row>
    <row r="6">
      <c r="A6" s="7" t="inlineStr">
        <is>
          <t>Metric</t>
        </is>
      </c>
      <c r="B6" s="7" t="inlineStr">
        <is>
          <t>Value</t>
        </is>
      </c>
      <c r="C6" s="7" t="inlineStr">
        <is>
          <t>Formula</t>
        </is>
      </c>
      <c r="D6" s="7" t="inlineStr">
        <is>
          <t>What it is / Python source</t>
        </is>
      </c>
    </row>
    <row r="7" ht="30" customHeight="1">
      <c r="A7" s="8" t="inlineStr">
        <is>
          <t>Mean daily return (simple)</t>
        </is>
      </c>
      <c r="B7" s="26">
        <f>AVERAGE('10 Portfolio Returns'!$B$5:$B$723)</f>
        <v/>
      </c>
      <c r="C7" s="22" t="inlineStr">
        <is>
          <t>AVERAGE(daily simple returns)</t>
        </is>
      </c>
      <c r="D7" s="6" t="inlineStr">
        <is>
          <t>The arithmetic average day. Blank guard rows are text and are ignored by AVERAGE.</t>
        </is>
      </c>
    </row>
    <row r="8" ht="30" customHeight="1">
      <c r="A8" s="8" t="inlineStr">
        <is>
          <t>Annualised return (simple)</t>
        </is>
      </c>
      <c r="B8" s="28">
        <f>(1+B7)^'02 Config'!$B$12-1</f>
        <v/>
      </c>
      <c r="C8" s="22" t="inlineStr">
        <is>
          <t>(1 + mean daily)^252 - 1</t>
        </is>
      </c>
      <c r="D8" s="6" t="inlineStr">
        <is>
          <t>Simple returns compound, so annualising raises to the power of 252 rather than multiplying. Python: returns.annualize_simple_return(). This is the return figure every ratio below uses.</t>
        </is>
      </c>
    </row>
    <row r="9" ht="30" customHeight="1">
      <c r="A9" s="8" t="inlineStr">
        <is>
          <t>Mean daily return (log)</t>
        </is>
      </c>
      <c r="B9" s="26">
        <f>AVERAGE('10 Portfolio Returns'!$C$5:$C$723)</f>
        <v/>
      </c>
      <c r="C9" s="22" t="inlineStr">
        <is>
          <t>AVERAGE(daily log returns)</t>
        </is>
      </c>
      <c r="D9" s="6" t="inlineStr">
        <is>
          <t>Average continuously compounded day.</t>
        </is>
      </c>
    </row>
    <row r="10" ht="30" customHeight="1">
      <c r="A10" s="8" t="inlineStr">
        <is>
          <t>Annualised return (log)</t>
        </is>
      </c>
      <c r="B10" s="28">
        <f>B9*'02 Config'!$B$12</f>
        <v/>
      </c>
      <c r="C10" s="22" t="inlineStr">
        <is>
          <t>mean daily log x 252</t>
        </is>
      </c>
      <c r="D10" s="6" t="inlineStr">
        <is>
          <t>Log returns are additive through time, so annualising is a plain multiplication. Python: returns.annualize_log_return(). Always slightly below the simple figure — that gap is the volatility drag.</t>
        </is>
      </c>
    </row>
    <row r="11" ht="30" customHeight="1">
      <c r="A11" s="8" t="inlineStr">
        <is>
          <t>Daily volatility</t>
        </is>
      </c>
      <c r="B11" s="26">
        <f>STDEVP('10 Portfolio Returns'!$B$5:$B$723)</f>
        <v/>
      </c>
      <c r="C11" s="22" t="inlineStr">
        <is>
          <t>STDEVP(daily simple returns)</t>
        </is>
      </c>
      <c r="D11" s="6" t="inlineStr">
        <is>
          <t>POPULATION standard deviation (divide by n), because main.py uses np.std() with its default ddof=0. STDEV (sample, n-1) would differ in the fourth decimal — matched deliberately.</t>
        </is>
      </c>
    </row>
    <row r="12" ht="30" customHeight="1">
      <c r="A12" s="8" t="inlineStr">
        <is>
          <t>Annualised volatility</t>
        </is>
      </c>
      <c r="B12" s="28">
        <f>B11*SQRT('02 Config'!$B$12)</f>
        <v/>
      </c>
      <c r="C12" s="22" t="inlineStr">
        <is>
          <t>daily volatility x SQRT(252)</t>
        </is>
      </c>
      <c r="D12" s="6" t="inlineStr">
        <is>
          <t>The square-root-of-time rule: variance scales with time, so standard deviation scales with its square root. Python: returns.annualize_volatility().</t>
        </is>
      </c>
    </row>
    <row r="15">
      <c r="A15" s="4" t="inlineStr">
        <is>
          <t>MARKET-RELATIVE METRICS (vs the benchmark)</t>
        </is>
      </c>
    </row>
    <row r="16">
      <c r="A16" s="7" t="inlineStr">
        <is>
          <t>Metric</t>
        </is>
      </c>
      <c r="B16" s="7" t="inlineStr">
        <is>
          <t>Value</t>
        </is>
      </c>
      <c r="C16" s="7" t="inlineStr">
        <is>
          <t>Formula</t>
        </is>
      </c>
      <c r="D16" s="7" t="inlineStr">
        <is>
          <t>What it is / Python source</t>
        </is>
      </c>
    </row>
    <row r="17" ht="30" customHeight="1">
      <c r="A17" s="8" t="inlineStr">
        <is>
          <t>Beta</t>
        </is>
      </c>
      <c r="B17" s="33">
        <f t="array" ref="B17:B17">(SUMPRODUCT(IF('10 Portfolio Returns'!$B$5:$B$723="",0,'10 Portfolio Returns'!$B$5:$B$723-AVERAGE('10 Portfolio Returns'!$B$5:$B$723)),IF('05 Simple Returns'!$H$5:$H$723="",0,'05 Simple Returns'!$H$5:$H$723-AVERAGE('05 Simple Returns'!$H$5:$H$723)))/(COUNT('10 Portfolio Returns'!$B$5:$B$723)-1))/(SUMPRODUCT(IF('05 Simple Returns'!$H$5:$H$723="",0,'05 Simple Returns'!$H$5:$H$723-AVERAGE('05 Simple Returns'!$H$5:$H$723)),IF('05 Simple Returns'!$H$5:$H$723="",0,'05 Simple Returns'!$H$5:$H$723-AVERAGE('05 Simple Returns'!$H$5:$H$723)))/(COUNT('05 Simple Returns'!$H$5:$H$723)-1))</f>
        <v/>
      </c>
      <c r="C17" s="22" t="inlineStr">
        <is>
          <t>Cov(portfolio, benchmark) / Var(benchmark)</t>
        </is>
      </c>
      <c r="D17" s="6" t="inlineStr">
        <is>
          <t>Sensitivity to the market. Beta of 1 moves with the index; below 1 is defensive. Sample covariance (n-1) to match numpy's np.cov default. Python: risk_metrics.beta().</t>
        </is>
      </c>
    </row>
    <row r="18" ht="30" customHeight="1">
      <c r="A18" s="8" t="inlineStr">
        <is>
          <t>Daily risk-free rate</t>
        </is>
      </c>
      <c r="B18" s="26">
        <f>'02 Config'!$B$10/'02 Config'!$B$12</f>
        <v/>
      </c>
      <c r="C18" s="22" t="inlineStr">
        <is>
          <t>annual risk-free / 252</t>
        </is>
      </c>
      <c r="D18" s="6" t="inlineStr">
        <is>
          <t>The annual input rate de-annualised, because alpha is computed on daily data first.</t>
        </is>
      </c>
    </row>
    <row r="19" ht="30" customHeight="1">
      <c r="A19" s="8" t="inlineStr">
        <is>
          <t>Alpha (annualised)</t>
        </is>
      </c>
      <c r="B19" s="28">
        <f>(AVERAGE('10 Portfolio Returns'!$B$5:$B$723)-(B18+B17*(AVERAGE('05 Simple Returns'!$H$5:$H$723)-B18)))*'02 Config'!$B$12</f>
        <v/>
      </c>
      <c r="C19" s="22" t="inlineStr">
        <is>
          <t>(Rp - [Rf + Beta x (Rm - Rf)]) x 252</t>
        </is>
      </c>
      <c r="D19" s="6" t="inlineStr">
        <is>
          <t>Jensen's alpha: return earned beyond what CAPM says the portfolio's beta entitles it to. Positive alpha is skill (or unmeasured risk). Computed daily then annualised by multiplication, exactly as risk_metrics.alpha() does.</t>
        </is>
      </c>
    </row>
    <row r="22">
      <c r="A22" s="4" t="inlineStr">
        <is>
          <t>RISK-ADJUSTED PERFORMANCE RATIOS</t>
        </is>
      </c>
    </row>
    <row r="23">
      <c r="A23" s="7" t="inlineStr">
        <is>
          <t>Metric</t>
        </is>
      </c>
      <c r="B23" s="7" t="inlineStr">
        <is>
          <t>Value</t>
        </is>
      </c>
      <c r="C23" s="7" t="inlineStr">
        <is>
          <t>Formula</t>
        </is>
      </c>
      <c r="D23" s="7" t="inlineStr">
        <is>
          <t>What it is / Python source</t>
        </is>
      </c>
    </row>
    <row r="24" ht="30" customHeight="1">
      <c r="A24" s="8" t="inlineStr">
        <is>
          <t>Sharpe ratio</t>
        </is>
      </c>
      <c r="B24" s="33">
        <f>(B8-'02 Config'!$B$10)/B12</f>
        <v/>
      </c>
      <c r="C24" s="22" t="inlineStr">
        <is>
          <t>(Rp - Rf) / annual volatility</t>
        </is>
      </c>
      <c r="D24" s="6" t="inlineStr">
        <is>
          <t>Excess return per unit of TOTAL risk. The standard cross-portfolio comparison. Python: risk_metrics.sharpe_ratio().</t>
        </is>
      </c>
    </row>
    <row r="25" ht="30" customHeight="1">
      <c r="A25" s="8" t="inlineStr">
        <is>
          <t>Downside deviation (daily)</t>
        </is>
      </c>
      <c r="B25" s="26">
        <f t="array" ref="B25:B25">SQRT(SUMPRODUCT(IF('10 Portfolio Returns'!$B$5:$B$723="",0,IF('10 Portfolio Returns'!$B$5:$B$723&lt;0,('10 Portfolio Returns'!$B$5:$B$723-AVERAGEIF('10 Portfolio Returns'!$B$5:$B$723,"&lt;0"))^2,0)))/COUNTIF('10 Portfolio Returns'!$B$5:$B$723,"&lt;0"))</f>
        <v/>
      </c>
      <c r="C25" s="22" t="inlineStr">
        <is>
          <t>population std. dev. of negative days only</t>
        </is>
      </c>
      <c r="D25" s="6" t="inlineStr">
        <is>
          <t>Only losses count as risk. Population (divide by n) to match np.std(). Python: risk_metrics.downside_deviation().</t>
        </is>
      </c>
    </row>
    <row r="26" ht="30" customHeight="1">
      <c r="A26" s="8" t="inlineStr">
        <is>
          <t>Sortino ratio</t>
        </is>
      </c>
      <c r="B26" s="33">
        <f>(B8-'02 Config'!$B$10)/B25</f>
        <v/>
      </c>
      <c r="C26" s="22" t="inlineStr">
        <is>
          <t>(Rp - Rf) / DAILY downside deviation</t>
        </is>
      </c>
      <c r="D26" s="6" t="inlineStr">
        <is>
          <t>Sharpe but penalising only downside volatility. NOTE: this divides an ANNUAL excess return by a DAILY downside deviation, which inflates it by roughly SQRT(252). That is not a mistake — risk_metrics.sortino_ratio() deliberately mirrors the original notebook. Multiply cell B25 by SQRT(252) first for the conventional figure.</t>
        </is>
      </c>
    </row>
    <row r="27" ht="30" customHeight="1">
      <c r="A27" s="8" t="inlineStr">
        <is>
          <t>Maximum drawdown</t>
        </is>
      </c>
      <c r="B27" s="28">
        <f>MAX('10 Portfolio Returns'!$F$5:$F$723)</f>
        <v/>
      </c>
      <c r="C27" s="22" t="inlineStr">
        <is>
          <t>MAX of the drawdown column</t>
        </is>
      </c>
      <c r="D27" s="6" t="inlineStr">
        <is>
          <t>Worst peak-to-trough fall in the cumulative growth path — the loss an investor who bought the high would have lived through. Python: risk_metrics.max_drawdown().</t>
        </is>
      </c>
    </row>
    <row r="28" ht="30" customHeight="1">
      <c r="A28" s="8" t="inlineStr">
        <is>
          <t>Calmar ratio</t>
        </is>
      </c>
      <c r="B28" s="33">
        <f>B8/B27</f>
        <v/>
      </c>
      <c r="C28" s="22" t="inlineStr">
        <is>
          <t>annual return / max drawdown</t>
        </is>
      </c>
      <c r="D28" s="6" t="inlineStr">
        <is>
          <t>Return per unit of worst-case pain. Python: risk_metrics.calmar_ratio().</t>
        </is>
      </c>
    </row>
    <row r="29" ht="30" customHeight="1">
      <c r="A29" s="8" t="inlineStr">
        <is>
          <t>Treynor ratio</t>
        </is>
      </c>
      <c r="B29" s="33">
        <f>(B8-'02 Config'!$B$10)/B17</f>
        <v/>
      </c>
      <c r="C29" s="22" t="inlineStr">
        <is>
          <t>(Rp - Rf) / Beta</t>
        </is>
      </c>
      <c r="D29" s="6" t="inlineStr">
        <is>
          <t>Excess return per unit of SYSTEMATIC risk. Sharpe divides by total risk, Treynor by market risk only — the right measure when the portfolio is one sleeve inside a diversified whole. Python: risk_metrics.treynor_ratio().</t>
        </is>
      </c>
    </row>
    <row r="32">
      <c r="A32" s="4" t="inlineStr">
        <is>
          <t>VALUE AT RISK &amp; EXPECTED SHORTFALL</t>
        </is>
      </c>
    </row>
    <row r="33">
      <c r="A33" s="3" t="inlineStr">
        <is>
          <t>One-day horizon, historical (non-parametric) method. Losses are shown as negative numbers, scaled by the portfolio value on sheet '02 Config'.</t>
        </is>
      </c>
    </row>
    <row r="34">
      <c r="A34" s="7" t="inlineStr">
        <is>
          <t>Confidence level</t>
        </is>
      </c>
      <c r="B34" s="7" t="inlineStr">
        <is>
          <t>Percentile used</t>
        </is>
      </c>
      <c r="C34" s="7" t="inlineStr">
        <is>
          <t>VaR (return)</t>
        </is>
      </c>
      <c r="D34" s="7" t="inlineStr">
        <is>
          <t>VaR ($)</t>
        </is>
      </c>
      <c r="E34" s="7" t="inlineStr">
        <is>
          <t>CVaR (return)</t>
        </is>
      </c>
      <c r="F34" s="7" t="inlineStr">
        <is>
          <t>CVaR ($)</t>
        </is>
      </c>
    </row>
    <row r="35">
      <c r="A35" s="38">
        <f>'02 Config'!$B$13</f>
        <v/>
      </c>
      <c r="B35" s="39">
        <f>1-A35</f>
        <v/>
      </c>
      <c r="C35" s="28">
        <f>PERCENTILE('10 Portfolio Returns'!$B$5:$B$723,B35)</f>
        <v/>
      </c>
      <c r="D35" s="40">
        <f>C35*'02 Config'!$B$11</f>
        <v/>
      </c>
      <c r="E35" s="28">
        <f>AVERAGEIF('10 Portfolio Returns'!$B$5:$B$723,"&lt;="&amp;C35)</f>
        <v/>
      </c>
      <c r="F35" s="40">
        <f>E35*'02 Config'!$B$11</f>
        <v/>
      </c>
    </row>
    <row r="36">
      <c r="A36" s="38">
        <f>'02 Config'!$B$14</f>
        <v/>
      </c>
      <c r="B36" s="39">
        <f>1-A36</f>
        <v/>
      </c>
      <c r="C36" s="28">
        <f>PERCENTILE('10 Portfolio Returns'!$B$5:$B$723,B36)</f>
        <v/>
      </c>
      <c r="D36" s="40">
        <f>C36*'02 Config'!$B$11</f>
        <v/>
      </c>
      <c r="E36" s="28">
        <f>AVERAGEIF('10 Portfolio Returns'!$B$5:$B$723,"&lt;="&amp;C36)</f>
        <v/>
      </c>
      <c r="F36" s="40">
        <f>E36*'02 Config'!$B$11</f>
        <v/>
      </c>
    </row>
    <row r="37">
      <c r="A37" s="38">
        <f>'02 Config'!$B$15</f>
        <v/>
      </c>
      <c r="B37" s="39">
        <f>1-A37</f>
        <v/>
      </c>
      <c r="C37" s="28">
        <f>PERCENTILE('10 Portfolio Returns'!$B$5:$B$723,B37)</f>
        <v/>
      </c>
      <c r="D37" s="40">
        <f>C37*'02 Config'!$B$11</f>
        <v/>
      </c>
      <c r="E37" s="28">
        <f>AVERAGEIF('10 Portfolio Returns'!$B$5:$B$723,"&lt;="&amp;C37)</f>
        <v/>
      </c>
      <c r="F37" s="40">
        <f>E37*'02 Config'!$B$11</f>
        <v/>
      </c>
    </row>
    <row r="40">
      <c r="A40" s="4" t="inlineStr">
        <is>
          <t>Portfolio weights used throughout (minimum variance, from sheet '08 Optimisation')</t>
        </is>
      </c>
    </row>
    <row r="41">
      <c r="A41" s="8" t="inlineStr">
        <is>
          <t>JPM</t>
        </is>
      </c>
      <c r="B41" s="41">
        <f>'08 Optimisation'!$B$36</f>
        <v/>
      </c>
    </row>
    <row r="42">
      <c r="A42" s="8" t="inlineStr">
        <is>
          <t>MS</t>
        </is>
      </c>
      <c r="B42" s="41">
        <f>'08 Optimisation'!$B$37</f>
        <v/>
      </c>
    </row>
    <row r="43">
      <c r="A43" s="8" t="inlineStr">
        <is>
          <t>BAC</t>
        </is>
      </c>
      <c r="B43" s="41">
        <f>'08 Optimisation'!$B$38</f>
        <v/>
      </c>
    </row>
    <row r="44">
      <c r="A44" s="8" t="inlineStr">
        <is>
          <t>AAPL</t>
        </is>
      </c>
      <c r="B44" s="41">
        <f>'08 Optimisation'!$B$39</f>
        <v/>
      </c>
    </row>
    <row r="45">
      <c r="A45" s="8" t="inlineStr">
        <is>
          <t>MSFT</t>
        </is>
      </c>
      <c r="B45" s="41">
        <f>'08 Optimisation'!$B$40</f>
        <v/>
      </c>
    </row>
    <row r="46">
      <c r="A46" s="8" t="inlineStr">
        <is>
          <t>GLD</t>
        </is>
      </c>
      <c r="B46" s="41">
        <f>'08 Optimisation'!$B$41</f>
        <v/>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2" customWidth="1" min="1" max="1"/>
    <col width="14" customWidth="1" min="2" max="2"/>
  </cols>
  <sheetData>
    <row r="1">
      <c r="A1" s="1" t="inlineStr">
        <is>
          <t>Charts</t>
        </is>
      </c>
    </row>
    <row r="2">
      <c r="A2" s="2" t="inlineStr">
        <is>
          <t>The two figures main.py writes out as HTML, plus the cumulative growth and drawdown paths.</t>
        </is>
      </c>
    </row>
    <row r="3">
      <c r="A3" s="3" t="inlineStr">
        <is>
          <t>Mirrors: visualization.py -&gt; plot_prices(), plot_efficient_frontier()</t>
        </is>
      </c>
    </row>
    <row r="5">
      <c r="A5" s="4" t="inlineStr">
        <is>
          <t>Helper cells for the marker points plotted below</t>
        </is>
      </c>
    </row>
    <row r="6">
      <c r="A6" s="5" t="inlineStr">
        <is>
          <t>Min-variance volatility</t>
        </is>
      </c>
      <c r="B6" s="41">
        <f>'08 Optimisation'!$B$44</f>
        <v/>
      </c>
    </row>
    <row r="7">
      <c r="A7" s="5" t="inlineStr">
        <is>
          <t>Min-variance return</t>
        </is>
      </c>
      <c r="B7" s="41">
        <f>'08 Optimisation'!$B$43</f>
        <v/>
      </c>
    </row>
    <row r="8">
      <c r="A8" s="5" t="inlineStr">
        <is>
          <t>Tangency volatility</t>
        </is>
      </c>
      <c r="B8" s="41">
        <f>'08 Optimisation'!$B$58</f>
        <v/>
      </c>
    </row>
    <row r="9">
      <c r="A9" s="5" t="inlineStr">
        <is>
          <t>Tangency return</t>
        </is>
      </c>
      <c r="B9" s="41">
        <f>'08 Optimisation'!$B$57</f>
        <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2026-09-22T15:45:32Z</dcterms:created>
  <dcterms:modified xmlns:dcterms="http://purl.org/dc/terms/" xmlns:xsi="http://www.w3.org/2001/XMLSchema-instance" xsi:type="dcterms:W3CDTF">2026-09-22T15:45:33Z</dcterms:modified>
</cp:coreProperties>
</file>